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kun yang Perlu Diverifikasi" sheetId="1" r:id="rId5"/>
    <sheet state="hidden" name="Data Email Kosong" sheetId="2" r:id="rId6"/>
    <sheet state="visible" name="Akun Operator Fix" sheetId="3" r:id="rId7"/>
    <sheet state="visible" name="Akun Penyuluh Fix" sheetId="4" r:id="rId8"/>
    <sheet state="visible" name="Akun yang Dihapus" sheetId="5" r:id="rId9"/>
    <sheet state="hidden" name="Data Master" sheetId="6" r:id="rId10"/>
    <sheet state="hidden" name="Pivot Table Nama" sheetId="7" r:id="rId11"/>
    <sheet state="hidden" name="Pivot Table Email" sheetId="8" r:id="rId12"/>
    <sheet state="hidden" name="Pivot Table WhatsApp" sheetId="9" r:id="rId13"/>
    <sheet state="hidden" name="Pivot Table NIK" sheetId="10" r:id="rId14"/>
    <sheet state="hidden" name="Petani" sheetId="11" r:id="rId15"/>
  </sheets>
  <definedNames>
    <definedName hidden="1" localSheetId="0" name="_xlnm._FilterDatabase">'Akun yang Perlu Diverifikasi'!$A$1:$M$177</definedName>
    <definedName hidden="1" localSheetId="1" name="_xlnm._FilterDatabase">'Data Email Kosong'!$A$1:$M$81</definedName>
    <definedName hidden="1" localSheetId="2" name="_xlnm._FilterDatabase">'Akun Operator Fix'!$A$1:$G$20</definedName>
    <definedName hidden="1" localSheetId="3" name="_xlnm._FilterDatabase">'Akun Penyuluh Fix'!$A$1:$I$131</definedName>
    <definedName hidden="1" localSheetId="4" name="_xlnm._FilterDatabase">'Akun yang Dihapus'!$A$1:$M$61</definedName>
    <definedName hidden="1" localSheetId="5" name="_xlnm._FilterDatabase">'Data Master'!$A$1:$L$2403</definedName>
    <definedName hidden="1" localSheetId="6" name="_xlnm._FilterDatabase">'Pivot Table Nama'!$A$1:$D$1886</definedName>
    <definedName hidden="1" localSheetId="7" name="_xlnm._FilterDatabase">'Pivot Table Email'!$A$1:$C$139</definedName>
    <definedName hidden="1" localSheetId="8" name="_xlnm._FilterDatabase">'Pivot Table WhatsApp'!$A$1:$C$1069</definedName>
    <definedName hidden="1" localSheetId="9" name="_xlnm._FilterDatabase">'Pivot Table NIK'!$A$1:$C$2380</definedName>
  </definedNames>
  <calcPr/>
  <pivotCaches>
    <pivotCache cacheId="0" r:id="rId16"/>
  </pivotCaches>
</workbook>
</file>

<file path=xl/sharedStrings.xml><?xml version="1.0" encoding="utf-8"?>
<sst xmlns="http://schemas.openxmlformats.org/spreadsheetml/2006/main" count="22844" uniqueCount="8094">
  <si>
    <t>Masalah</t>
  </si>
  <si>
    <t>Account ID</t>
  </si>
  <si>
    <t>Peran</t>
  </si>
  <si>
    <t>Nama</t>
  </si>
  <si>
    <t>Email</t>
  </si>
  <si>
    <t>NIK</t>
  </si>
  <si>
    <t>NIK/NIP</t>
  </si>
  <si>
    <t>No WhatsApp</t>
  </si>
  <si>
    <t>Verified</t>
  </si>
  <si>
    <t>Kecamatan</t>
  </si>
  <si>
    <t>Nama Referensi</t>
  </si>
  <si>
    <t>Email Referensi</t>
  </si>
  <si>
    <t>Alamat</t>
  </si>
  <si>
    <t>No Telepon Referensi</t>
  </si>
  <si>
    <t>operator admin</t>
  </si>
  <si>
    <t>Kecamatan Binaan</t>
  </si>
  <si>
    <t>NKK</t>
  </si>
  <si>
    <t>Desa Binaan</t>
  </si>
  <si>
    <t>Gapoktan Binaan</t>
  </si>
  <si>
    <t>3521077101950001</t>
  </si>
  <si>
    <t>Rika Indra Sukmana</t>
  </si>
  <si>
    <t>Kelompok Tani Binaan</t>
  </si>
  <si>
    <t>bppbringin11@gmail.com</t>
  </si>
  <si>
    <t>penyuluh</t>
  </si>
  <si>
    <t>081332002057</t>
  </si>
  <si>
    <t>Email Kosong</t>
  </si>
  <si>
    <t>198309172010012001</t>
  </si>
  <si>
    <t>Bringin</t>
  </si>
  <si>
    <t>64264c55-d7d3-11ee-ac36-0242ff9ee44d</t>
  </si>
  <si>
    <t>Desa Krompol, Kecamatan Bringin, Kabupaten Ngawi, Jawa Timur</t>
  </si>
  <si>
    <t>3521100806990007</t>
  </si>
  <si>
    <t>Yogi Annanda Putra</t>
  </si>
  <si>
    <t>bppkecamatangeneng@gmail.com</t>
  </si>
  <si>
    <t>085707689375</t>
  </si>
  <si>
    <t>Geneng</t>
  </si>
  <si>
    <t>ADHALIFATU SYA'DIYAH, S.S.T.</t>
  </si>
  <si>
    <t>Jln PG Soedhono No 16 kode 63271</t>
  </si>
  <si>
    <t>AFIAT YUJONO, S.P.</t>
  </si>
  <si>
    <t>bppkecamatangerihngawi@gmail.com</t>
  </si>
  <si>
    <t>lifa.widantio20@gmail.com</t>
  </si>
  <si>
    <t>Gerih</t>
  </si>
  <si>
    <t>Double Role</t>
  </si>
  <si>
    <t>081235730137</t>
  </si>
  <si>
    <t>Desa Kayut 1, Guyung, Kec. Gerih, Kabupaten Ngawi, Jawa Timur 63253</t>
  </si>
  <si>
    <t>3520085512980001</t>
  </si>
  <si>
    <t>5188691c-8b08-4109-b4bd-9772c849ebed</t>
  </si>
  <si>
    <t>Dyah Rahmatus Safira</t>
  </si>
  <si>
    <t>jogorogobpp@gmail.com</t>
  </si>
  <si>
    <t>085784368613</t>
  </si>
  <si>
    <t>81335684594</t>
  </si>
  <si>
    <t>198410172017062001</t>
  </si>
  <si>
    <t>AGNES DYAN PARAMITA, S.P.</t>
  </si>
  <si>
    <t>196401091988011001</t>
  </si>
  <si>
    <t>Jogorogo</t>
  </si>
  <si>
    <t>agnezdyanparamita@gmail.com</t>
  </si>
  <si>
    <t>3521091704840003</t>
  </si>
  <si>
    <t>no. 22 rt02 rw05 Dsn Karangasem 1 Desa/Kec. GenengKab. ngawi</t>
  </si>
  <si>
    <t>Jl. Raya Jogorogo - Ngrambe, Desa Jogorogo, Kec. Jogorogo, Kab. Ngawi 63262</t>
  </si>
  <si>
    <t>085736635579</t>
  </si>
  <si>
    <t>1376014207000005</t>
  </si>
  <si>
    <t>64264c15-d7d3-11ee-ac36-0242ff9ee44d</t>
  </si>
  <si>
    <t>AGUNG SAPUTRO, S.S.T.</t>
  </si>
  <si>
    <t>Anisa Fadillah</t>
  </si>
  <si>
    <t>AGUNG ARIFIANTO, S.S.T.</t>
  </si>
  <si>
    <t>bppngawi@gmail.com</t>
  </si>
  <si>
    <t>bppkaranganyarngw@gmail.com</t>
  </si>
  <si>
    <t>3521091301850003</t>
  </si>
  <si>
    <t>085265217142</t>
  </si>
  <si>
    <t>Karanganyar</t>
  </si>
  <si>
    <t>85736881069</t>
  </si>
  <si>
    <t>Jl. Raya Sriwedari, Dsn Wonoboyo, Desa Sriwedari, Kec. Karanganyar, Kab. Ngawi</t>
  </si>
  <si>
    <t>tobieputra@gmail.com</t>
  </si>
  <si>
    <t>198501132010011004</t>
  </si>
  <si>
    <t>085843671615</t>
  </si>
  <si>
    <t>bppkarangjati@gmail.com</t>
  </si>
  <si>
    <t>6426492d-d7d3-11ee-ac36-0242ff9ee44d</t>
  </si>
  <si>
    <t>Karangjati</t>
  </si>
  <si>
    <t>Jalan raya ngawi-caruban, Desa Sidokerto, kecamatan Karangjati, Kabupaten Ngawi, Kawa Timur</t>
  </si>
  <si>
    <t>3521091706980001</t>
  </si>
  <si>
    <t>85735113595</t>
  </si>
  <si>
    <t>Fahmi Pawila Inuyasa</t>
  </si>
  <si>
    <t>198404172009011005</t>
  </si>
  <si>
    <t>kasremanbpp01@gmail.com</t>
  </si>
  <si>
    <t>085850689033</t>
  </si>
  <si>
    <t>Kasreman</t>
  </si>
  <si>
    <t>Dsn Purworejo RT 01 RW 04 Ds Watualang Ngawi</t>
  </si>
  <si>
    <t>Jl. Raya Kasreman No.1, Retitokaw, Kasreman, Kec. Kasreman, Kabupaten Ngawi, Jawa Timur 63281</t>
  </si>
  <si>
    <t>BPP Kec. Ngawi</t>
  </si>
  <si>
    <t>64264914-d7d3-11ee-ac36-0242ff9ee44d</t>
  </si>
  <si>
    <t>3506242301980001</t>
  </si>
  <si>
    <t>Yoshua Tri Ramadani</t>
  </si>
  <si>
    <t>bppkedunggalarngawi@gmail.com</t>
  </si>
  <si>
    <t>085732415914</t>
  </si>
  <si>
    <t>Kedunggalar</t>
  </si>
  <si>
    <t>Jl. Raya Kedunggalar No.20, Ngarengan, Jenggrik, Kec. Kedunggalar, Kabupaten Ngawi, Jawa Timur 63254</t>
  </si>
  <si>
    <t>AGUS TANTINI, S.T.P.</t>
  </si>
  <si>
    <t>3521036206980002</t>
  </si>
  <si>
    <t>81334223500</t>
  </si>
  <si>
    <t>sastrocukit@gmail.com</t>
  </si>
  <si>
    <t>198308132017062001</t>
  </si>
  <si>
    <t>Kharisma Syafri Ayuni</t>
  </si>
  <si>
    <t>bppkendalngawi@gmail.com</t>
  </si>
  <si>
    <t>085924060413</t>
  </si>
  <si>
    <t>6426434d-d7d3-11ee-ac36-0242ff9ee44d</t>
  </si>
  <si>
    <t>Kendal</t>
  </si>
  <si>
    <t>ANANG SUPRAPTO, S.P.</t>
  </si>
  <si>
    <t>Jl. Raya Jogorogo - Kendal No.13, Pucanganom, Kendal, Kec. Kendal, Kabupaten Ngawi, Jawa Timur 63261, Indonesia</t>
  </si>
  <si>
    <t>3521144702020002</t>
  </si>
  <si>
    <t>085735113595</t>
  </si>
  <si>
    <t>85649502506</t>
  </si>
  <si>
    <t>197805012021211004</t>
  </si>
  <si>
    <t>Arni Febriana Pragono Putri</t>
  </si>
  <si>
    <t>af094e61-b1fa-4775-8747-eb23e3dd55f6</t>
  </si>
  <si>
    <t>bpp.kwadungan@gmail.com</t>
  </si>
  <si>
    <t>642641eb-d7d3-11ee-ac36-0242ff9ee44d</t>
  </si>
  <si>
    <t>082131919193</t>
  </si>
  <si>
    <t>3521050207800005</t>
  </si>
  <si>
    <t>Kwadungan</t>
  </si>
  <si>
    <t>ANDRI PURNOMO, S.P.</t>
  </si>
  <si>
    <t>ANDRI YATWOKO, S.S.T.</t>
  </si>
  <si>
    <t>Desa Warukkalong Kecamatan Kwadungan Kabupaten Ngawi 63283</t>
  </si>
  <si>
    <t>bppkecamatangerih@gmail.com</t>
  </si>
  <si>
    <t>8563501392</t>
  </si>
  <si>
    <t>199011012023211015</t>
  </si>
  <si>
    <t>3314104502010011</t>
  </si>
  <si>
    <t>Shella Anggita Pramestika</t>
  </si>
  <si>
    <t>64264734-d7d3-11ee-ac36-0242ff9ee44d</t>
  </si>
  <si>
    <t>bppmantingan@gmail.com</t>
  </si>
  <si>
    <t>082334470456</t>
  </si>
  <si>
    <t>Mantingan</t>
  </si>
  <si>
    <t>3521062908770001</t>
  </si>
  <si>
    <t>BPP Kec. Gerih</t>
  </si>
  <si>
    <t>85856261477</t>
  </si>
  <si>
    <t>Jalan Raya Ngawi-Solo Km. 19, Desa Mantingan, Kecamatan Mantingan, Kabupaten Ngawi, Jawa Timur, kode pos 63287</t>
  </si>
  <si>
    <t>3521095908900001</t>
  </si>
  <si>
    <t>Arie Widya Pramudyawardhani</t>
  </si>
  <si>
    <t>AGUS PASIANTO, SP.MMA</t>
  </si>
  <si>
    <t>081235882199</t>
  </si>
  <si>
    <t>aguspasiantospmma29@gmail.com</t>
  </si>
  <si>
    <t>Ngawi</t>
  </si>
  <si>
    <t>Kompleks BPP Jalan Raya Paron No. 1, Mardiasri, Desa Jururejo, Kecamatan Ngawi,</t>
  </si>
  <si>
    <t>085856914475</t>
  </si>
  <si>
    <t>3520061010980004</t>
  </si>
  <si>
    <t>Muhammad Hafizh Ali Al-arabi</t>
  </si>
  <si>
    <t>198007022010011002</t>
  </si>
  <si>
    <t>bppngrambe020@gmail.com</t>
  </si>
  <si>
    <t>64264cb8-d7d3-11ee-ac36-0242ff9ee44d</t>
  </si>
  <si>
    <t>087888229674</t>
  </si>
  <si>
    <t>APRILINA DILARIATIN, A.Md.</t>
  </si>
  <si>
    <t>Ngrambe</t>
  </si>
  <si>
    <t>Jl. raya Ngrambe-widodaren km 0.5</t>
  </si>
  <si>
    <t>3521081305900002</t>
  </si>
  <si>
    <t>Pangkur</t>
  </si>
  <si>
    <t>Heriyanto</t>
  </si>
  <si>
    <t>85647109231</t>
  </si>
  <si>
    <t>bpppadas2020@gmail.com</t>
  </si>
  <si>
    <t>198604122017062001</t>
  </si>
  <si>
    <t>Gandri, Sumber, Babadan, Pohkonyal, Paras, Pleset, Pangkur, Waruktengah, Ngompro</t>
  </si>
  <si>
    <t>085790570462</t>
  </si>
  <si>
    <t>Gandri Makmur, Sumber Makmur, Ngudi Barokah, Krida Tani, Karya Tani, Sri Rejeki, Marsudi Tani, Ngudi Barokah, Tri Langgeng</t>
  </si>
  <si>
    <t>Padas</t>
  </si>
  <si>
    <t>64264957-d7d3-11ee-ac36-0242ff9ee44d</t>
  </si>
  <si>
    <t>Jl. Raya Ngawi-Caruban</t>
  </si>
  <si>
    <t>Sri Rejeki, Mulyaning Bebrayan, Mugi Rahayu, Jati Makmur, Mangun Karyo, Sumber Tani, Sumber Mulyo, Sumber Agung, Budi Karya, Nganti Makmur, Ngudi Kamulyan, Sri Mulyo, Muji Rahayu, Tani Bahagia, Margo Mulyo, Krida Jaya, Sempulur, Tani Makmur, Gemah Ripah, Rahayu, Dewi Murni, Dewi Sri, Rukun Jaya, Agung Tani, Timbul Karya, Timbul Jaya, Karya Tani, Sumber Makmur, Raharjo, Tani Makmur, Tani Mulyo, Angesti Rahayu, Rukun Tani, Waruk Tani, Sumber Tani, Margo rejo, Moro Seneng, Rukun Jaya, Sido Langgeng, Tunggal Roso</t>
  </si>
  <si>
    <t>ARYS WIBOWO, S.S.T.</t>
  </si>
  <si>
    <t>3521105308830005</t>
  </si>
  <si>
    <t>8123405154</t>
  </si>
  <si>
    <t>bpppangkur@gmail.com</t>
  </si>
  <si>
    <t>198110162010011002</t>
  </si>
  <si>
    <t>Jl. A. Yani Wareng Rt. 04 Rw 01</t>
  </si>
  <si>
    <t>agus.tanti03@gmail.com</t>
  </si>
  <si>
    <t>081334223500</t>
  </si>
  <si>
    <t>Jl Raya Pangkur No 13 Pangkur Kecamatan Pangkur Kabupaten Ngawi 63282</t>
  </si>
  <si>
    <t>642640f9-d7d3-11ee-ac36-0242ff9ee44d</t>
  </si>
  <si>
    <t>asih</t>
  </si>
  <si>
    <t>3521100105780004</t>
  </si>
  <si>
    <t>paronbpp@gmail.com</t>
  </si>
  <si>
    <t>sepuluhcinta@gmail.com</t>
  </si>
  <si>
    <t>cd346386-3527-45ea-911a-83842cd904c9</t>
  </si>
  <si>
    <t>085649502506</t>
  </si>
  <si>
    <t>Paron</t>
  </si>
  <si>
    <t>81252232644</t>
  </si>
  <si>
    <t>andri yatwoko</t>
  </si>
  <si>
    <t>Jl. Raya Paron No.26, Jati, Jambangan, Kecamatan Paron, Kabupaten Ngawi, Jawa Timur 63253</t>
  </si>
  <si>
    <t>ayat_woko9812@yahoo.co.id</t>
  </si>
  <si>
    <t>64264656-d7d3-11ee-ac36-0242ff9ee44d</t>
  </si>
  <si>
    <t>BUDIONO, S.P.</t>
  </si>
  <si>
    <t>3521121910900003</t>
  </si>
  <si>
    <t>bpppitoe@gmail.com</t>
  </si>
  <si>
    <t>Wonosobo  Geneng</t>
  </si>
  <si>
    <t>81556423161</t>
  </si>
  <si>
    <t>andripurnomo39@gmail.com</t>
  </si>
  <si>
    <t>196509051987111001</t>
  </si>
  <si>
    <t>08563501392</t>
  </si>
  <si>
    <t>642645cd-d7d3-11ee-ac36-0242ff9ee44d</t>
  </si>
  <si>
    <t>085856261477</t>
  </si>
  <si>
    <t>Pitu</t>
  </si>
  <si>
    <t>Desa Ngancar Kecamatan Pitu</t>
  </si>
  <si>
    <t>3314010605010005</t>
  </si>
  <si>
    <t>Maulana Thariq Prajaduta Sutikno</t>
  </si>
  <si>
    <t>DAMEYDRA JAYA, S.S.T.</t>
  </si>
  <si>
    <t>197708122021212004</t>
  </si>
  <si>
    <t>sinebpp@gmail.com</t>
  </si>
  <si>
    <t>085848814006</t>
  </si>
  <si>
    <t>ANIK KRISTIANA, S.P.</t>
  </si>
  <si>
    <t>Sine</t>
  </si>
  <si>
    <t>anikkristiana.01@gmail.com</t>
  </si>
  <si>
    <t>Dsn. Krajaran Wetan RT 02 RW 03 Ds. Sine Kec. Sine</t>
  </si>
  <si>
    <t>081244857061</t>
  </si>
  <si>
    <t>81332029263</t>
  </si>
  <si>
    <t>3521090205970002</t>
  </si>
  <si>
    <t>198005232010011003</t>
  </si>
  <si>
    <t>Tri Sujatmiko, S.P.</t>
  </si>
  <si>
    <t>jl. moch. ilyas Gg. I Kelurahan Margomulyo Kec. Ngawi, Kab. Ngawi 63217</t>
  </si>
  <si>
    <t>bppwidodaren.official@gmail.com</t>
  </si>
  <si>
    <t>085159259788</t>
  </si>
  <si>
    <t>64264942-d7d3-11ee-ac36-0242ff9ee44d</t>
  </si>
  <si>
    <t>cb7140a3-f029-4641-ba2b-e05f2f25c4a8</t>
  </si>
  <si>
    <t>Widodaren</t>
  </si>
  <si>
    <t>DEDY EKO SETIAWAN, S.P.</t>
  </si>
  <si>
    <t>Widodaren Kidul, Widodaren, Ngawi Regency, East Java 63256</t>
  </si>
  <si>
    <t>3521051207840005</t>
  </si>
  <si>
    <t>85784809735</t>
  </si>
  <si>
    <t>199312202021211001</t>
  </si>
  <si>
    <t>DWI HANDOKO, S.S.T.</t>
  </si>
  <si>
    <t>ANISA FADILLAH, S.P.</t>
  </si>
  <si>
    <t>dwihand127@gmail.com</t>
  </si>
  <si>
    <t>fadillahanisa67@gmail.com</t>
  </si>
  <si>
    <t>6426463d-d7d3-11ee-ac36-0242ff9ee44d</t>
  </si>
  <si>
    <t>DILI ARMI, S.T.P.</t>
  </si>
  <si>
    <t>85790218884</t>
  </si>
  <si>
    <t>3521105204860005</t>
  </si>
  <si>
    <t>197605052021212003</t>
  </si>
  <si>
    <t>DS Baderan RT 01 RW 01 kec Geneng kab Ngawi</t>
  </si>
  <si>
    <t>aprillina176@gmail.com</t>
  </si>
  <si>
    <t>085647109231</t>
  </si>
  <si>
    <t>64264764-d7d3-11ee-ac36-0242ff9ee44d</t>
  </si>
  <si>
    <t>drh. LENT LULIA HOETOYO</t>
  </si>
  <si>
    <t>BPP Kec. Bringin</t>
  </si>
  <si>
    <t>197602192003121003</t>
  </si>
  <si>
    <t>ARDHIAN SYUKMAWANTO PRADHIPTO, S.S.T.</t>
  </si>
  <si>
    <t>198207082017062001</t>
  </si>
  <si>
    <t>syukmawantoardhian@gmail.com</t>
  </si>
  <si>
    <t>085233719491</t>
  </si>
  <si>
    <t>64264233-d7d3-11ee-ac36-0242ff9ee44d</t>
  </si>
  <si>
    <t>3521121610810001</t>
  </si>
  <si>
    <t>642647f8-d7d3-11ee-ac36-0242ff9ee44d</t>
  </si>
  <si>
    <t>198407122010011002</t>
  </si>
  <si>
    <t>wibowo.arys@gmail.com</t>
  </si>
  <si>
    <t>drh. NOVITA RAHMAWATI</t>
  </si>
  <si>
    <t>08123405154</t>
  </si>
  <si>
    <t>198506112011011015</t>
  </si>
  <si>
    <t>81914859925</t>
  </si>
  <si>
    <t>AWWALUDDIN FAZANI, S.S.T.</t>
  </si>
  <si>
    <t>awaludin.sttp@gmail.com</t>
  </si>
  <si>
    <t>198411192021212002</t>
  </si>
  <si>
    <t>085232108618</t>
  </si>
  <si>
    <t>197902262021211003</t>
  </si>
  <si>
    <t>AZIZ FEBRY ATMOKO, S.P.</t>
  </si>
  <si>
    <t>azheez7981@gmail.com</t>
  </si>
  <si>
    <t>085736636579</t>
  </si>
  <si>
    <t>d2685b62-7abf-4345-bf09-11208ba62117</t>
  </si>
  <si>
    <t>197005032021211001</t>
  </si>
  <si>
    <t>BAMBANG TIONO, S.P.</t>
  </si>
  <si>
    <t>3521041302850001</t>
  </si>
  <si>
    <t>tionobambang9@gmail.com</t>
  </si>
  <si>
    <t>081330500074</t>
  </si>
  <si>
    <t>HARDHIAN PERISA, S.S.T.</t>
  </si>
  <si>
    <t>perisaericz@yahoo.com</t>
  </si>
  <si>
    <t>3521092305800002</t>
  </si>
  <si>
    <t>dameydrajaya@gmail.com</t>
  </si>
  <si>
    <t>081332029263</t>
  </si>
  <si>
    <t>3521092012930001</t>
  </si>
  <si>
    <t>BPP Kec. Ngrambe</t>
  </si>
  <si>
    <t>dedyekos28@gmail.com</t>
  </si>
  <si>
    <t>085784809735</t>
  </si>
  <si>
    <t>642648a6-d7d3-11ee-ac36-0242ff9ee44d</t>
  </si>
  <si>
    <t>198109182010011004</t>
  </si>
  <si>
    <t>DEHA PURWOKO, S.S.T.</t>
  </si>
  <si>
    <t>dehapurwoko@gmail.com</t>
  </si>
  <si>
    <t>082336621788</t>
  </si>
  <si>
    <t>198502132011011012</t>
  </si>
  <si>
    <t>diliarmya@gmail.com</t>
  </si>
  <si>
    <t>085790218884</t>
  </si>
  <si>
    <t>Ds Kendal, Kec Kendal</t>
  </si>
  <si>
    <t>3521106705940004</t>
  </si>
  <si>
    <t>82335999707</t>
  </si>
  <si>
    <t>DINNAR KUSUMANINGTYAS, S.P.</t>
  </si>
  <si>
    <t>dinnarkusuma27@gmail.com</t>
  </si>
  <si>
    <t>081234874234</t>
  </si>
  <si>
    <t>a60b6200-42dd-48e0-8a88-f2336071daca</t>
  </si>
  <si>
    <t>3521094807820007</t>
  </si>
  <si>
    <t>6426478f-d7d3-11ee-ac36-0242ff9ee44d</t>
  </si>
  <si>
    <t>laporandinas24@gmail.com</t>
  </si>
  <si>
    <t>081335370289</t>
  </si>
  <si>
    <t>DWI SETIYONO, S.S.T.</t>
  </si>
  <si>
    <t>3521095911840002</t>
  </si>
  <si>
    <t>novi.drh@gmail.com</t>
  </si>
  <si>
    <t>081914859925</t>
  </si>
  <si>
    <t>81234381838</t>
  </si>
  <si>
    <t>197503152008011016</t>
  </si>
  <si>
    <t>RT.05 RW.01 DSN. PUCANGANOM, DESA / KEC. KENDAL, KAB. NGAWI</t>
  </si>
  <si>
    <t>198205242017062001</t>
  </si>
  <si>
    <t>DWI ELISA KURNIAWATI, S.P.</t>
  </si>
  <si>
    <t>dwielisak@gmail.com</t>
  </si>
  <si>
    <t>b2fc67f8-771f-4624-8eac-e59b3aefd758</t>
  </si>
  <si>
    <t>082299972261</t>
  </si>
  <si>
    <t>642642d4-d7d3-11ee-ac36-0242ff9ee44d</t>
  </si>
  <si>
    <t>ENDRI CAHYO SAPUTRO, S.S.T.</t>
  </si>
  <si>
    <t>Dwihand127@gmail.com</t>
  </si>
  <si>
    <t>082337836091</t>
  </si>
  <si>
    <t>HERIYANTO, S.P.</t>
  </si>
  <si>
    <t>8563518338</t>
  </si>
  <si>
    <t>198403142005011002</t>
  </si>
  <si>
    <t>3521051503750005</t>
  </si>
  <si>
    <t>dwisetiyono75@gmail.com</t>
  </si>
  <si>
    <t>642640b9-d7d3-11ee-ac36-0242ff9ee44d</t>
  </si>
  <si>
    <t>081234381838</t>
  </si>
  <si>
    <t>fian@gmail.com</t>
  </si>
  <si>
    <t>198509262005012001</t>
  </si>
  <si>
    <t>DWI SURYANNINGDYAH HENI UNTARI, S.S.T.</t>
  </si>
  <si>
    <t>du.punya@gmail.com</t>
  </si>
  <si>
    <t>085604704670</t>
  </si>
  <si>
    <t>81332102027</t>
  </si>
  <si>
    <t>BPP Kec. Padas</t>
  </si>
  <si>
    <t>3520175910990001</t>
  </si>
  <si>
    <t>DWIKI IZZAH FATHONY, S.P.</t>
  </si>
  <si>
    <t>izzahfathony.contact@gmail.com</t>
  </si>
  <si>
    <t>089685129523</t>
  </si>
  <si>
    <t>64264708-d7d3-11ee-ac36-0242ff9ee44d</t>
  </si>
  <si>
    <t>197407082021211002</t>
  </si>
  <si>
    <t>199005132021211001</t>
  </si>
  <si>
    <t>EDY SRIYONO</t>
  </si>
  <si>
    <t>edysriyono90@gmail.com</t>
  </si>
  <si>
    <t>085326113894</t>
  </si>
  <si>
    <t>197511112021212004</t>
  </si>
  <si>
    <t>ERNA KUSUMAWATI HASTANINGSIH, S.P.</t>
  </si>
  <si>
    <t>ernakusumawati746@gmail.com</t>
  </si>
  <si>
    <t>081336304421</t>
  </si>
  <si>
    <t>197510102021211001</t>
  </si>
  <si>
    <t>FADELAN</t>
  </si>
  <si>
    <t>fadelanminallah10@gmail.com</t>
  </si>
  <si>
    <t>cee24984-6059-4308-ad15-6c6438a587e3</t>
  </si>
  <si>
    <t>085233731763</t>
  </si>
  <si>
    <t>3521011112990005</t>
  </si>
  <si>
    <t>FATQUR</t>
  </si>
  <si>
    <t>heriyanto</t>
  </si>
  <si>
    <t>fatqur@gmail.com</t>
  </si>
  <si>
    <t>085812735927</t>
  </si>
  <si>
    <t>herry.ngawi90@gmail.com</t>
  </si>
  <si>
    <t>3308026501990001</t>
  </si>
  <si>
    <t>FITRI LAELA RAHMAWATI, S.P.</t>
  </si>
  <si>
    <t>fitrilaelarahmawati@gmail.com</t>
  </si>
  <si>
    <t>089652316174</t>
  </si>
  <si>
    <t>dusun kiteran desa kwadungan lor kecamatan padas kabupaten ngawi</t>
  </si>
  <si>
    <t>3519026308810001</t>
  </si>
  <si>
    <t>FITRIA AGUSTINING SETYORINI, S.P., M.Ec.Dev.</t>
  </si>
  <si>
    <t>nuning2310@gmail.com</t>
  </si>
  <si>
    <t>081359422525</t>
  </si>
  <si>
    <t>d984dca0-ee95-40c0-9e97-4619a0fe4b34</t>
  </si>
  <si>
    <t>64269f22-d7d3-11ee-ac36-0242ff9ee44d</t>
  </si>
  <si>
    <t>3521091906850001</t>
  </si>
  <si>
    <t>197404182009012003</t>
  </si>
  <si>
    <t>LUDIANTORO ARIYADI, S.S.T.</t>
  </si>
  <si>
    <t>FITRIA AGUSTINING S, S.P, M.Ec.Dev</t>
  </si>
  <si>
    <t>FRINDA ISKARISTANTI DEWI, S.S.T.</t>
  </si>
  <si>
    <t>frinda.id@gmail.com</t>
  </si>
  <si>
    <t>085230941551</t>
  </si>
  <si>
    <t>81359422525</t>
  </si>
  <si>
    <t>3521091102800001</t>
  </si>
  <si>
    <t>GALIH PRAMUAJI, S.S.T.</t>
  </si>
  <si>
    <t>19810823 200604 2 015</t>
  </si>
  <si>
    <t>galihpramuaji03@gmail.com</t>
  </si>
  <si>
    <t>Grudo Ngawi</t>
  </si>
  <si>
    <t>082228499822</t>
  </si>
  <si>
    <t>BPP Kec. Paron</t>
  </si>
  <si>
    <t>642641d4-d7d3-11ee-ac36-0242ff9ee44d</t>
  </si>
  <si>
    <t>197309052021211002</t>
  </si>
  <si>
    <t>642643e3-d7d3-11ee-ac36-0242ff9ee44d</t>
  </si>
  <si>
    <t>GONO, S.P.</t>
  </si>
  <si>
    <t>gono5726@gmail.com</t>
  </si>
  <si>
    <t>081335455073</t>
  </si>
  <si>
    <t>198506192010011017</t>
  </si>
  <si>
    <t>198108232006042015</t>
  </si>
  <si>
    <t>bringin</t>
  </si>
  <si>
    <t>64264c8a-d7d3-11ee-ac36-0242ff9ee44d</t>
  </si>
  <si>
    <t>08563632500</t>
  </si>
  <si>
    <t>64c386fe-3d2a-4d85-86af-c46cc047376d</t>
  </si>
  <si>
    <t>82228499822</t>
  </si>
  <si>
    <t>197306052010011002</t>
  </si>
  <si>
    <t>HARTOYO, S.S.T.</t>
  </si>
  <si>
    <t>198002112009011005</t>
  </si>
  <si>
    <t>hartoyosamsung360@gmail.com</t>
  </si>
  <si>
    <t>3521101406730006</t>
  </si>
  <si>
    <t>082334521450</t>
  </si>
  <si>
    <t>Ds. Karangasri Ngawi</t>
  </si>
  <si>
    <t>MARKABAN, S.P.</t>
  </si>
  <si>
    <t>196808092000031006</t>
  </si>
  <si>
    <t>markhabanngale@gmail.com</t>
  </si>
  <si>
    <t>HARYANA, S.Pt.</t>
  </si>
  <si>
    <t>haryanaharyana187@gmail.com</t>
  </si>
  <si>
    <t>085233912942</t>
  </si>
  <si>
    <t>BPP Kec. Mantingan</t>
  </si>
  <si>
    <t>8563632500</t>
  </si>
  <si>
    <t>197110102021211001</t>
  </si>
  <si>
    <t>HERLAN JAUHARI, S.P.</t>
  </si>
  <si>
    <t>herlanjauhari@gmail.com</t>
  </si>
  <si>
    <t>085714169155</t>
  </si>
  <si>
    <t>64264997-d7d3-11ee-ac36-0242ff9ee44d</t>
  </si>
  <si>
    <t>3310182805000001</t>
  </si>
  <si>
    <t>ICHSAN JATI PAMUNGKAS, S.P.</t>
  </si>
  <si>
    <t>ichsanjati@gmail.com</t>
  </si>
  <si>
    <t>197306142021211002</t>
  </si>
  <si>
    <t>089610553804</t>
  </si>
  <si>
    <t>198409152010012001</t>
  </si>
  <si>
    <t>IDA ROFFIANI DINAR EFTAVIA, S.S.T.</t>
  </si>
  <si>
    <t>ida@gmail.com</t>
  </si>
  <si>
    <t>083845379145</t>
  </si>
  <si>
    <t>85790570462</t>
  </si>
  <si>
    <t>196806101994032011</t>
  </si>
  <si>
    <t>IDA RUSMALA DEWI, S.P.</t>
  </si>
  <si>
    <t>idardewisp@gmail.com</t>
  </si>
  <si>
    <t>1fa6ce0d-2622-4bf3-8ff3-374a9c615de8</t>
  </si>
  <si>
    <t>64264412-d7d3-11ee-ac36-0242ff9ee44d</t>
  </si>
  <si>
    <t>081335691830</t>
  </si>
  <si>
    <t>19730614220211002</t>
  </si>
  <si>
    <t>198204142010012026</t>
  </si>
  <si>
    <t>IKE APRILIA HAPSARI, S.P.</t>
  </si>
  <si>
    <t>ikea37489@gmail.com</t>
  </si>
  <si>
    <t>081335252669</t>
  </si>
  <si>
    <t>198104032021211002</t>
  </si>
  <si>
    <t>IMAM BUKHORI, S.Pt.</t>
  </si>
  <si>
    <t>bukhoriretta@gmail.com</t>
  </si>
  <si>
    <t>81335691830</t>
  </si>
  <si>
    <t>085645279950</t>
  </si>
  <si>
    <t>3577012310850001</t>
  </si>
  <si>
    <t>INDRA PRIHADI IRAWAN, S.S.T.</t>
  </si>
  <si>
    <t>indeegoviocbhmcm2@gmail.com</t>
  </si>
  <si>
    <t>082232414825</t>
  </si>
  <si>
    <t>64264099-d7d3-11ee-ac36-0242ff9ee44d</t>
  </si>
  <si>
    <t>64264012-d7d3-11ee-ac36-0242ff9ee44d</t>
  </si>
  <si>
    <t>196612071994032005</t>
  </si>
  <si>
    <t>Ir. HENI ISWATI PRASETYANINGSIH</t>
  </si>
  <si>
    <t>heniiswati382@gmail.com</t>
  </si>
  <si>
    <t>081233539127</t>
  </si>
  <si>
    <t>INAYAH</t>
  </si>
  <si>
    <t>markhabanngale1@gmail.com</t>
  </si>
  <si>
    <t>3311086507010001</t>
  </si>
  <si>
    <t>ISMAWATI ZULFA SANTIKA, S.P.</t>
  </si>
  <si>
    <t>ismawatizulfas@gmail.com</t>
  </si>
  <si>
    <t>08156924589</t>
  </si>
  <si>
    <t>3521105510780004</t>
  </si>
  <si>
    <t>ISNAINI TRIANA MAKMUROH, S.P.</t>
  </si>
  <si>
    <t>Ngale, RT 1 RW 1</t>
  </si>
  <si>
    <t>isnainitm2024@gmail.com</t>
  </si>
  <si>
    <t>LINGK KUTI 02 RT 01 RW 04 KUTOREJO</t>
  </si>
  <si>
    <t>082231263861</t>
  </si>
  <si>
    <t>642646b2-d7d3-11ee-ac36-0242ff9ee44d</t>
  </si>
  <si>
    <t>63e30a51-d7d3-11ee-ac36-0242ff9ee44d</t>
  </si>
  <si>
    <t>3521091402790004</t>
  </si>
  <si>
    <t>JOKO NUGROHO ARIBOWO, S.S.T.</t>
  </si>
  <si>
    <t>dj.aribowo@gmail.com</t>
  </si>
  <si>
    <t>08563622003</t>
  </si>
  <si>
    <t>operator poktan</t>
  </si>
  <si>
    <t>82232414825</t>
  </si>
  <si>
    <t>3521095102690001</t>
  </si>
  <si>
    <t>KARTI, S.P.</t>
  </si>
  <si>
    <t>198510232010011016</t>
  </si>
  <si>
    <t>aguskarti1169@gmail.com</t>
  </si>
  <si>
    <t>081335616515</t>
  </si>
  <si>
    <t>Jl. Darmo Mulyo J.55 Kota Madiun</t>
  </si>
  <si>
    <t>197901112023212015</t>
  </si>
  <si>
    <t>8882966677880003</t>
  </si>
  <si>
    <t>64264823-d7d3-11ee-ac36-0242ff9ee44d</t>
  </si>
  <si>
    <t>KHIKMAWATI IRBANDERINI, S.P.</t>
  </si>
  <si>
    <t>kirbanderini@gmail.com</t>
  </si>
  <si>
    <t>08123572537</t>
  </si>
  <si>
    <t>PENGAWAS APLIKASI FRAND</t>
  </si>
  <si>
    <t>KUKUH EKO SANTOSO, S.S.T.</t>
  </si>
  <si>
    <t>frand@admin.com</t>
  </si>
  <si>
    <t>ku2htanb@gmail.com</t>
  </si>
  <si>
    <t>82231263861</t>
  </si>
  <si>
    <t>082338653958</t>
  </si>
  <si>
    <t>197810152021212003</t>
  </si>
  <si>
    <t>3521080510700001</t>
  </si>
  <si>
    <t>KUSNAN, S.P.</t>
  </si>
  <si>
    <t>Jalan Sanjaya No 1 Jogorogo</t>
  </si>
  <si>
    <t>kusnanbio89@gmail.com</t>
  </si>
  <si>
    <t>081578188341</t>
  </si>
  <si>
    <t>199402062023211007</t>
  </si>
  <si>
    <t>64264264-d7d3-11ee-ac36-0242ff9ee44d</t>
  </si>
  <si>
    <t>LADHIANTO PRATAMA, S.P.</t>
  </si>
  <si>
    <t>ladhiantopratama8@gmail.com</t>
  </si>
  <si>
    <t>082215570607</t>
  </si>
  <si>
    <t>malang</t>
  </si>
  <si>
    <t>3312174506020001</t>
  </si>
  <si>
    <t>LATIFAH AMALIA RENGGANIS, S.P.</t>
  </si>
  <si>
    <t>latifahamaliarengganis@gmail.com</t>
  </si>
  <si>
    <t>64264d78-d7d3-11ee-ac36-0242ff9ee44d</t>
  </si>
  <si>
    <t>082328370125</t>
  </si>
  <si>
    <t>8563622003</t>
  </si>
  <si>
    <t>197902142008011011</t>
  </si>
  <si>
    <t>642646f2-d7d3-11ee-ac36-0242ff9ee44d</t>
  </si>
  <si>
    <t>toro.yadi8@gmail.com</t>
  </si>
  <si>
    <t>087856803894</t>
  </si>
  <si>
    <t>3521185306000001</t>
  </si>
  <si>
    <t>MARATUS SOFIYAH, S.P.</t>
  </si>
  <si>
    <t>maratussofi16@gmail.com</t>
  </si>
  <si>
    <t>087816086989</t>
  </si>
  <si>
    <t>81335616515</t>
  </si>
  <si>
    <t>196902112006042008</t>
  </si>
  <si>
    <t>085259059866</t>
  </si>
  <si>
    <t>3521091703800008</t>
  </si>
  <si>
    <t>64264428-d7d3-11ee-ac36-0242ff9ee44d</t>
  </si>
  <si>
    <t>MARKUS SILAMBI, S.S.T.</t>
  </si>
  <si>
    <t>silambimarkus17@gmail.com</t>
  </si>
  <si>
    <t>089603093251</t>
  </si>
  <si>
    <t>197608282021211001</t>
  </si>
  <si>
    <t>MARSUDIYANTO, S.P.</t>
  </si>
  <si>
    <t>marsudiyanto844@gmail.com</t>
  </si>
  <si>
    <t>085235415195</t>
  </si>
  <si>
    <t>82264051008</t>
  </si>
  <si>
    <t>MAULANA THARIQ PRAJADUTA SUTIKNO, S.P.</t>
  </si>
  <si>
    <t>198107182008011021</t>
  </si>
  <si>
    <t>thariqmaulana71@gmail.com</t>
  </si>
  <si>
    <t>089848814006</t>
  </si>
  <si>
    <t>3521026110810001</t>
  </si>
  <si>
    <t>MAYANG KRISNANINGRUM, S.P.</t>
  </si>
  <si>
    <t>krisnamayang0@gmail.com</t>
  </si>
  <si>
    <t>642642be-d7d3-11ee-ac36-0242ff9ee44d</t>
  </si>
  <si>
    <t>082244612233</t>
  </si>
  <si>
    <t>3521116605810002</t>
  </si>
  <si>
    <t>MBAJENG RUSSERTAYATI PUSPITASARI, S.T.P.</t>
  </si>
  <si>
    <t>pipitmbj81@gmail.com</t>
  </si>
  <si>
    <t>081328289929</t>
  </si>
  <si>
    <t>3521090411840002</t>
  </si>
  <si>
    <t>MOCHAMAD NOVIANTO, S.S.T.</t>
  </si>
  <si>
    <t>81238451871</t>
  </si>
  <si>
    <t>novianto773@gmail.com</t>
  </si>
  <si>
    <t>085710247947</t>
  </si>
  <si>
    <t>197010052021211001</t>
  </si>
  <si>
    <t>198008042008011008</t>
  </si>
  <si>
    <t>MULYADI, S.S.T.</t>
  </si>
  <si>
    <t>mulyadia840@gmail.com</t>
  </si>
  <si>
    <t>6426427b-d7d3-11ee-ac36-0242ff9ee44d</t>
  </si>
  <si>
    <t>085895249640</t>
  </si>
  <si>
    <t>LILIK PRIYANTO, S.P.,M.M.A.</t>
  </si>
  <si>
    <t>3521096708700003</t>
  </si>
  <si>
    <t>NISWATUL KHASANAH, S.P.</t>
  </si>
  <si>
    <t>niswatul1970@gmail.com</t>
  </si>
  <si>
    <t>082233902019</t>
  </si>
  <si>
    <t>81335199545</t>
  </si>
  <si>
    <t>3521080408720001</t>
  </si>
  <si>
    <t>NOMPO KURNIAWAN, S.P.</t>
  </si>
  <si>
    <t>196410091987111002</t>
  </si>
  <si>
    <t>nompokurniawan4872@gmail.com</t>
  </si>
  <si>
    <t>085649377468</t>
  </si>
  <si>
    <t>198010242011011005</t>
  </si>
  <si>
    <t>NUNUS WIDIYATMOKO, S.P.</t>
  </si>
  <si>
    <t>nunuswidiyatmoko@gmail.com</t>
  </si>
  <si>
    <t>081231281171</t>
  </si>
  <si>
    <t>3521080408830003</t>
  </si>
  <si>
    <t>87856803894</t>
  </si>
  <si>
    <t>NURYANTO</t>
  </si>
  <si>
    <t>nnuryanto4883@gmail.com</t>
  </si>
  <si>
    <t>081330394994</t>
  </si>
  <si>
    <t>3521092403730002</t>
  </si>
  <si>
    <t>NYOTO PRASETYO, S.P.</t>
  </si>
  <si>
    <t>prasetyonyoto654@gmail.com</t>
  </si>
  <si>
    <t>085851877086</t>
  </si>
  <si>
    <t>199110152023212042</t>
  </si>
  <si>
    <t>OKY RATNA ARDITA, S.P.</t>
  </si>
  <si>
    <t>oki@gmail.com</t>
  </si>
  <si>
    <t>085755349122</t>
  </si>
  <si>
    <t>85259059866</t>
  </si>
  <si>
    <t>197801222021211001</t>
  </si>
  <si>
    <t>PARYANTO, S.P.</t>
  </si>
  <si>
    <t>082245363200</t>
  </si>
  <si>
    <t>64264877-d7d3-11ee-ac36-0242ff9ee44d</t>
  </si>
  <si>
    <t>197109092021212001</t>
  </si>
  <si>
    <t>PASRI ANI SUSANTI, S.P.</t>
  </si>
  <si>
    <t>pasriani71@gmail.com</t>
  </si>
  <si>
    <t>081335573403</t>
  </si>
  <si>
    <t>89603093251</t>
  </si>
  <si>
    <t>197908172021212003</t>
  </si>
  <si>
    <t>PIPIET HARDYANSARI, S.Pt.</t>
  </si>
  <si>
    <t>wekspipiet@gmail.com</t>
  </si>
  <si>
    <t>08123171979</t>
  </si>
  <si>
    <t>198003172007011010</t>
  </si>
  <si>
    <t>3577031511780002</t>
  </si>
  <si>
    <t>PRAMONO, S.T.P.</t>
  </si>
  <si>
    <t>pramonobringin@gmail.com</t>
  </si>
  <si>
    <t>085100839493</t>
  </si>
  <si>
    <t>3521092308720001</t>
  </si>
  <si>
    <t>PRIYO SUSANTO, S.P.</t>
  </si>
  <si>
    <t>6426424c-d7d3-11ee-ac36-0242ff9ee44d</t>
  </si>
  <si>
    <t>priyosusanto7@gmail.com</t>
  </si>
  <si>
    <t>085334055897</t>
  </si>
  <si>
    <t>3521030606730005</t>
  </si>
  <si>
    <t>PURYANTO</t>
  </si>
  <si>
    <t>puryantosingomejo@gmail.com</t>
  </si>
  <si>
    <t>085790407759</t>
  </si>
  <si>
    <t>82244612233</t>
  </si>
  <si>
    <t>3521090207720002</t>
  </si>
  <si>
    <t>198110212017062001</t>
  </si>
  <si>
    <t>RACHMAT SAKSONO, S.P.</t>
  </si>
  <si>
    <t>rachmatsaksono467@gmail.co</t>
  </si>
  <si>
    <t>081231206844</t>
  </si>
  <si>
    <t>64264be9-d7d3-11ee-ac36-0242ff9ee44d</t>
  </si>
  <si>
    <t>3521091211700004</t>
  </si>
  <si>
    <t>RADEN AGUNG KUSUMO WAHYU WIBOWO, S.S.T.</t>
  </si>
  <si>
    <t>kusumoagung21@gmail.com</t>
  </si>
  <si>
    <t>0816567197</t>
  </si>
  <si>
    <t>82233902019</t>
  </si>
  <si>
    <t>199103282023211028</t>
  </si>
  <si>
    <t>d68b193a-930b-4a54-8972-0f7eb7b2b575</t>
  </si>
  <si>
    <t>198105262010012022</t>
  </si>
  <si>
    <t>RIZKY SYAHRIRUL BAROKAH, S.P.</t>
  </si>
  <si>
    <t>rizkysb91@gmail.com</t>
  </si>
  <si>
    <t>082335965410</t>
  </si>
  <si>
    <t>642643fb-d7d3-11ee-ac36-0242ff9ee44d</t>
  </si>
  <si>
    <t>3318195506010001</t>
  </si>
  <si>
    <t>SALSABILA AYUNIS MUHTAR</t>
  </si>
  <si>
    <t>salsabilaayunis.15@gmail.com</t>
  </si>
  <si>
    <t>3521061604790003</t>
  </si>
  <si>
    <t>0895414985913</t>
  </si>
  <si>
    <t>85710247947</t>
  </si>
  <si>
    <t>3521095711960001</t>
  </si>
  <si>
    <t>198411042010011002</t>
  </si>
  <si>
    <t>SETIANI DARMASTUTI, S.P.</t>
  </si>
  <si>
    <t>WAWAN NURCAHYADI, S.P.</t>
  </si>
  <si>
    <t>setiani96@gmail.com</t>
  </si>
  <si>
    <t>089679274924</t>
  </si>
  <si>
    <t>6426443e-d7d3-11ee-ac36-0242ff9ee44d</t>
  </si>
  <si>
    <t>3521192304730002</t>
  </si>
  <si>
    <t>SETIYONO, S.P.</t>
  </si>
  <si>
    <t>wawannurcahyadi@yahoo.co.id</t>
  </si>
  <si>
    <t>setiyonosekar@gmail.com</t>
  </si>
  <si>
    <t>081310015763</t>
  </si>
  <si>
    <t>85895249640</t>
  </si>
  <si>
    <t>SHELLA ANGGITA PRAMESTIKA, S.P.</t>
  </si>
  <si>
    <t>shelashela064@gmail.com</t>
  </si>
  <si>
    <t>desa Sumberejo Maospati Magetan</t>
  </si>
  <si>
    <t>198311222017061001</t>
  </si>
  <si>
    <t>642647ba-d7d3-11ee-ac36-0242ff9ee44d</t>
  </si>
  <si>
    <t>SIGIT WAHYUDI, S.P.</t>
  </si>
  <si>
    <t>sigit22wahyudi@gmail.com</t>
  </si>
  <si>
    <t>085259626461</t>
  </si>
  <si>
    <t>197008271993032008</t>
  </si>
  <si>
    <t>3521115211680002</t>
  </si>
  <si>
    <t>SIHMIATI, S.P.</t>
  </si>
  <si>
    <t>6426474b-d7d3-11ee-ac36-0242ff9ee44d</t>
  </si>
  <si>
    <t>sihmiati55@gmail.com</t>
  </si>
  <si>
    <t>BPP Kec. Geneng</t>
  </si>
  <si>
    <t>085235002321</t>
  </si>
  <si>
    <t>198507302010012038</t>
  </si>
  <si>
    <t>SITI WULANDARI, A.Md.</t>
  </si>
  <si>
    <t>85649377468</t>
  </si>
  <si>
    <t>197208042021211002</t>
  </si>
  <si>
    <t>shaqueensha@gmail.com</t>
  </si>
  <si>
    <t>081231849964</t>
  </si>
  <si>
    <t>64264687-d7d3-11ee-ac36-0242ff9ee44d</t>
  </si>
  <si>
    <t>6426460d-d7d3-11ee-ac36-0242ff9ee44d</t>
  </si>
  <si>
    <t>3521115202770002</t>
  </si>
  <si>
    <t>197904162021211001</t>
  </si>
  <si>
    <t>SRI UTAMI USWATUL HASANAH, S.P.</t>
  </si>
  <si>
    <t>usri3173@gmail.com</t>
  </si>
  <si>
    <t>81231281171</t>
  </si>
  <si>
    <t>082229090732</t>
  </si>
  <si>
    <t>197803292009011005</t>
  </si>
  <si>
    <t>Jl. Garuda Gg. Parkit No. 08 Dsn. Grudo RT. 03 RW. 01 Ds. Grudo Kec. Ngawi Kab. Ngawi</t>
  </si>
  <si>
    <t>SUGIANTO, S.T.P.</t>
  </si>
  <si>
    <t>Desa Tirak Kecamatan Kwadungan Kabupaten Ngawi.</t>
  </si>
  <si>
    <t>sugiantoraffi@gmail.com</t>
  </si>
  <si>
    <t>642642a9-d7d3-11ee-ac36-0242ff9ee44d</t>
  </si>
  <si>
    <t>085234877360</t>
  </si>
  <si>
    <t>74c1fa92-56ab-4d34-b0db-9d98826b0ac7</t>
  </si>
  <si>
    <t>196712152021211002</t>
  </si>
  <si>
    <t>3518195002930001</t>
  </si>
  <si>
    <t>SUGIYANTA</t>
  </si>
  <si>
    <t>WINNY WULANSARI, S.P.</t>
  </si>
  <si>
    <t>sugiyantavina@gmail.com</t>
  </si>
  <si>
    <t>81330394994</t>
  </si>
  <si>
    <t>arshakasuntoro@gmail.com</t>
  </si>
  <si>
    <t>085608292785</t>
  </si>
  <si>
    <t>198308042017061001</t>
  </si>
  <si>
    <t>64264379-d7d3-11ee-ac36-0242ff9ee44d</t>
  </si>
  <si>
    <t>197606142021211003</t>
  </si>
  <si>
    <t>SUGIYANTO, S.P.</t>
  </si>
  <si>
    <t>BPP Kec. Kasreman</t>
  </si>
  <si>
    <t>Sugi14juni@gmail.com</t>
  </si>
  <si>
    <t>085235665155</t>
  </si>
  <si>
    <t>85851877086</t>
  </si>
  <si>
    <t>047f9116-8423-4d4e-97cf-0fa863b94aa4</t>
  </si>
  <si>
    <t>197303242021211002</t>
  </si>
  <si>
    <t>196612191991031008</t>
  </si>
  <si>
    <t>SUGIYARTO, S.P.</t>
  </si>
  <si>
    <t>sugiyartougik93@gmail.com</t>
  </si>
  <si>
    <t>08113777067</t>
  </si>
  <si>
    <t>WINNY WULANSARI, SP</t>
  </si>
  <si>
    <t>197305312006041007</t>
  </si>
  <si>
    <t>SUHARYANTO, S.P.</t>
  </si>
  <si>
    <t>totokpadas@gmail.com</t>
  </si>
  <si>
    <t>085843004495</t>
  </si>
  <si>
    <t>822301027322</t>
  </si>
  <si>
    <t>197711032008011012</t>
  </si>
  <si>
    <t>SUJITO, S.S.T.</t>
  </si>
  <si>
    <t>jitoahnaf00742@gmail.com</t>
  </si>
  <si>
    <t>085749592637</t>
  </si>
  <si>
    <t>3521060207730001</t>
  </si>
  <si>
    <t xml:space="preserve"> WINNY WULANSARI, SP</t>
  </si>
  <si>
    <t>SUKIDI, S.P.</t>
  </si>
  <si>
    <t>sukidipojok4@gmail.com</t>
  </si>
  <si>
    <t>085648811748</t>
  </si>
  <si>
    <t>810987654321</t>
  </si>
  <si>
    <t>197210012021211001</t>
  </si>
  <si>
    <t>SUTIKNO, S.P.</t>
  </si>
  <si>
    <t>64264c40-d7d3-11ee-ac36-0242ff9ee44d</t>
  </si>
  <si>
    <t>auliatikno81@gmail.com</t>
  </si>
  <si>
    <t>085233915366</t>
  </si>
  <si>
    <t>199302102021212001</t>
  </si>
  <si>
    <t>642646dd-d7d3-11ee-ac36-0242ff9ee44d</t>
  </si>
  <si>
    <t>3521051405750002</t>
  </si>
  <si>
    <t>SUWANDI, S.P.</t>
  </si>
  <si>
    <t>wandisakdermo@gmail.com</t>
  </si>
  <si>
    <t>0822301027322</t>
  </si>
  <si>
    <t>196907062021211002</t>
  </si>
  <si>
    <t>SUWIJI, S.P.</t>
  </si>
  <si>
    <t>spsuwiji@gmail.com</t>
  </si>
  <si>
    <t>85100839993</t>
  </si>
  <si>
    <t>082139641863</t>
  </si>
  <si>
    <t>cd578be9-49b2-406c-9d99-7b547218e663</t>
  </si>
  <si>
    <t>197811152009011008</t>
  </si>
  <si>
    <t>197209062021211001</t>
  </si>
  <si>
    <t>3521091809810002</t>
  </si>
  <si>
    <t>SUWOTO, S.P.</t>
  </si>
  <si>
    <t>suwotopojok1972@gmail.com</t>
  </si>
  <si>
    <t>085210394099</t>
  </si>
  <si>
    <t>642648fd-d7d3-11ee-ac36-0242ff9ee44d</t>
  </si>
  <si>
    <t>3521055705750001</t>
  </si>
  <si>
    <t>SUYATMI LESTARI</t>
  </si>
  <si>
    <t>BPP Kec. Karanganyar</t>
  </si>
  <si>
    <t>lestarisuyatmi7@gmail.com</t>
  </si>
  <si>
    <t>85334055897</t>
  </si>
  <si>
    <t>085233900788</t>
  </si>
  <si>
    <t>642649c2-d7d3-11ee-ac36-0242ff9ee44d</t>
  </si>
  <si>
    <t>197208232021211002</t>
  </si>
  <si>
    <t>Jl. Perkutut no 5 Rt 03 Rw 01 Ds. Beran Kec/Kab. Ngawi</t>
  </si>
  <si>
    <t>3520055703010001</t>
  </si>
  <si>
    <t>TAZKIA NURFAUZIANA, S.P.</t>
  </si>
  <si>
    <t>tazkianurfauziana17@gmail.com</t>
  </si>
  <si>
    <t>642647e4-d7d3-11ee-ac36-0242ff9ee44d</t>
  </si>
  <si>
    <t>08815587630</t>
  </si>
  <si>
    <t>Desa Sekarjati Kecamatan Karanganyar Kabupaten Ngawi</t>
  </si>
  <si>
    <t>3521091011800002</t>
  </si>
  <si>
    <t>70b9fc25-8f08-4b13-9735-786e195b7df7</t>
  </si>
  <si>
    <t>TEGUH BUDI SUSWANTO, S.S.T.</t>
  </si>
  <si>
    <t>85790407759</t>
  </si>
  <si>
    <t>masbudibh@gmail.com</t>
  </si>
  <si>
    <t>197306062021211008</t>
  </si>
  <si>
    <t>3521022211830001</t>
  </si>
  <si>
    <t>082330607672</t>
  </si>
  <si>
    <t>RT 01 RW 01 Dawung, JGOROGO, NGAWI</t>
  </si>
  <si>
    <t>sigitwahyudi@gmail.com</t>
  </si>
  <si>
    <t>3521086001820001</t>
  </si>
  <si>
    <t>642643a2-d7d3-11ee-ac36-0242ff9ee44d</t>
  </si>
  <si>
    <t>TINA KUSRIANA, S.P.</t>
  </si>
  <si>
    <t>tinakusriana2016@gmail.com</t>
  </si>
  <si>
    <t>QOMARUDDIN, S.P.</t>
  </si>
  <si>
    <t>89603178884</t>
  </si>
  <si>
    <t>196508252021211001</t>
  </si>
  <si>
    <t>64264d0e-d7d3-11ee-ac36-0242ff9ee44d</t>
  </si>
  <si>
    <t>BPP Kec. Sine</t>
  </si>
  <si>
    <t>6426421a-d7d3-11ee-ac36-0242ff9ee44d</t>
  </si>
  <si>
    <t>81231206844</t>
  </si>
  <si>
    <t>197207022021211003</t>
  </si>
  <si>
    <t>082127888870</t>
  </si>
  <si>
    <t>RT 01 RW 03 Dsn. Cupo, Ds. Grudo, Kec Ngawi</t>
  </si>
  <si>
    <t>64264320-d7d3-11ee-ac36-0242ff9ee44d</t>
  </si>
  <si>
    <t>bpp sine</t>
  </si>
  <si>
    <t>3521100909700006</t>
  </si>
  <si>
    <t>TRI ANTO, S.P.</t>
  </si>
  <si>
    <t>816567197</t>
  </si>
  <si>
    <t>trianto51422@gmail.com</t>
  </si>
  <si>
    <t>197011122007011019</t>
  </si>
  <si>
    <t>082335525155</t>
  </si>
  <si>
    <t>3521095702700001</t>
  </si>
  <si>
    <t>6426471d-d7d3-11ee-ac36-0242ff9ee44d</t>
  </si>
  <si>
    <t>TRI ASNANIK, S.P.</t>
  </si>
  <si>
    <t>triasnanik123@gmail.com</t>
  </si>
  <si>
    <t>63e3cb71-d7d3-11ee-ac36-0242ff9ee44d</t>
  </si>
  <si>
    <t>petani</t>
  </si>
  <si>
    <t>085645163100</t>
  </si>
  <si>
    <t>Aprilina Dilariatin</t>
  </si>
  <si>
    <t>81310015763</t>
  </si>
  <si>
    <t>197304232021211002</t>
  </si>
  <si>
    <t>Jatifembol</t>
  </si>
  <si>
    <t>TRI SUJATMIKO, S.P.</t>
  </si>
  <si>
    <t>trisujatmiko25@gmail.com</t>
  </si>
  <si>
    <t>a14cb867-97bb-4b30-a7e3-dd21d94efc0f</t>
  </si>
  <si>
    <t>3521045710840002</t>
  </si>
  <si>
    <t>64264cce-d7d3-11ee-ac36-0242ff9ee44d</t>
  </si>
  <si>
    <t>3521095404940003</t>
  </si>
  <si>
    <t>TRILIA APRIANI, S.P.</t>
  </si>
  <si>
    <t>triliaapriani@gmail.com</t>
  </si>
  <si>
    <t>085791575347</t>
  </si>
  <si>
    <t>3521190905760002</t>
  </si>
  <si>
    <t>85235002321</t>
  </si>
  <si>
    <t>TRIMULYO ANANTORI BINTORO, S.P.</t>
  </si>
  <si>
    <t>196811122021212001</t>
  </si>
  <si>
    <t>BPP Kec. Jogorogo</t>
  </si>
  <si>
    <t>trimulyo090576@gmail.com</t>
  </si>
  <si>
    <t>08124985514</t>
  </si>
  <si>
    <t>64264862-d7d3-11ee-ac36-0242ff9ee44d</t>
  </si>
  <si>
    <t>6426469d-d7d3-11ee-ac36-0242ff9ee44d</t>
  </si>
  <si>
    <t>3521100401750003</t>
  </si>
  <si>
    <t>TRIYONO</t>
  </si>
  <si>
    <t>antriyono@gmail.com</t>
  </si>
  <si>
    <t>085233523631</t>
  </si>
  <si>
    <t>DESA KENDAL RT03/RW01 KEC. KENDAL KAB. NGAWI</t>
  </si>
  <si>
    <t>85648811748</t>
  </si>
  <si>
    <t>3521051407770003</t>
  </si>
  <si>
    <t>197307022021211002</t>
  </si>
  <si>
    <t>d4fdfe19-06d4-465c-860b-a22f63c6d86a</t>
  </si>
  <si>
    <t>ULIANA SISKA FARID WIJAYA</t>
  </si>
  <si>
    <t>yuni.yl32@gmail.com</t>
  </si>
  <si>
    <t>3521090311770002</t>
  </si>
  <si>
    <t>081359556552</t>
  </si>
  <si>
    <t>64264a03-d7d3-11ee-ac36-0242ff9ee44d</t>
  </si>
  <si>
    <t>198011202009011003</t>
  </si>
  <si>
    <t>WAHYU AJI SETIAWAN, S.S.T.</t>
  </si>
  <si>
    <t>SUPONO, S.S.T., M.M.A.</t>
  </si>
  <si>
    <t>wahyusetiawan471@gmail.com</t>
  </si>
  <si>
    <t>085648524244</t>
  </si>
  <si>
    <t>BPP Kec. Pitu</t>
  </si>
  <si>
    <t>642642eb-d7d3-11ee-ac36-0242ff9ee44d</t>
  </si>
  <si>
    <t>82133308063</t>
  </si>
  <si>
    <t>3521096707770001</t>
  </si>
  <si>
    <t>196403231987111002</t>
  </si>
  <si>
    <t>WAHYU ESTU UTAMI, S.P.</t>
  </si>
  <si>
    <t>priliclever@gmail.com</t>
  </si>
  <si>
    <t>BPP Karanganyar</t>
  </si>
  <si>
    <t>08124918253</t>
  </si>
  <si>
    <t>JL DR WAHIDIN 46 RT 2 RW 2 MULYOREJO KEL. KARANGTENGAH, KEC./ KAB. NGAWI</t>
  </si>
  <si>
    <t>64264292-d7d3-11ee-ac36-0242ff9ee44d</t>
  </si>
  <si>
    <t>3521191907750002</t>
  </si>
  <si>
    <t>WAHYU HARI AHADI, S.S.T., S.Sos., M.Agr.</t>
  </si>
  <si>
    <t>553815db-e8ee-47f6-ab6f-426e2efa43c4</t>
  </si>
  <si>
    <t>wahyu.ahadi19@gmail.com</t>
  </si>
  <si>
    <t>085814137165</t>
  </si>
  <si>
    <t>3521052602790002</t>
  </si>
  <si>
    <t>197902202006042008</t>
  </si>
  <si>
    <t>WAHYU KASIH KUNTARTI, S.P., M.Ec.Dev.</t>
  </si>
  <si>
    <t>wksihku@gmail.com</t>
  </si>
  <si>
    <t>197505142021211005</t>
  </si>
  <si>
    <t>085235744779</t>
  </si>
  <si>
    <t>BPP Kec. Kendal</t>
  </si>
  <si>
    <t>642647a4-d7d3-11ee-ac36-0242ff9ee44d</t>
  </si>
  <si>
    <t>64264b40-d7d3-11ee-ac36-0242ff9ee44d</t>
  </si>
  <si>
    <t>SUWARTI</t>
  </si>
  <si>
    <t>3521075508700001</t>
  </si>
  <si>
    <t>WARSINEM</t>
  </si>
  <si>
    <t>warsinemngawi@gmail.com</t>
  </si>
  <si>
    <t>081359860945</t>
  </si>
  <si>
    <t>81334851474</t>
  </si>
  <si>
    <t>Desa keras wetan</t>
  </si>
  <si>
    <t>RT. 03 RW. 01</t>
  </si>
  <si>
    <t>3521141103730001</t>
  </si>
  <si>
    <t>642645e3-d7d3-11ee-ac36-0242ff9ee44d</t>
  </si>
  <si>
    <t>WARSO, S.P.</t>
  </si>
  <si>
    <t>63e38e11-d7d3-11ee-ac36-0242ff9ee44d</t>
  </si>
  <si>
    <t>arisindarso89@gmail.com </t>
  </si>
  <si>
    <t>081238451871</t>
  </si>
  <si>
    <t>Aziz Febry Atmoko</t>
  </si>
  <si>
    <t>82139641863</t>
  </si>
  <si>
    <t>196707101999032003</t>
  </si>
  <si>
    <t>WARTINI, S.S.T.</t>
  </si>
  <si>
    <t>RT 03 RW 01 Dsn Pucanganom Ds KendaL</t>
  </si>
  <si>
    <t>642645f8-d7d3-11ee-ac36-0242ff9ee44d</t>
  </si>
  <si>
    <t>wartinisst67@gmail.com</t>
  </si>
  <si>
    <t>082334512595</t>
  </si>
  <si>
    <t>24a53d66-ab3f-428e-bfaf-2a84ab0fbcbc</t>
  </si>
  <si>
    <t>85210394099</t>
  </si>
  <si>
    <t>AGUS PASIANTO, S.P.,M.M.A.</t>
  </si>
  <si>
    <t>aguspasianto@gmail.com</t>
  </si>
  <si>
    <t>082143422489</t>
  </si>
  <si>
    <t>DS pojok rt03 rw01 kec kwadungan kab ngawi</t>
  </si>
  <si>
    <t>197203282010011003</t>
  </si>
  <si>
    <t>WIBOWO SANTOSO, S.P., M.M.A.</t>
  </si>
  <si>
    <t>wibowo452@gmail.com</t>
  </si>
  <si>
    <t>6426477a-d7d3-11ee-ac36-0242ff9ee44d</t>
  </si>
  <si>
    <t>08155039276</t>
  </si>
  <si>
    <t>BPP Kec. Pangkur</t>
  </si>
  <si>
    <t>197508272021211002</t>
  </si>
  <si>
    <t>64264a8e-d7d3-11ee-ac36-0242ff9ee44d</t>
  </si>
  <si>
    <t>85233900788</t>
  </si>
  <si>
    <t>197505172021212003</t>
  </si>
  <si>
    <t>WIDODO, S.P.</t>
  </si>
  <si>
    <t>197708292010011008</t>
  </si>
  <si>
    <t>widyamaharani126@gmail.com</t>
  </si>
  <si>
    <t>082229184007</t>
  </si>
  <si>
    <t>6426484b-d7d3-11ee-ac36-0242ff9ee44d</t>
  </si>
  <si>
    <t>3521091803830001</t>
  </si>
  <si>
    <t>WIDYO CAHYONO, S.P.</t>
  </si>
  <si>
    <t>widyocahyono83@gmail.com</t>
  </si>
  <si>
    <t>Dsn. Simo 3 RT. 1 RW. 1 DESA SIMO KEC. KWADUNGAN KAB NGAWI</t>
  </si>
  <si>
    <t>82330607672</t>
  </si>
  <si>
    <t>082336420388</t>
  </si>
  <si>
    <t>198011102010011005</t>
  </si>
  <si>
    <t>glodog karangrejo magetan</t>
  </si>
  <si>
    <t>7a6b39b9-6972-4bc8-bda1-b04137f74aa5</t>
  </si>
  <si>
    <t>WINDA IKA PERMATASARI, S.P.</t>
  </si>
  <si>
    <t>642643b7-d7d3-11ee-ac36-0242ff9ee44d</t>
  </si>
  <si>
    <t>windaikaper@gmail.com</t>
  </si>
  <si>
    <t>085702379547</t>
  </si>
  <si>
    <t>82127888870</t>
  </si>
  <si>
    <t>198201202017062001</t>
  </si>
  <si>
    <t>RT 02 RW 01 Pacing, Padas, Ngawi</t>
  </si>
  <si>
    <t>dsn. simo III RT. 01 RW. 01 desa Simo kec. Kwadungan Kab. Ngawi</t>
  </si>
  <si>
    <t>64264cf8-d7d3-11ee-ac36-0242ff9ee44d</t>
  </si>
  <si>
    <t>f3c7238f-d4c3-49fc-860c-adc719b44f3f</t>
  </si>
  <si>
    <t>0895325934900</t>
  </si>
  <si>
    <t>3521081406760004</t>
  </si>
  <si>
    <t>BPP Kec. Karangjati</t>
  </si>
  <si>
    <t>64264baa-d7d3-11ee-ac36-0242ff9ee44d</t>
  </si>
  <si>
    <t>Jatirejo, Cangakan, Karangmalang, Kasreman, Lego Kulon, Tawun, Kiyonten, Gunungsari</t>
  </si>
  <si>
    <t>82335525155</t>
  </si>
  <si>
    <t>197009092021211002</t>
  </si>
  <si>
    <t>Sumber Tani, Sumber Rejeki, Rejeki Agung, Tani Agung, Tani Lancar, Tani Makmur, Mulyo Tani, Tani Maju</t>
  </si>
  <si>
    <t>Rt001 Rw002 Dsn/Ds.Kedungprahu.padas.Ngawi</t>
  </si>
  <si>
    <t>64264ce3-d7d3-11ee-ac36-0242ff9ee44d</t>
  </si>
  <si>
    <t>91d93000-3911-497c-bc84-51342d56b850</t>
  </si>
  <si>
    <t>Ngesti Sari, Kunang Jati, Puspo Warno, Sri Mulyo, Jati Sari, Sumber Tani, Tani Makmur, Tani Subur, Pamardi Siwi, Marsudi Tani, Sri Sedono, Karang Tani, Tani Luhur, Karya Tani, Sri Rejeki, Tani Mulyo, Tani Makmur, Tani Murni, Pucung Tani, Tarub Tani, Sri Rejeki, Sumber Makmur, Gondang Sri, Selo Sri, Karya Remaja, Panorama, Mekarsari, Tawun III, Tani Subur, Sri Widodo, Karya Asih, Sidodadi, Subur Makmur, Pondok Tani, Karya Tani, Sri Rahayu, Suka Maju, Rejeki Tani, Tani Makmur I, Tani Makmur II, Tani Subur, Tani Mulyo</t>
  </si>
  <si>
    <t>SUGIYANTO,S.P.</t>
  </si>
  <si>
    <t>85645163100</t>
  </si>
  <si>
    <t>197002172021212001</t>
  </si>
  <si>
    <t>197506212021212001</t>
  </si>
  <si>
    <t>Dusun Brangol Desa Grudo</t>
  </si>
  <si>
    <t>YUNI ASTUTI, S.P.</t>
  </si>
  <si>
    <t>mbkyuni0102@gmail.com</t>
  </si>
  <si>
    <t>64264202-d7d3-11ee-ac36-0242ff9ee44d</t>
  </si>
  <si>
    <t>Rt01 Rw02 Dsn/Ds. Kedungprahu,Padas,Ngawi</t>
  </si>
  <si>
    <t>085736191771</t>
  </si>
  <si>
    <t>63e30fcc-d7d3-11ee-ac36-0242ff9ee44d</t>
  </si>
  <si>
    <t>Sugiyanto</t>
  </si>
  <si>
    <t>85791575347</t>
  </si>
  <si>
    <t>197905252021212005</t>
  </si>
  <si>
    <t>199404142023212046</t>
  </si>
  <si>
    <t>YUNI RAHMAWATI, S.P.</t>
  </si>
  <si>
    <t>Dusun Kedungprahu Desa Kedungprahu</t>
  </si>
  <si>
    <t>Nama Duplikat</t>
  </si>
  <si>
    <t>784507e1-3475-4552-97ff-3a96461202f8</t>
  </si>
  <si>
    <t>64264c2a-d7d3-11ee-ac36-0242ff9ee44d</t>
  </si>
  <si>
    <t>ckp tw</t>
  </si>
  <si>
    <t>rahmawatiyuni134@gmail.com</t>
  </si>
  <si>
    <t>ckptw@gmail.com</t>
  </si>
  <si>
    <t>082244693431</t>
  </si>
  <si>
    <t>test</t>
  </si>
  <si>
    <t>197702162021211001</t>
  </si>
  <si>
    <t>d677e6f1-3ef5-4ca7-b958-d568b22241ee</t>
  </si>
  <si>
    <t>YUSUP EFENDI, S.P.</t>
  </si>
  <si>
    <t>197605092021211001</t>
  </si>
  <si>
    <t>yusupefendi935@gmail.com</t>
  </si>
  <si>
    <t>ckp tw 2</t>
  </si>
  <si>
    <t>085645411453</t>
  </si>
  <si>
    <t>ckptw2@gmail.com</t>
  </si>
  <si>
    <t>6426466f-d7d3-11ee-ac36-0242ff9ee44d</t>
  </si>
  <si>
    <t>awda</t>
  </si>
  <si>
    <t>4b04ead1-500d-4f17-b373-544059fcf42d</t>
  </si>
  <si>
    <t>Suwandi, S.P</t>
  </si>
  <si>
    <t>85233523631</t>
  </si>
  <si>
    <t>Ds. Klitik Kec. Geneng Kab. Ngawi</t>
  </si>
  <si>
    <t>197501042021211002</t>
  </si>
  <si>
    <t>642648bc-d7d3-11ee-ac36-0242ff9ee44d</t>
  </si>
  <si>
    <t>81359556552</t>
  </si>
  <si>
    <t>197707142021211001</t>
  </si>
  <si>
    <t>plampoan 1. Rt/Rw :02/03 ds Geneng</t>
  </si>
  <si>
    <t>f8675b63-9449-45f2-97fa-aa393c28b7c7</t>
  </si>
  <si>
    <t>642648e7-d7d3-11ee-ac36-0242ff9ee44d</t>
  </si>
  <si>
    <t>isnineneni9i@gmail.com</t>
  </si>
  <si>
    <t>RT 01 RW 02 Sambungan, Jogorogo</t>
  </si>
  <si>
    <t>8124918253</t>
  </si>
  <si>
    <t>197707272021212001</t>
  </si>
  <si>
    <t>4bcedea3-df27-4011-8a03-0762f1a4a370</t>
  </si>
  <si>
    <t>Jl Teuku Umar</t>
  </si>
  <si>
    <t>64264bff-d7d3-11ee-ac36-0242ff9ee44d</t>
  </si>
  <si>
    <t>WAHYU HARI AHADI, S.S.T., S.Sos.</t>
  </si>
  <si>
    <t>DESA JURUREJO RT 002 RW 007 KEC./ KAB. NGAWI</t>
  </si>
  <si>
    <t>197507192007011013</t>
  </si>
  <si>
    <t>64264364-d7d3-11ee-ac36-0242ff9ee44d</t>
  </si>
  <si>
    <t>81359860945</t>
  </si>
  <si>
    <t>197008152021212004</t>
  </si>
  <si>
    <t>303360ef-2184-4988-a923-729ce1d8cc58</t>
  </si>
  <si>
    <t>64264305-d7d3-11ee-ac36-0242ff9ee44d</t>
  </si>
  <si>
    <t>MBAJENG RUSSERTAYATI PUSPITASARI, S.TP</t>
  </si>
  <si>
    <t>lula.nendra81@gmail.com</t>
  </si>
  <si>
    <t>b9747ec2-c2dc-40fc-a513-e35966cef7a5</t>
  </si>
  <si>
    <t>81578188341</t>
  </si>
  <si>
    <t>197303112021211002</t>
  </si>
  <si>
    <t>TRIMULYO ANANTORI B, SP</t>
  </si>
  <si>
    <t>Balongcapang</t>
  </si>
  <si>
    <t>642643cd-d7d3-11ee-ac36-0242ff9ee44d</t>
  </si>
  <si>
    <t>82334512595</t>
  </si>
  <si>
    <t>f346d05f-4516-4531-aac5-d112d307122b</t>
  </si>
  <si>
    <t>WAHYU HARI AHADI S.Sos., SST</t>
  </si>
  <si>
    <t>82143422489</t>
  </si>
  <si>
    <t>Email Duplikat</t>
  </si>
  <si>
    <t>64264b29-d7d3-11ee-ac36-0242ff9ee44d</t>
  </si>
  <si>
    <t>35c75fe7-dcfa-4e22-b9c6-5befe065687b</t>
  </si>
  <si>
    <t>test@gmail.com</t>
  </si>
  <si>
    <t>asdwdsadadwdwa</t>
  </si>
  <si>
    <t>82336420388</t>
  </si>
  <si>
    <t>198303182017061001</t>
  </si>
  <si>
    <t>427c10b3-4992-4b07-bd68-599cdede4451</t>
  </si>
  <si>
    <t>jl supriyadi karangasri</t>
  </si>
  <si>
    <t>Test nama</t>
  </si>
  <si>
    <t>test@mail.com</t>
  </si>
  <si>
    <t>3d37f629-9534-4a10-9119-f9f9b17b876b</t>
  </si>
  <si>
    <t>ririX</t>
  </si>
  <si>
    <t>Gg Mawar 2</t>
  </si>
  <si>
    <t>31fa141c-78f3-4fc3-976c-b109674538c5</t>
  </si>
  <si>
    <t>3521056202810006</t>
  </si>
  <si>
    <t>WIWIK SUGIARTI</t>
  </si>
  <si>
    <t>642648d1-d7d3-11ee-ac36-0242ff9ee44d</t>
  </si>
  <si>
    <t>YUNING PUDJI SRIMULATSIH</t>
  </si>
  <si>
    <t>RT 01 RW 02 Desa Kasreman, Kec. Kasreman</t>
  </si>
  <si>
    <t>52d6d019-be4d-4317-b35a-637acf2392c7</t>
  </si>
  <si>
    <t>81456076890</t>
  </si>
  <si>
    <t>3521192102790002</t>
  </si>
  <si>
    <t>196711252021212001</t>
  </si>
  <si>
    <t>YASUKI</t>
  </si>
  <si>
    <t>64264143-d7d3-11ee-ac36-0242ff9ee44d</t>
  </si>
  <si>
    <t>Gempolowo Rt 003 RW 002, JATIREJO, KASREMAN</t>
  </si>
  <si>
    <t>63e318f4-d7d3-11ee-ac36-0242ff9ee44d</t>
  </si>
  <si>
    <t>nul@gmail.com</t>
  </si>
  <si>
    <t>3521172701810001</t>
  </si>
  <si>
    <t>Agus Sungarno</t>
  </si>
  <si>
    <t>Dusun Cepak RT.01/RW.05 Desa Sekarjati</t>
  </si>
  <si>
    <t>63e319a2-d7d3-11ee-ac36-0242ff9ee44d</t>
  </si>
  <si>
    <t>3521170910420001</t>
  </si>
  <si>
    <t>197702122023212011</t>
  </si>
  <si>
    <t>Margono</t>
  </si>
  <si>
    <t>63e31979-d7d3-11ee-ac36-0242ff9ee44d</t>
  </si>
  <si>
    <t>3521172009600001</t>
  </si>
  <si>
    <t>Nyono</t>
  </si>
  <si>
    <t>63e319f4-d7d3-11ee-ac36-0242ff9ee44d</t>
  </si>
  <si>
    <t>3521170311700001</t>
  </si>
  <si>
    <t>Pagiyanto</t>
  </si>
  <si>
    <t>Dusun Sekarputih RT.02/RW.01 Desa Sekarjati</t>
  </si>
  <si>
    <t>63e32af2-d7d3-11ee-ac36-0242ff9ee44d</t>
  </si>
  <si>
    <t>3521172002680002</t>
  </si>
  <si>
    <t>Purwadi</t>
  </si>
  <si>
    <t>Desa Pandean</t>
  </si>
  <si>
    <t>63e31964-d7d3-11ee-ac36-0242ff9ee44d</t>
  </si>
  <si>
    <t>3521171601700002</t>
  </si>
  <si>
    <t>Sardi</t>
  </si>
  <si>
    <t>63e31a47-d7d3-11ee-ac36-0242ff9ee44d</t>
  </si>
  <si>
    <t>3521175008850001</t>
  </si>
  <si>
    <t>Sri Lestari</t>
  </si>
  <si>
    <t>Dusun Dondong RT.03/RW.06 Desa Sekarjati</t>
  </si>
  <si>
    <t>63e31a1d-d7d3-11ee-ac36-0242ff9ee44d</t>
  </si>
  <si>
    <t>3521170704530001</t>
  </si>
  <si>
    <t>Wignyo Diharjo Sugito</t>
  </si>
  <si>
    <t>2d870104-8620-4dee-8c23-311105779d7c</t>
  </si>
  <si>
    <t>6471082232319484</t>
  </si>
  <si>
    <t>Fadel</t>
  </si>
  <si>
    <t>Fadel@gmail.com</t>
  </si>
  <si>
    <t>jl pap</t>
  </si>
  <si>
    <t>37f69996-18fc-4e25-b56a-144e39b63750</t>
  </si>
  <si>
    <t>6471082232319485</t>
  </si>
  <si>
    <t>Fadell</t>
  </si>
  <si>
    <t>Fadell@gmail.com</t>
  </si>
  <si>
    <t>jllajsja</t>
  </si>
  <si>
    <t>89624381-f159-4ee2-99a4-98eb441ba06b</t>
  </si>
  <si>
    <t>1234567890123456</t>
  </si>
  <si>
    <t>Joko</t>
  </si>
  <si>
    <t>JL Jalan ke bandung</t>
  </si>
  <si>
    <t>034bb43a-e4ac-4d82-8368-4875ff295587</t>
  </si>
  <si>
    <t>fatqur</t>
  </si>
  <si>
    <t>gelung</t>
  </si>
  <si>
    <t>8b24f684-7053-498e-95ad-e4f17af23e76</t>
  </si>
  <si>
    <t>khairul</t>
  </si>
  <si>
    <t>64264c70-d7d3-11ee-ac36-0242ff9ee44d</t>
  </si>
  <si>
    <t>Desa Wonorejo RT.05 RW.01</t>
  </si>
  <si>
    <t>64264a42-d7d3-11ee-ac36-0242ff9ee44d</t>
  </si>
  <si>
    <t>63e3cef6-d7d3-11ee-ac36-0242ff9ee44d</t>
  </si>
  <si>
    <t>3521081002670002</t>
  </si>
  <si>
    <t>Samirin</t>
  </si>
  <si>
    <t>herry.ngawi@gmail.com</t>
  </si>
  <si>
    <t>Desa Sukowiyono</t>
  </si>
  <si>
    <t>63e3ceb2-d7d3-11ee-ac36-0242ff9ee44d</t>
  </si>
  <si>
    <t>3521080409720002</t>
  </si>
  <si>
    <t>Sunardi</t>
  </si>
  <si>
    <t>63e3cbc8-d7d3-11ee-ac36-0242ff9ee44d</t>
  </si>
  <si>
    <t>3521031209870003</t>
  </si>
  <si>
    <t>EKO WIDODO</t>
  </si>
  <si>
    <t>jogorogosiketan@gmail.com</t>
  </si>
  <si>
    <t>Dsn Sumyangan Desa Tanjungsari Kec. Jogorogo</t>
  </si>
  <si>
    <t>63e3a445-d7d3-11ee-ac36-0242ff9ee44d</t>
  </si>
  <si>
    <t>3521030309870001</t>
  </si>
  <si>
    <t>Tryhono</t>
  </si>
  <si>
    <t>kletekan jogorogo</t>
  </si>
  <si>
    <t>63e3ca56-d7d3-11ee-ac36-0242ff9ee44d</t>
  </si>
  <si>
    <t>3521031101810001</t>
  </si>
  <si>
    <t>YUDI NUGROHO</t>
  </si>
  <si>
    <t>GONDANG SOCO JOGOROGO</t>
  </si>
  <si>
    <t>c75ff161-f601-4344-ad1e-2e3129a8a4c9</t>
  </si>
  <si>
    <t>Munirul</t>
  </si>
  <si>
    <t>munir@gmail.com</t>
  </si>
  <si>
    <t>fd397a3a-ddd8-4f7c-b11c-bec64ffde438</t>
  </si>
  <si>
    <t>16a44110-f257-41e9-96c8-ce03dce171b4</t>
  </si>
  <si>
    <t>3521110402800003</t>
  </si>
  <si>
    <t>Munirul Hadi</t>
  </si>
  <si>
    <t>3521101708940001</t>
  </si>
  <si>
    <t>Kaliwowo</t>
  </si>
  <si>
    <t>4729cf87-ee91-49f8-9115-b58ba5c6fe07</t>
  </si>
  <si>
    <t>789a6e01-d6ab-4686-b8a3-702ca9f6111d</t>
  </si>
  <si>
    <t>f861abc4-039f-4281-a255-1095c3f8c33a</t>
  </si>
  <si>
    <t>1077304d-da15-4cce-9a67-1def149a6eb9</t>
  </si>
  <si>
    <t>68b52d78-798b-4366-a3a3-292f4f2ffa66</t>
  </si>
  <si>
    <t>d900b90f-3d4b-44dd-98ea-e3c281e52730</t>
  </si>
  <si>
    <t>3521076505790003</t>
  </si>
  <si>
    <t>rahmawatiyuni@gmail.com</t>
  </si>
  <si>
    <t>BPP Kec. Kwadungan</t>
  </si>
  <si>
    <t>64264a2d-d7d3-11ee-ac36-0242ff9ee44d</t>
  </si>
  <si>
    <t>Jl. Kawung Gang II No. 11 Ponorogo, Jawa Timur</t>
  </si>
  <si>
    <t>37ed72b0-c691-44eb-a028-5825ff8657a4</t>
  </si>
  <si>
    <t>A RASIT SETIAWAN</t>
  </si>
  <si>
    <t>bfa060d6-6adf-4c0b-bcab-af24ab075a75</t>
  </si>
  <si>
    <t>b8844d91-1481-4afa-8f02-6ccba053a26e</t>
  </si>
  <si>
    <t>63e30ac6-d7d3-11ee-ac36-0242ff9ee44d</t>
  </si>
  <si>
    <t>3521060604680001</t>
  </si>
  <si>
    <t>ALI MAHMUD</t>
  </si>
  <si>
    <t>DUSUN GROGOLAN DESA WARUKKALONG</t>
  </si>
  <si>
    <t>63e31aef-d7d3-11ee-ac36-0242ff9ee44d</t>
  </si>
  <si>
    <t>3521172212770002</t>
  </si>
  <si>
    <t>Dwi Prabowo</t>
  </si>
  <si>
    <t>null</t>
  </si>
  <si>
    <t>Dusun Sekarjati RT.01/RW.03 Desa Sekarjati</t>
  </si>
  <si>
    <t>63e34b1b-d7d3-11ee-ac36-0242ff9ee44d</t>
  </si>
  <si>
    <t>3519114604800004</t>
  </si>
  <si>
    <t>SEMI WIDAYATI</t>
  </si>
  <si>
    <t>DESA MOJOMANIS</t>
  </si>
  <si>
    <t>63e3cf0c-d7d3-11ee-ac36-0242ff9ee44d</t>
  </si>
  <si>
    <t>3521174202830002</t>
  </si>
  <si>
    <t>SULIYEM</t>
  </si>
  <si>
    <t>DUSUN PANDEAN RT.05 RW.01</t>
  </si>
  <si>
    <t>63e31ab0-d7d3-11ee-ac36-0242ff9ee44d</t>
  </si>
  <si>
    <t>3521170806790003</t>
  </si>
  <si>
    <t>Sutrisno</t>
  </si>
  <si>
    <t>WhatsApp Duplikat</t>
  </si>
  <si>
    <t>910c8ba3-ba87-42c9-baad-d6bfad5f08bc</t>
  </si>
  <si>
    <t>puryantodikromo92@gmail.com</t>
  </si>
  <si>
    <t>RT 01/01 Ds. Dawung Kec. Jogorogo Kab. Ngawi</t>
  </si>
  <si>
    <t>f45ee3fd-2246-4719-bf83-52deea935735</t>
  </si>
  <si>
    <t>Glodog RT01/02 Kel. Karangrejo Kec. Karangrejo, Magetan</t>
  </si>
  <si>
    <t>6db606db-9386-4c06-a4f9-0c56d308ca50</t>
  </si>
  <si>
    <t>budisuswanto5479@gmail.com</t>
  </si>
  <si>
    <t>86074edc-02b3-4db4-b1bd-8ce4cfe9455f</t>
  </si>
  <si>
    <t>R. AGUNG KUSUMO WAHYU WIBOWO, S.S.T.</t>
  </si>
  <si>
    <t>JL. WIGYO SI -67 RT/RW 005/003 KEL/DESA KARANGTENGAH KEC./ KAB. NGAWI</t>
  </si>
  <si>
    <t>396b0fed-e0a6-4249-b0dc-025b1465e11e</t>
  </si>
  <si>
    <t>operator super admin</t>
  </si>
  <si>
    <t>3514002000000033</t>
  </si>
  <si>
    <t>Penyuluhan Ngawi</t>
  </si>
  <si>
    <t>penyuluhanngawi@gmail.com</t>
  </si>
  <si>
    <t>Jl. Raya SUkses Maju</t>
  </si>
  <si>
    <t>a2872793-d59b-4bd5-9020-8974b49ab381</t>
  </si>
  <si>
    <t>3521056607660001</t>
  </si>
  <si>
    <t>suwarti</t>
  </si>
  <si>
    <t>suwartibpp@gmail.com</t>
  </si>
  <si>
    <t>keraswetan Geneng</t>
  </si>
  <si>
    <t>94b7030c-910b-4986-a18f-97216b5de71d</t>
  </si>
  <si>
    <t>joko@penyuluh.com</t>
  </si>
  <si>
    <t>d92922e9-ec11-45e9-ac5d-510e6192c500</t>
  </si>
  <si>
    <t>3517432563600012</t>
  </si>
  <si>
    <t>Adam Trevor</t>
  </si>
  <si>
    <t>mgkiddrock@gmail.com</t>
  </si>
  <si>
    <t>eca6d216-3864-43d1-89df-bef14095826c</t>
  </si>
  <si>
    <t>Desa Sukomulyo RT 02 RW 01 No.53</t>
  </si>
  <si>
    <t>3521092808760003</t>
  </si>
  <si>
    <t>Tri Sujadmiko</t>
  </si>
  <si>
    <t>BPP Kec. Widodaren</t>
  </si>
  <si>
    <t>64264173-d7d3-11ee-ac36-0242ff9ee44d</t>
  </si>
  <si>
    <t>watualang</t>
  </si>
  <si>
    <t>642649d7-d7d3-11ee-ac36-0242ff9ee44d</t>
  </si>
  <si>
    <t>Sambirejo</t>
  </si>
  <si>
    <t>a885172a-afb2-4a98-a100-c4c709949eb9</t>
  </si>
  <si>
    <t>3521131007720001</t>
  </si>
  <si>
    <t>Siswanto</t>
  </si>
  <si>
    <t>birowo.organik@gmail.com</t>
  </si>
  <si>
    <t>Sambirejo, RT.002 RW.008 Sambirejo, Kecamatan Mantingan</t>
  </si>
  <si>
    <t>Double Email</t>
  </si>
  <si>
    <t>8ad54e58-e387-4ed3-b92d-495dbab0a871</t>
  </si>
  <si>
    <t>3521100702990005</t>
  </si>
  <si>
    <t>anonnnymous</t>
  </si>
  <si>
    <t>khairulfatqurr@gmail.com</t>
  </si>
  <si>
    <t>3521101102990005</t>
  </si>
  <si>
    <t>paron</t>
  </si>
  <si>
    <t>107371f9-2475-43ba-9331-a5bb34870871</t>
  </si>
  <si>
    <t>3514112401950009</t>
  </si>
  <si>
    <t>Nyonya Yaqin</t>
  </si>
  <si>
    <t>yaqinjq.muhammad@gmail.com</t>
  </si>
  <si>
    <t>Sihanouk Ville Kampung Som, Preah sihanouk Kamboja</t>
  </si>
  <si>
    <t>bf81ef65-8899-49f7-9b29-c9874deb0869</t>
  </si>
  <si>
    <t>3514112401950003</t>
  </si>
  <si>
    <t>Takiya jq</t>
  </si>
  <si>
    <t>takiya@admin.com</t>
  </si>
  <si>
    <t>63e331f4-d7d3-11ee-ac36-0242ff9ee44d</t>
  </si>
  <si>
    <t>3521010102890001</t>
  </si>
  <si>
    <t>AGASTYA YOGA MULYA</t>
  </si>
  <si>
    <t>KRAJAN RT 6 RW 1 KUNIRAN</t>
  </si>
  <si>
    <t>63e3325b-d7d3-11ee-ac36-0242ff9ee44d</t>
  </si>
  <si>
    <t>3521013003950001</t>
  </si>
  <si>
    <t>RAHMIKA MARI'E ALLIFUDIN</t>
  </si>
  <si>
    <t>KRAJAN RT 03 RW 01 KUNIRAN</t>
  </si>
  <si>
    <t>63e31bdc-d7d3-11ee-ac36-0242ff9ee44d</t>
  </si>
  <si>
    <t>3521012205780001</t>
  </si>
  <si>
    <t>SUMARNO</t>
  </si>
  <si>
    <t>KRAJAN KULON RT 02 RW 02 SINE</t>
  </si>
  <si>
    <t>63e31bbc-d7d3-11ee-ac36-0242ff9ee44d</t>
  </si>
  <si>
    <t>3521013112810011</t>
  </si>
  <si>
    <t>SUYONO</t>
  </si>
  <si>
    <t>Krajan Kulon RT. 02 RW. 02</t>
  </si>
  <si>
    <t>6426480d-d7d3-11ee-ac36-0242ff9ee44d</t>
  </si>
  <si>
    <t>DS. TEGUHAN, KEC. PARON, KAB. NGAWI</t>
  </si>
  <si>
    <t>64264b7f-d7d3-11ee-ac36-0242ff9ee44d</t>
  </si>
  <si>
    <t>a7210940-24f2-43d8-8e04-387c532a198a</t>
  </si>
  <si>
    <t>Dsn Kuncen Ds Tambakromo Kec Padas Kab Ngawi rt01/rw04</t>
  </si>
  <si>
    <t>63e365af-d7d3-11ee-ac36-0242ff9ee44d</t>
  </si>
  <si>
    <t>3521081503790002</t>
  </si>
  <si>
    <t>Juri</t>
  </si>
  <si>
    <t>AGUNG ARIFIANTO, SST</t>
  </si>
  <si>
    <t>Dusun Kuncen Desa Tambakromo</t>
  </si>
  <si>
    <t>63e3653e-d7d3-11ee-ac36-0242ff9ee44d</t>
  </si>
  <si>
    <t>3521080110720007</t>
  </si>
  <si>
    <t>Sutikno</t>
  </si>
  <si>
    <t>64264a75-d7d3-11ee-ac36-0242ff9ee44d</t>
  </si>
  <si>
    <t>TAMBAKROMO RT 001 RW 001 DESA TAMBAKROMO KECAMATAN PADAS</t>
  </si>
  <si>
    <t>63e363f2-d7d3-11ee-ac36-0242ff9ee44d</t>
  </si>
  <si>
    <t>3521081010710002</t>
  </si>
  <si>
    <t>Herlan Jauhari</t>
  </si>
  <si>
    <t>Dusun Tambakromo Desa Tambakromo</t>
  </si>
  <si>
    <t>63e34ba8-d7d3-11ee-ac36-0242ff9ee44d</t>
  </si>
  <si>
    <t>3521062203770001</t>
  </si>
  <si>
    <t>SUTRISNO</t>
  </si>
  <si>
    <t>POJOK 1</t>
  </si>
  <si>
    <t>63e30fa4-d7d3-11ee-ac36-0242ff9ee44d</t>
  </si>
  <si>
    <t>3521081203650004</t>
  </si>
  <si>
    <t>Suyono</t>
  </si>
  <si>
    <t>b665c2e2-18ce-47af-b408-d9fe02c32f2f</t>
  </si>
  <si>
    <t>Haykal</t>
  </si>
  <si>
    <t>haykal@admin.com</t>
  </si>
  <si>
    <t>Jl. Jalan</t>
  </si>
  <si>
    <t>550e8400-e29b-41d4-a716-446655440000</t>
  </si>
  <si>
    <t>Jagoan Labs</t>
  </si>
  <si>
    <t>jagoanlabs@gmail.com</t>
  </si>
  <si>
    <t>1b5d9ef7-62f4-4ed8-a1f5-c50ac4e5abff</t>
  </si>
  <si>
    <t>3514112201990002</t>
  </si>
  <si>
    <t>Cahyono</t>
  </si>
  <si>
    <t>cahyono@penyuluh.com</t>
  </si>
  <si>
    <t>986fd166-a261-4b47-87b9-7e0d7d257fac</t>
  </si>
  <si>
    <t>1234567890654321</t>
  </si>
  <si>
    <t>Mamang</t>
  </si>
  <si>
    <t>mamang@gmail.com</t>
  </si>
  <si>
    <t>36c463d2-4f0a-4a28-ab7b-28ea7b635d1a</t>
  </si>
  <si>
    <t>JL. Sumber sari I</t>
  </si>
  <si>
    <t>1234567899988998</t>
  </si>
  <si>
    <t>penyuluh reguler</t>
  </si>
  <si>
    <t>642640e0-d7d3-11ee-ac36-0242ff9ee44d</t>
  </si>
  <si>
    <t>penyuluhreguler@gmail.com</t>
  </si>
  <si>
    <t>shun izaki</t>
  </si>
  <si>
    <t>mohondiedit@gmail.com</t>
  </si>
  <si>
    <t>6426488d-d7d3-11ee-ac36-0242ff9ee44d</t>
  </si>
  <si>
    <t>Perum Griya Rahayu Kencana Blok C11 Trunojoyo gg pudak Ngawi</t>
  </si>
  <si>
    <t>63e3a3b1-d7d3-11ee-ac36-0242ff9ee44d</t>
  </si>
  <si>
    <t>3520161906900001</t>
  </si>
  <si>
    <t>Agus Supriyadi</t>
  </si>
  <si>
    <t>Dusun Gatak Desa Kletekan</t>
  </si>
  <si>
    <t>63e3a358-d7d3-11ee-ac36-0242ff9ee44d</t>
  </si>
  <si>
    <t>3521031402890003</t>
  </si>
  <si>
    <t>Anang Dwi P</t>
  </si>
  <si>
    <t>425b52ab-8f18-4312-b7ab-2c917c33d6b9</t>
  </si>
  <si>
    <t>11100229987654321</t>
  </si>
  <si>
    <t>riritest</t>
  </si>
  <si>
    <t>63e3a4c8-d7d3-11ee-ac36-0242ff9ee44d</t>
  </si>
  <si>
    <t>putriwldr329@gmail.com</t>
  </si>
  <si>
    <t>3521032201860001</t>
  </si>
  <si>
    <t>Anas Thohari</t>
  </si>
  <si>
    <t>Dsn. Pocol Ds. Kletekan Kec. Jogorogo</t>
  </si>
  <si>
    <t>63e3a508-d7d3-11ee-ac36-0242ff9ee44d</t>
  </si>
  <si>
    <t>3521030907630003</t>
  </si>
  <si>
    <t>Asrori</t>
  </si>
  <si>
    <t>51450137-62c0-4cde-b029-bed9bed10935</t>
  </si>
  <si>
    <t>63e3a2ef-d7d3-11ee-ac36-0242ff9ee44d</t>
  </si>
  <si>
    <t>Ryo Santoso</t>
  </si>
  <si>
    <t>3521030303800002</t>
  </si>
  <si>
    <t>ryosantoso15@gmail.com</t>
  </si>
  <si>
    <t>Eko Cahyono</t>
  </si>
  <si>
    <t>63e3a4de-d7d3-11ee-ac36-0242ff9ee44d</t>
  </si>
  <si>
    <t>3521032610770001</t>
  </si>
  <si>
    <t>Malang</t>
  </si>
  <si>
    <t>Fahrudin</t>
  </si>
  <si>
    <t>94fc16a9-de5d-4c97-9277-d09ce911b00d</t>
  </si>
  <si>
    <t>63e3a547-d7d3-11ee-ac36-0242ff9ee44d</t>
  </si>
  <si>
    <t>200102052025042003</t>
  </si>
  <si>
    <t>3521032407810001</t>
  </si>
  <si>
    <t>Januri</t>
  </si>
  <si>
    <t>614a1514-cc4c-4e91-9266-ee0ac24a0f9e</t>
  </si>
  <si>
    <t>63e3a7c5-d7d3-11ee-ac36-0242ff9ee44d</t>
  </si>
  <si>
    <t>Admin</t>
  </si>
  <si>
    <t>3521030206730001</t>
  </si>
  <si>
    <t>khai@gmail.com</t>
  </si>
  <si>
    <t>Aminudin</t>
  </si>
  <si>
    <t>f8a6535d-6643-44ac-b7d2-1dd4205ced19</t>
  </si>
  <si>
    <t>Ds. Girimulyo Kec. Jogorogo</t>
  </si>
  <si>
    <t>63e3a786-d7d3-11ee-ac36-0242ff9ee44d</t>
  </si>
  <si>
    <t>SIKETAN</t>
  </si>
  <si>
    <t>3213456718901235</t>
  </si>
  <si>
    <t>3521030906660001</t>
  </si>
  <si>
    <t>Arif Suratman</t>
  </si>
  <si>
    <t>siketan@ngawikab.go.id</t>
  </si>
  <si>
    <t>Dusun Gambang Ds. Girimulyo Kec. Jogorogo</t>
  </si>
  <si>
    <t>63e3a804-d7d3-11ee-ac36-0242ff9ee44d</t>
  </si>
  <si>
    <t>3521032802730001</t>
  </si>
  <si>
    <t>Bringin, Ngawi, Jawa Timur</t>
  </si>
  <si>
    <t>Gunawan</t>
  </si>
  <si>
    <t>Dusun Manyul Desa Girimulyo Kec. Jogorogo</t>
  </si>
  <si>
    <t>63e3a79b-d7d3-11ee-ac36-0242ff9ee44d</t>
  </si>
  <si>
    <t>3521030410830001</t>
  </si>
  <si>
    <t>Rudiono</t>
  </si>
  <si>
    <t>63e3a85c-d7d3-11ee-ac36-0242ff9ee44d</t>
  </si>
  <si>
    <t>3521032508720001</t>
  </si>
  <si>
    <t>Samsudin</t>
  </si>
  <si>
    <t>63e3a7ef-d7d3-11ee-ac36-0242ff9ee44d</t>
  </si>
  <si>
    <t>3521031005700001</t>
  </si>
  <si>
    <t>Sudarno</t>
  </si>
  <si>
    <t>63e3a81a-d7d3-11ee-ac36-0242ff9ee44d</t>
  </si>
  <si>
    <t>3521030405540001</t>
  </si>
  <si>
    <t>Supono</t>
  </si>
  <si>
    <t>Dsn. Manyul Ds. Girimulyo Kec. Jogorogo</t>
  </si>
  <si>
    <t>63e3a830-d7d3-11ee-ac36-0242ff9ee44d</t>
  </si>
  <si>
    <t>3521033006630002</t>
  </si>
  <si>
    <t>Suprapto</t>
  </si>
  <si>
    <t>63e3a76f-d7d3-11ee-ac36-0242ff9ee44d</t>
  </si>
  <si>
    <t>3521031210780001</t>
  </si>
  <si>
    <t>Suratman</t>
  </si>
  <si>
    <t>Dusun Gambang Desa Girimulyo Kec. Jogorogo</t>
  </si>
  <si>
    <t>d7010484-543b-4b52-a3b5-ad5f8ef71374</t>
  </si>
  <si>
    <t>63e3a7b0-d7d3-11ee-ac36-0242ff9ee44d</t>
  </si>
  <si>
    <t>199705022025041005</t>
  </si>
  <si>
    <t>Tri Sujatmiko</t>
  </si>
  <si>
    <t>3521030505780007</t>
  </si>
  <si>
    <t>Suyatno</t>
  </si>
  <si>
    <t>RT 02 RW 04 Dsn Purworejo Ds Watualang Ngawi</t>
  </si>
  <si>
    <t>NIK Duplikat</t>
  </si>
  <si>
    <t>6fa5806e-1610-4d7e-b205-544c78d04c75</t>
  </si>
  <si>
    <t>3456020306512223</t>
  </si>
  <si>
    <t>Amien</t>
  </si>
  <si>
    <t>jl. desa simanalagi</t>
  </si>
  <si>
    <t>3456020306512765</t>
  </si>
  <si>
    <t>ac370933-7b5b-45e2-bab3-98a6e1dcbb93</t>
  </si>
  <si>
    <t>3652032623512325</t>
  </si>
  <si>
    <t>Jarjit</t>
  </si>
  <si>
    <t>jl. desa kalimalang</t>
  </si>
  <si>
    <t>3652032623512565</t>
  </si>
  <si>
    <t>Tidak Verified</t>
  </si>
  <si>
    <t>b86ea2aa-c5d0-445c-be8f-f3e52c1194b7</t>
  </si>
  <si>
    <t>Marsudiyanto</t>
  </si>
  <si>
    <t>rachmatsaksono467@gmail.com</t>
  </si>
  <si>
    <t>1976082820212110</t>
  </si>
  <si>
    <t>BPP Kec. Kedunggalar</t>
  </si>
  <si>
    <t>63e30a6a-d7d3-11ee-ac36-0242ff9ee44d</t>
  </si>
  <si>
    <t>pengawas aplikasi sil</t>
  </si>
  <si>
    <t>shilvi@admin.com</t>
  </si>
  <si>
    <t>8880477788990003</t>
  </si>
  <si>
    <t>JL Malang</t>
  </si>
  <si>
    <t>99acba58-65ad-4bd0-9da1-df5772cae0ed</t>
  </si>
  <si>
    <t>3521091312850003</t>
  </si>
  <si>
    <t>DIKA LUSIANTO, S.S.T., S,Sos., M.M.</t>
  </si>
  <si>
    <t>dika.lusianto@gmail.com</t>
  </si>
  <si>
    <t>b97708b1-5562-4a65-a664-ddd9b697d48b</t>
  </si>
  <si>
    <t>Tiara Rara</t>
  </si>
  <si>
    <t>Dungus, Karangasri, Ngawi</t>
  </si>
  <si>
    <t>tiaralistyaningputri@gmail.com</t>
  </si>
  <si>
    <t>3a64c147-28fa-4875-8692-d8701febd571</t>
  </si>
  <si>
    <t>3521100101980001</t>
  </si>
  <si>
    <t>Jokae</t>
  </si>
  <si>
    <t>Jl. Yos Sudarso No.23, Kerek, Margomulyo, Kec. Ngawi, Kabupaten Ngawi, Jawa Timur 63217</t>
  </si>
  <si>
    <t>jokoa@penyuluh.com</t>
  </si>
  <si>
    <t>-</t>
  </si>
  <si>
    <t>eb5bb891-1549-40ec-bdd4-711e7a3da29a</t>
  </si>
  <si>
    <t>Satoru</t>
  </si>
  <si>
    <t>satoru@penyuluh.com</t>
  </si>
  <si>
    <t>jl. sepanjang kenangan</t>
  </si>
  <si>
    <t>d904b701-b07a-44b3-af8b-20937185b6a0</t>
  </si>
  <si>
    <t>petani jagoanlabs</t>
  </si>
  <si>
    <t>petanijagoanlabs@gmail.com</t>
  </si>
  <si>
    <t>6426415c-d7d3-11ee-ac36-0242ff9ee44d</t>
  </si>
  <si>
    <t>642641a1-d7d3-11ee-ac36-0242ff9ee44d</t>
  </si>
  <si>
    <t>jenggrik</t>
  </si>
  <si>
    <t>64264afe-d7d3-11ee-ac36-0242ff9ee44d</t>
  </si>
  <si>
    <t>dungmiri</t>
  </si>
  <si>
    <t>6426418a-d7d3-11ee-ac36-0242ff9ee44d</t>
  </si>
  <si>
    <t>kawu</t>
  </si>
  <si>
    <t>64264d38-d7d3-11ee-ac36-0242ff9ee44d</t>
  </si>
  <si>
    <t>RT. 07 RW. 01</t>
  </si>
  <si>
    <t>64264bd4-d7d3-11ee-ac36-0242ff9ee44d</t>
  </si>
  <si>
    <t>Sambirobyong klitik,Geneng,Ngawi</t>
  </si>
  <si>
    <t>64264a5a-d7d3-11ee-ac36-0242ff9ee44d</t>
  </si>
  <si>
    <t>64264aba-d7d3-11ee-ac36-0242ff9ee44d</t>
  </si>
  <si>
    <t>Jln.Mayjen Sungkono Gg. Sosropuran No.4 Madiun</t>
  </si>
  <si>
    <t>64264b95-d7d3-11ee-ac36-0242ff9ee44d</t>
  </si>
  <si>
    <t>DUSUN PILANG RT006 RW002 DESA NGOMPRO KECAMATAN PANGKUR KABUPATEN NGAWI</t>
  </si>
  <si>
    <t>64264d23-d7d3-11ee-ac36-0242ff9ee44d</t>
  </si>
  <si>
    <t>RT 02 RW 03 Ds. Kauman, Kec. Karangrejo, Kab. Magetan</t>
  </si>
  <si>
    <t>64264ca2-d7d3-11ee-ac36-0242ff9ee44d</t>
  </si>
  <si>
    <t>Dsn. Kedunggalar</t>
  </si>
  <si>
    <t>642646c8-d7d3-11ee-ac36-0242ff9ee44d</t>
  </si>
  <si>
    <t>KWADUNGAN, NGAWI</t>
  </si>
  <si>
    <t>64264bbf-d7d3-11ee-ac36-0242ff9ee44d</t>
  </si>
  <si>
    <t>Dsn Ngembak Ds Munggut kec.Padas, Kab.ngawi</t>
  </si>
  <si>
    <t>64264337-d7d3-11ee-ac36-0242ff9ee44d</t>
  </si>
  <si>
    <t>JL GELATIK 30 RT 01 RW 02 DSN/DS. BERAN, KEC./ KAB. NGAWI</t>
  </si>
  <si>
    <t>64264a18-d7d3-11ee-ac36-0242ff9ee44d</t>
  </si>
  <si>
    <t>Graha Kirana F10, Winongo, Manguharjo, Kota Madiun</t>
  </si>
  <si>
    <t>642641ba-d7d3-11ee-ac36-0242ff9ee44d</t>
  </si>
  <si>
    <t>Sambirobyong, Klitik, Geneng</t>
  </si>
  <si>
    <t>64264127-d7d3-11ee-ac36-0242ff9ee44d</t>
  </si>
  <si>
    <t>64264b6a-d7d3-11ee-ac36-0242ff9ee44d</t>
  </si>
  <si>
    <t>Rt01 Rw04 Desa Pohkonyal,Kec Pangkur Kab. Ngawi</t>
  </si>
  <si>
    <t>64264b14-d7d3-11ee-ac36-0242ff9ee44d</t>
  </si>
  <si>
    <t>RT. 02 RW. 04</t>
  </si>
  <si>
    <t>6426496c-d7d3-11ee-ac36-0242ff9ee44d</t>
  </si>
  <si>
    <t>Dusun Ngompro RT 4 RW 1</t>
  </si>
  <si>
    <t>642649ac-d7d3-11ee-ac36-0242ff9ee44d</t>
  </si>
  <si>
    <t>sragen</t>
  </si>
  <si>
    <t>6426438d-d7d3-11ee-ac36-0242ff9ee44d</t>
  </si>
  <si>
    <t>DESA KENONGOMULYO RT. 06 RW. 02, KEC. NGUNTORONADI, KAB. MAGETAN</t>
  </si>
  <si>
    <t>64264982-d7d3-11ee-ac36-0242ff9ee44d</t>
  </si>
  <si>
    <t>DESA NGALE RT 14/05 KEC PARON KAB NGAWI</t>
  </si>
  <si>
    <t>64264ad1-d7d3-11ee-ac36-0242ff9ee44d</t>
  </si>
  <si>
    <t>JL.INDRAGIRI RT.02. RW.02 DSN NAMAK TENGAH DESA NAMBAK KECAMATAN BUNGKAL KAB. PONOROGO</t>
  </si>
  <si>
    <t>64264ae8-d7d3-11ee-ac36-0242ff9ee44d</t>
  </si>
  <si>
    <t>Ds.Sambiroto,Padas,Ngawi</t>
  </si>
  <si>
    <t>64264aa3-d7d3-11ee-ac36-0242ff9ee44d</t>
  </si>
  <si>
    <t>DSN. WARUK DS. MANGUNHARJO. KEC./KAB. NGAWI</t>
  </si>
  <si>
    <t>642649ed-d7d3-11ee-ac36-0242ff9ee44d</t>
  </si>
  <si>
    <t>NGADIREJO</t>
  </si>
  <si>
    <t>Jumlah Peran</t>
  </si>
  <si>
    <t>Nama Role</t>
  </si>
  <si>
    <t>642647cf-d7d3-11ee-ac36-0242ff9ee44d</t>
  </si>
  <si>
    <t>DS. NGRAMBE RT 01/RW 03, KEC. NGRAMBE,  KAB.NGAWI</t>
  </si>
  <si>
    <t>64264d63-d7d3-11ee-ac36-0242ff9ee44d</t>
  </si>
  <si>
    <t>RT. 04 RW. 04 Ds. Guyung, Kec. Gerih, Kab. Ngawi</t>
  </si>
  <si>
    <t>64264d4d-d7d3-11ee-ac36-0242ff9ee44d</t>
  </si>
  <si>
    <t>64264b55-d7d3-11ee-ac36-0242ff9ee44d</t>
  </si>
  <si>
    <t>RT. 01 RW. 01</t>
  </si>
  <si>
    <t>2efdaab0-9a17-4a1e-b56f-c9a1e48f667d</t>
  </si>
  <si>
    <t>penyuluh_swadaya</t>
  </si>
  <si>
    <t>penyuluh swadaya</t>
  </si>
  <si>
    <t>penyuluhswadaya@gmail.com</t>
  </si>
  <si>
    <t>dd</t>
  </si>
  <si>
    <t>63e38397-d7d3-11ee-ac36-0242ff9ee44d</t>
  </si>
  <si>
    <t>SUKANTO</t>
  </si>
  <si>
    <t>3521051512660008</t>
  </si>
  <si>
    <t>Klitik</t>
  </si>
  <si>
    <t>63e378b3-d7d3-11ee-ac36-0242ff9ee44d</t>
  </si>
  <si>
    <t>SUPRIYADI</t>
  </si>
  <si>
    <t>3521050412710002</t>
  </si>
  <si>
    <t>Baderan</t>
  </si>
  <si>
    <t>63e377a0-d7d3-11ee-ac36-0242ff9ee44d</t>
  </si>
  <si>
    <t>AAN AGUS NURYADI</t>
  </si>
  <si>
    <t>6408040908900014</t>
  </si>
  <si>
    <t>Keraswetan</t>
  </si>
  <si>
    <t>63e325b5-d7d3-11ee-ac36-0242ff9ee44d</t>
  </si>
  <si>
    <t>AAN HARIYANTO</t>
  </si>
  <si>
    <t>3521020404810001</t>
  </si>
  <si>
    <t>Dusun Bombongan desa Manisharjo</t>
  </si>
  <si>
    <t>63e3c8a7-d7d3-11ee-ac36-0242ff9ee44d</t>
  </si>
  <si>
    <t>AAN MUBAIDILAH</t>
  </si>
  <si>
    <t>3521101511780001</t>
  </si>
  <si>
    <t>Ds. Gentong, Kec. Paron</t>
  </si>
  <si>
    <t>63e39c10-d7d3-11ee-ac36-0242ff9ee44d</t>
  </si>
  <si>
    <t>Aan Rismanto</t>
  </si>
  <si>
    <t>Dusun Jumog Desa Macanan Kec. Jogorogo</t>
  </si>
  <si>
    <t>63e379bb-d7d3-11ee-ac36-0242ff9ee44d</t>
  </si>
  <si>
    <t>AAN YUANI</t>
  </si>
  <si>
    <t>5101010404810002</t>
  </si>
  <si>
    <t>Klampisan</t>
  </si>
  <si>
    <t>63e39296-d7d3-11ee-ac36-0242ff9ee44d</t>
  </si>
  <si>
    <t>Aan Yulianti</t>
  </si>
  <si>
    <t>3521076503840009</t>
  </si>
  <si>
    <t>Desa Danguk</t>
  </si>
  <si>
    <t>63e3bb1c-d7d3-11ee-ac36-0242ff9ee44d</t>
  </si>
  <si>
    <t>AAN YULIANTO</t>
  </si>
  <si>
    <t>3521030508810003</t>
  </si>
  <si>
    <t>63e37af7-d7d3-11ee-ac36-0242ff9ee44d</t>
  </si>
  <si>
    <t>ABDUL AJIS</t>
  </si>
  <si>
    <t>3521050308720003</t>
  </si>
  <si>
    <t>63e38295-d7d3-11ee-ac36-0242ff9ee44d</t>
  </si>
  <si>
    <t>ABDUL AMUR</t>
  </si>
  <si>
    <t>3521051504630004</t>
  </si>
  <si>
    <t>Kersoharjo</t>
  </si>
  <si>
    <t>63e345db-d7d3-11ee-ac36-0242ff9ee44d</t>
  </si>
  <si>
    <t>ABDUL AZIS ASHARI</t>
  </si>
  <si>
    <t>3521121308880005</t>
  </si>
  <si>
    <t>BENDO RT 4 RW 2 KAUMAN</t>
  </si>
  <si>
    <t>63e3b450-d7d3-11ee-ac36-0242ff9ee44d</t>
  </si>
  <si>
    <t>Abdul Aziz</t>
  </si>
  <si>
    <t>3314060306590003</t>
  </si>
  <si>
    <t>katerban</t>
  </si>
  <si>
    <t>63e374ae-d7d3-11ee-ac36-0242ff9ee44d</t>
  </si>
  <si>
    <t>Abdul Bashith</t>
  </si>
  <si>
    <t>3521050606600003</t>
  </si>
  <si>
    <t>Tepas</t>
  </si>
  <si>
    <t>63e35a53-d7d3-11ee-ac36-0242ff9ee44d</t>
  </si>
  <si>
    <t>ABDUL GHOFUR</t>
  </si>
  <si>
    <t>3509011705860005</t>
  </si>
  <si>
    <t>DUSUN MOJOMANIS DESA MOJOMANIS</t>
  </si>
  <si>
    <t>63e3b2a1-d7d3-11ee-ac36-0242ff9ee44d</t>
  </si>
  <si>
    <t>ABDUL HALIM</t>
  </si>
  <si>
    <t>3521090112400004</t>
  </si>
  <si>
    <t>BERAN 2</t>
  </si>
  <si>
    <t>63e396a9-d7d3-11ee-ac36-0242ff9ee44d</t>
  </si>
  <si>
    <t>ABDUL HAMID</t>
  </si>
  <si>
    <t>3521113006530055</t>
  </si>
  <si>
    <t>DUSUN WATUKARAS</t>
  </si>
  <si>
    <t>63e36fb1-d7d3-11ee-ac36-0242ff9ee44d</t>
  </si>
  <si>
    <t>Abdul Jabbar</t>
  </si>
  <si>
    <t>3521191309730001</t>
  </si>
  <si>
    <t>Plelen</t>
  </si>
  <si>
    <t>63e359e6-d7d3-11ee-ac36-0242ff9ee44d</t>
  </si>
  <si>
    <t>ABDUL KADIR</t>
  </si>
  <si>
    <t>3521021212560002</t>
  </si>
  <si>
    <t>Ds. Sambirejo</t>
  </si>
  <si>
    <t>63e37874-d7d3-11ee-ac36-0242ff9ee44d</t>
  </si>
  <si>
    <t>Abdul Karim</t>
  </si>
  <si>
    <t>3521191503920002</t>
  </si>
  <si>
    <t>Ngepung</t>
  </si>
  <si>
    <t>63e31130-d7d3-11ee-ac36-0242ff9ee44d</t>
  </si>
  <si>
    <t>ABDUL KARIM</t>
  </si>
  <si>
    <t>3521012212640001</t>
  </si>
  <si>
    <t>Wonosari RT. 03 RW. 01</t>
  </si>
  <si>
    <t>63e37dbb-d7d3-11ee-ac36-0242ff9ee44d</t>
  </si>
  <si>
    <t>3521051110540002</t>
  </si>
  <si>
    <t>Sidorejo</t>
  </si>
  <si>
    <t>63e3438a-d7d3-11ee-ac36-0242ff9ee44d</t>
  </si>
  <si>
    <t>3521022011660002</t>
  </si>
  <si>
    <t>Dsn. Baan Ds. Manisharjo</t>
  </si>
  <si>
    <t>63e39d18-d7d3-11ee-ac36-0242ff9ee44d</t>
  </si>
  <si>
    <t>ABDUL LATIF</t>
  </si>
  <si>
    <t>3521041501680001</t>
  </si>
  <si>
    <t>RT. 01 RW. 04 CARAT</t>
  </si>
  <si>
    <t>63e3b466-d7d3-11ee-ac36-0242ff9ee44d</t>
  </si>
  <si>
    <t>ABDUL MUID</t>
  </si>
  <si>
    <t>3521121307640001</t>
  </si>
  <si>
    <t>63e3370f-d7d3-11ee-ac36-0242ff9ee44d</t>
  </si>
  <si>
    <t>Abdul Qosim</t>
  </si>
  <si>
    <t>3521140306650002</t>
  </si>
  <si>
    <t>Paras</t>
  </si>
  <si>
    <t>63e3378e-d7d3-11ee-ac36-0242ff9ee44d</t>
  </si>
  <si>
    <t>Abdul Rachman Ramidi</t>
  </si>
  <si>
    <t>3521140803720001</t>
  </si>
  <si>
    <t>63e379cf-d7d3-11ee-ac36-0242ff9ee44d</t>
  </si>
  <si>
    <t>Abdul Rahman</t>
  </si>
  <si>
    <t>3520151701630001</t>
  </si>
  <si>
    <t>63e379e5-d7d3-11ee-ac36-0242ff9ee44d</t>
  </si>
  <si>
    <t>ABDUL ROHIM</t>
  </si>
  <si>
    <t>3521052212550001</t>
  </si>
  <si>
    <t>63e32625-d7d3-11ee-ac36-0242ff9ee44d</t>
  </si>
  <si>
    <t>Abdul Rojab</t>
  </si>
  <si>
    <t>3521181503700004</t>
  </si>
  <si>
    <t>Gulingan</t>
  </si>
  <si>
    <t>63e382a9-d7d3-11ee-ac36-0242ff9ee44d</t>
  </si>
  <si>
    <t>ABDUL ROKHIM</t>
  </si>
  <si>
    <t>3521051504650003</t>
  </si>
  <si>
    <t>63e382c0-d7d3-11ee-ac36-0242ff9ee44d</t>
  </si>
  <si>
    <t>ABDUL ROSID</t>
  </si>
  <si>
    <t>a@gmail.com</t>
  </si>
  <si>
    <t>3521052701780004</t>
  </si>
  <si>
    <t>63e3b2b6-d7d3-11ee-ac36-0242ff9ee44d</t>
  </si>
  <si>
    <t>ABDUL SYAKUR</t>
  </si>
  <si>
    <t>3521093006450006</t>
  </si>
  <si>
    <t>63e3445e-d7d3-11ee-ac36-0242ff9ee44d</t>
  </si>
  <si>
    <t>ABDULAH KAMDI</t>
  </si>
  <si>
    <t>3521021112650001</t>
  </si>
  <si>
    <t>63e37b23-d7d3-11ee-ac36-0242ff9ee44d</t>
  </si>
  <si>
    <t>ABDULKAMID KEMIS</t>
  </si>
  <si>
    <t>3521052009630002</t>
  </si>
  <si>
    <t>63e374c3-d7d3-11ee-ac36-0242ff9ee44d</t>
  </si>
  <si>
    <t>Abdullah</t>
  </si>
  <si>
    <t>3521052510580001</t>
  </si>
  <si>
    <t>63e323b9-d7d3-11ee-ac36-0242ff9ee44d</t>
  </si>
  <si>
    <t>ABDULLAH UMAR</t>
  </si>
  <si>
    <t>3521112008650004</t>
  </si>
  <si>
    <t>DUSUN PUDAK</t>
  </si>
  <si>
    <t>63e382eb-d7d3-11ee-ac36-0242ff9ee44d</t>
  </si>
  <si>
    <t>ABDUROKHIM</t>
  </si>
  <si>
    <t>3521051901620001</t>
  </si>
  <si>
    <t>63e37b51-d7d3-11ee-ac36-0242ff9ee44d</t>
  </si>
  <si>
    <t>ABDUS SHOMAD</t>
  </si>
  <si>
    <t>3521050807660003</t>
  </si>
  <si>
    <t>63e37503-d7d3-11ee-ac36-0242ff9ee44d</t>
  </si>
  <si>
    <t>Abi Muhson</t>
  </si>
  <si>
    <t>3521181503660001</t>
  </si>
  <si>
    <t>63e32c4b-d7d3-11ee-ac36-0242ff9ee44d</t>
  </si>
  <si>
    <t>Abu Mansur</t>
  </si>
  <si>
    <t>3521140312460001</t>
  </si>
  <si>
    <t>dsn jati I</t>
  </si>
  <si>
    <t>63e3b47b-d7d3-11ee-ac36-0242ff9ee44d</t>
  </si>
  <si>
    <t>ABU THOYIB</t>
  </si>
  <si>
    <t>3521120407470001</t>
  </si>
  <si>
    <t>63e3752c-d7d3-11ee-ac36-0242ff9ee44d</t>
  </si>
  <si>
    <t>Achmad Budi Santoso</t>
  </si>
  <si>
    <t>3521051610850004</t>
  </si>
  <si>
    <t>63e347b0-d7d3-11ee-ac36-0242ff9ee44d</t>
  </si>
  <si>
    <t>ACHMAD MINHAJUL Q</t>
  </si>
  <si>
    <t>3521030404880001</t>
  </si>
  <si>
    <t>Dusun Jetis Desa Jaten Kec. Jogorogo</t>
  </si>
  <si>
    <t>63e3c475-d7d3-11ee-ac36-0242ff9ee44d</t>
  </si>
  <si>
    <t>ACHMAD NAWAWI</t>
  </si>
  <si>
    <t>3521100506590003</t>
  </si>
  <si>
    <t>Ds. Sirigan, Kec. Paron</t>
  </si>
  <si>
    <t>63e379fb-d7d3-11ee-ac36-0242ff9ee44d</t>
  </si>
  <si>
    <t>ACHMAD NUR CHOLIS</t>
  </si>
  <si>
    <t>3521050109750001</t>
  </si>
  <si>
    <t>63e37dcf-d7d3-11ee-ac36-0242ff9ee44d</t>
  </si>
  <si>
    <t>Achmad Subagio</t>
  </si>
  <si>
    <t>3521051508450002</t>
  </si>
  <si>
    <t>63e31fe5-d7d3-11ee-ac36-0242ff9ee44d</t>
  </si>
  <si>
    <t>Achmad Sunarko Z</t>
  </si>
  <si>
    <t>3521161008740001</t>
  </si>
  <si>
    <t>Desa Selopuro Kecamatan pitu</t>
  </si>
  <si>
    <t>63e34f11-d7d3-11ee-ac36-0242ff9ee44d</t>
  </si>
  <si>
    <t>ACHMAD SUNARYO</t>
  </si>
  <si>
    <t>3521020605650001</t>
  </si>
  <si>
    <t>NGRAMBE</t>
  </si>
  <si>
    <t>63e3b2cb-d7d3-11ee-ac36-0242ff9ee44d</t>
  </si>
  <si>
    <t>ACHMAD TIRMIDZI</t>
  </si>
  <si>
    <t>3521091603470001</t>
  </si>
  <si>
    <t>63e34f65-d7d3-11ee-ac36-0242ff9ee44d</t>
  </si>
  <si>
    <t>ACHMADI</t>
  </si>
  <si>
    <t>3521021006420003</t>
  </si>
  <si>
    <t>63e3adcf-d7d3-11ee-ac36-0242ff9ee44d</t>
  </si>
  <si>
    <t>ACHSANUL ISTIQOMAH</t>
  </si>
  <si>
    <t>3521044504920001</t>
  </si>
  <si>
    <t>RT. 07 RW. 01 SIMO</t>
  </si>
  <si>
    <t>63e3bdb7-d7d3-11ee-ac36-0242ff9ee44d</t>
  </si>
  <si>
    <t>Adam Perdana</t>
  </si>
  <si>
    <t>3521122904990001</t>
  </si>
  <si>
    <t>paldaplang</t>
  </si>
  <si>
    <t>63e378ef-d7d3-11ee-ac36-0242ff9ee44d</t>
  </si>
  <si>
    <t>ADHAN KRISABDIANTO</t>
  </si>
  <si>
    <t>3520151105950003</t>
  </si>
  <si>
    <t>63e37df9-d7d3-11ee-ac36-0242ff9ee44d</t>
  </si>
  <si>
    <t>bayudwinugroho@gmail.com</t>
  </si>
  <si>
    <t>Adi</t>
  </si>
  <si>
    <t>3521051311660002</t>
  </si>
  <si>
    <t>63e37b67-d7d3-11ee-ac36-0242ff9ee44d</t>
  </si>
  <si>
    <t>ADI</t>
  </si>
  <si>
    <t>3521050612690006</t>
  </si>
  <si>
    <t>63e3b6f8-d7d3-11ee-ac36-0242ff9ee44d</t>
  </si>
  <si>
    <t>Adi Karno</t>
  </si>
  <si>
    <t>3521161202490001</t>
  </si>
  <si>
    <t>Dumplengan Desa Dumplengan kecamatan Pitu</t>
  </si>
  <si>
    <t>63e39353-d7d3-11ee-ac36-0242ff9ee44d</t>
  </si>
  <si>
    <t>Adi Listiyono</t>
  </si>
  <si>
    <t>3521151603840002</t>
  </si>
  <si>
    <t>Kenongorejo. Bringin</t>
  </si>
  <si>
    <t>63e37fe7-d7d3-11ee-ac36-0242ff9ee44d</t>
  </si>
  <si>
    <t>ADI LOSO</t>
  </si>
  <si>
    <t>3521050209570002</t>
  </si>
  <si>
    <t>Kersikan</t>
  </si>
  <si>
    <t>63e36b73-d7d3-11ee-ac36-0242ff9ee44d</t>
  </si>
  <si>
    <t>Adi Pangat</t>
  </si>
  <si>
    <t>3521023012520009</t>
  </si>
  <si>
    <t>Sidomulyo</t>
  </si>
  <si>
    <t>63e3519a-d7d3-11ee-ac36-0242ff9ee44d</t>
  </si>
  <si>
    <t>ADI PARJO</t>
  </si>
  <si>
    <t>3521020903510001</t>
  </si>
  <si>
    <t>ds mendiro</t>
  </si>
  <si>
    <t>63e3383c-d7d3-11ee-ac36-0242ff9ee44d</t>
  </si>
  <si>
    <t>ADI PRAYITNO</t>
  </si>
  <si>
    <t>3521061306720001</t>
  </si>
  <si>
    <t>Dsn. Dinden I Desa Dinden</t>
  </si>
  <si>
    <t>63e326a1-d7d3-11ee-ac36-0242ff9ee44d</t>
  </si>
  <si>
    <t>ADI SAIMIN</t>
  </si>
  <si>
    <t>3521020209620001</t>
  </si>
  <si>
    <t>Dsn. Bombongan ds. Manisharjo</t>
  </si>
  <si>
    <t>63e37907-d7d3-11ee-ac36-0242ff9ee44d</t>
  </si>
  <si>
    <t>ADI SEPUTRO DARNO</t>
  </si>
  <si>
    <t>3521053006650035</t>
  </si>
  <si>
    <t>63e31159-d7d3-11ee-ac36-0242ff9ee44d</t>
  </si>
  <si>
    <t>ADI SUKIR</t>
  </si>
  <si>
    <t>3521012505550001</t>
  </si>
  <si>
    <t>Wonosari RT. 02 RW. 01</t>
  </si>
  <si>
    <t>63e36483-d7d3-11ee-ac36-0242ff9ee44d</t>
  </si>
  <si>
    <t>Adi Sukono</t>
  </si>
  <si>
    <t>3521023006510001</t>
  </si>
  <si>
    <t>setono</t>
  </si>
  <si>
    <t>63e36b9c-d7d3-11ee-ac36-0242ff9ee44d</t>
  </si>
  <si>
    <t>Adi Sunaryo</t>
  </si>
  <si>
    <t>3521021204520004</t>
  </si>
  <si>
    <t>63e3277a-d7d3-11ee-ac36-0242ff9ee44d</t>
  </si>
  <si>
    <t>ADI SUPARNO</t>
  </si>
  <si>
    <t>3521021205560002</t>
  </si>
  <si>
    <t>63e35663-d7d3-11ee-ac36-0242ff9ee44d</t>
  </si>
  <si>
    <t>ADI SUPARTO</t>
  </si>
  <si>
    <t>3521023006400038</t>
  </si>
  <si>
    <t>63e34ab1-d7d3-11ee-ac36-0242ff9ee44d</t>
  </si>
  <si>
    <t>ADI SURIP</t>
  </si>
  <si>
    <t>3521023112600037</t>
  </si>
  <si>
    <t>63e3374d-d7d3-11ee-ac36-0242ff9ee44d</t>
  </si>
  <si>
    <t>33521023112600037</t>
  </si>
  <si>
    <t>PULE</t>
  </si>
  <si>
    <t>63e3791f-d7d3-11ee-ac36-0242ff9ee44d</t>
  </si>
  <si>
    <t>ADI SUROTO</t>
  </si>
  <si>
    <t>3521050806550001</t>
  </si>
  <si>
    <t>63e3726b-d7d3-11ee-ac36-0242ff9ee44d</t>
  </si>
  <si>
    <t>adi sutrisno</t>
  </si>
  <si>
    <t>3521150503950003</t>
  </si>
  <si>
    <t>Dampit, Bringin</t>
  </si>
  <si>
    <t>63e30b34-d7d3-11ee-ac36-0242ff9ee44d</t>
  </si>
  <si>
    <t>ADI SUWITO</t>
  </si>
  <si>
    <t>3521050806600002</t>
  </si>
  <si>
    <t>DUSUN DUNGUS, KARANGASRI</t>
  </si>
  <si>
    <t>63e386bd-d7d3-11ee-ac36-0242ff9ee44d</t>
  </si>
  <si>
    <t>ADI SUWITO SADI</t>
  </si>
  <si>
    <t>3521123112530022</t>
  </si>
  <si>
    <t>Pojok</t>
  </si>
  <si>
    <t>63e34fc7-d7d3-11ee-ac36-0242ff9ee44d</t>
  </si>
  <si>
    <t>ADI TARMAN</t>
  </si>
  <si>
    <t>3521022906510002</t>
  </si>
  <si>
    <t>63e33f2e-d7d3-11ee-ac36-0242ff9ee44d</t>
  </si>
  <si>
    <t>ADI TIYAS KARISMA PUTRA</t>
  </si>
  <si>
    <t>3521020203910001</t>
  </si>
  <si>
    <t>Ketanggung</t>
  </si>
  <si>
    <t>63e356f8-d7d3-11ee-ac36-0242ff9ee44d</t>
  </si>
  <si>
    <t>ADI WIYONO</t>
  </si>
  <si>
    <t>3521021712450001</t>
  </si>
  <si>
    <t>63e34d78-d7d3-11ee-ac36-0242ff9ee44d</t>
  </si>
  <si>
    <t>ADITYA ARDI WICAKSONO</t>
  </si>
  <si>
    <t>3521122509960002</t>
  </si>
  <si>
    <t>darmo@gmail.com</t>
  </si>
  <si>
    <t>63e34da4-d7d3-11ee-ac36-0242ff9ee44d</t>
  </si>
  <si>
    <t>adiwiyoto</t>
  </si>
  <si>
    <t>3521022907470001</t>
  </si>
  <si>
    <t>63e35722-d7d3-11ee-ac36-0242ff9ee44d</t>
  </si>
  <si>
    <t>ADMO SUMARNO</t>
  </si>
  <si>
    <t>3521022111570002</t>
  </si>
  <si>
    <t>63e38026-d7d3-11ee-ac36-0242ff9ee44d</t>
  </si>
  <si>
    <t>ADRIANA RUSTANTI</t>
  </si>
  <si>
    <t>3521056903780001</t>
  </si>
  <si>
    <t>63e30b49-d7d3-11ee-ac36-0242ff9ee44d</t>
  </si>
  <si>
    <t>ADVIS BANGUN SETYO WIDODO</t>
  </si>
  <si>
    <t>3521092406880002</t>
  </si>
  <si>
    <t>Dsn Dungus</t>
  </si>
  <si>
    <t>63e33de2-d7d3-11ee-ac36-0242ff9ee44d</t>
  </si>
  <si>
    <t>Ady Prasetyo</t>
  </si>
  <si>
    <t>3309112307949004</t>
  </si>
  <si>
    <t>63e35b01-d7d3-11ee-ac36-0242ff9ee44d</t>
  </si>
  <si>
    <t>AFDUL KARIM</t>
  </si>
  <si>
    <t>3521063112550026</t>
  </si>
  <si>
    <t>JENANGAN 3</t>
  </si>
  <si>
    <t>63e3b490-d7d3-11ee-ac36-0242ff9ee44d</t>
  </si>
  <si>
    <t>AFIP AMRULLOH</t>
  </si>
  <si>
    <t>3314190301890001</t>
  </si>
  <si>
    <t>63e3240c-d7d3-11ee-ac36-0242ff9ee44d</t>
  </si>
  <si>
    <t>Agung  Suseno</t>
  </si>
  <si>
    <t>3521111811830001</t>
  </si>
  <si>
    <t>63e378c7-d7d3-11ee-ac36-0242ff9ee44d</t>
  </si>
  <si>
    <t>AGUNG BUDI AJI</t>
  </si>
  <si>
    <t>3521051105860006</t>
  </si>
  <si>
    <t>63e38113-d7d3-11ee-ac36-0242ff9ee44d</t>
  </si>
  <si>
    <t>AGUNG BUDI PURWANTO</t>
  </si>
  <si>
    <t>3521060908760003</t>
  </si>
  <si>
    <t>BANGET I</t>
  </si>
  <si>
    <t>63e373fb-d7d3-11ee-ac36-0242ff9ee44d</t>
  </si>
  <si>
    <t>AGUNG KRISTIANTO</t>
  </si>
  <si>
    <t>Fariz@gmail.com</t>
  </si>
  <si>
    <t>3521152811860001</t>
  </si>
  <si>
    <t>Pojok Mojo, Bringin</t>
  </si>
  <si>
    <t>63e33df7-d7d3-11ee-ac36-0242ff9ee44d</t>
  </si>
  <si>
    <t>AGUNG NUGROHO</t>
  </si>
  <si>
    <t>3521012409860002</t>
  </si>
  <si>
    <t>SARIMULYO 01/09 SUMBERSARI</t>
  </si>
  <si>
    <t>63e345f1-d7d3-11ee-ac36-0242ff9ee44d</t>
  </si>
  <si>
    <t>AGUNG NURYANTO</t>
  </si>
  <si>
    <t>3521012207840001</t>
  </si>
  <si>
    <t>BENDO RT 02 RW 02</t>
  </si>
  <si>
    <t>63e3b98b-d7d3-11ee-ac36-0242ff9ee44d</t>
  </si>
  <si>
    <t>AGUNG PRAWOTO</t>
  </si>
  <si>
    <t>3521121206830003</t>
  </si>
  <si>
    <t>kenongo</t>
  </si>
  <si>
    <t>63e33cf7-d7d3-11ee-ac36-0242ff9ee44d</t>
  </si>
  <si>
    <t>AGUNG PRIYANTO</t>
  </si>
  <si>
    <t>3521011705810002</t>
  </si>
  <si>
    <t>PLOSO KEREP RT 06/05 DESA KUNIRAN, SINE</t>
  </si>
  <si>
    <t>63e36e47-d7d3-11ee-ac36-0242ff9ee44d</t>
  </si>
  <si>
    <t>AGUNG PURWADI</t>
  </si>
  <si>
    <t>3521151905920002</t>
  </si>
  <si>
    <t>RT 01 RW 03 KROMPOL 2</t>
  </si>
  <si>
    <t>63e3699c-d7d3-11ee-ac36-0242ff9ee44d</t>
  </si>
  <si>
    <t>Agung Ridoana</t>
  </si>
  <si>
    <t>3521081011780001</t>
  </si>
  <si>
    <t>Dusun Tungkulrejo IV &amp; V</t>
  </si>
  <si>
    <t>63e3a406-d7d3-11ee-ac36-0242ff9ee44d</t>
  </si>
  <si>
    <t>Agung Saryoko</t>
  </si>
  <si>
    <t>3521030509840001</t>
  </si>
  <si>
    <t>Dusun Kleleng Desa Kletekan Kec. Jogorogo</t>
  </si>
  <si>
    <t>63e3574e-d7d3-11ee-ac36-0242ff9ee44d</t>
  </si>
  <si>
    <t>AGUNG SUBROTO</t>
  </si>
  <si>
    <t>3521122403870003</t>
  </si>
  <si>
    <t>63e3b760-d7d3-11ee-ac36-0242ff9ee44d</t>
  </si>
  <si>
    <t>AGUNG SUPRAYITNO</t>
  </si>
  <si>
    <t>3521092202880001</t>
  </si>
  <si>
    <t>Krajan Utara,Watualang</t>
  </si>
  <si>
    <t>63e38053-d7d3-11ee-ac36-0242ff9ee44d</t>
  </si>
  <si>
    <t>AGUNG SUPRIYADI</t>
  </si>
  <si>
    <t>3521052001680001</t>
  </si>
  <si>
    <t>63e377b8-d7d3-11ee-ac36-0242ff9ee44d</t>
  </si>
  <si>
    <t>Agung Supriyono</t>
  </si>
  <si>
    <t>3521052611830001</t>
  </si>
  <si>
    <t>63e3b9b6-d7d3-11ee-ac36-0242ff9ee44d</t>
  </si>
  <si>
    <t>Agung Suwarno</t>
  </si>
  <si>
    <t>3521121504870001</t>
  </si>
  <si>
    <t>63e3946d-d7d3-11ee-ac36-0242ff9ee44d</t>
  </si>
  <si>
    <t>AGUNG WIBOWO</t>
  </si>
  <si>
    <t>3521152911950002</t>
  </si>
  <si>
    <t>Sumberbening, Bringin</t>
  </si>
  <si>
    <t>63e3ac0e-d7d3-11ee-ac36-0242ff9ee44d</t>
  </si>
  <si>
    <t>AGUNG WIDODO</t>
  </si>
  <si>
    <t>3521040409700002</t>
  </si>
  <si>
    <t>DUSUN GILIS</t>
  </si>
  <si>
    <t>63e33ab5-d7d3-11ee-ac36-0242ff9ee44d</t>
  </si>
  <si>
    <t>AGUNG YOGA PRATAMA</t>
  </si>
  <si>
    <t>3521011301990005</t>
  </si>
  <si>
    <t>DUSUN DUKUH RT 06 RW 05 DESA TULAKAN</t>
  </si>
  <si>
    <t>63e32d9f-d7d3-11ee-ac36-0242ff9ee44d</t>
  </si>
  <si>
    <t>Agus</t>
  </si>
  <si>
    <t>3521143001850001</t>
  </si>
  <si>
    <t>dsn jati II</t>
  </si>
  <si>
    <t>63e32231-d7d3-11ee-ac36-0242ff9ee44d</t>
  </si>
  <si>
    <t>AGUS</t>
  </si>
  <si>
    <t>3521111808810005</t>
  </si>
  <si>
    <t>Ngadirejo</t>
  </si>
  <si>
    <t>63e33580-d7d3-11ee-ac36-0242ff9ee44d</t>
  </si>
  <si>
    <t>AGUS ALFAN FATHONI</t>
  </si>
  <si>
    <t>3521020108780001</t>
  </si>
  <si>
    <t>ds cepoko</t>
  </si>
  <si>
    <t>63e314ba-d7d3-11ee-ac36-0242ff9ee44d</t>
  </si>
  <si>
    <t>Agus Alimin</t>
  </si>
  <si>
    <t>3521162808660001</t>
  </si>
  <si>
    <t>Desa Cantel Kecamatan Pitu</t>
  </si>
  <si>
    <t>63e383d6-d7d3-11ee-ac36-0242ff9ee44d</t>
  </si>
  <si>
    <t>AGUS ARI P</t>
  </si>
  <si>
    <t>3521050808720004</t>
  </si>
  <si>
    <t>63e332da-d7d3-11ee-ac36-0242ff9ee44d</t>
  </si>
  <si>
    <t>Agus Arif Sulistiyo</t>
  </si>
  <si>
    <t>3521141411820001</t>
  </si>
  <si>
    <t>POHKONYAL 4</t>
  </si>
  <si>
    <t>63e31c1d-d7d3-11ee-ac36-0242ff9ee44d</t>
  </si>
  <si>
    <t>AGUS BUDI RIYANTO</t>
  </si>
  <si>
    <t>3521010509800002</t>
  </si>
  <si>
    <t>KRAJAN KULON RT 04 RW 02 SINE</t>
  </si>
  <si>
    <t>63e32d4b-d7d3-11ee-ac36-0242ff9ee44d</t>
  </si>
  <si>
    <t>AGUS BUDI UTOMO</t>
  </si>
  <si>
    <t>3521021205880001</t>
  </si>
  <si>
    <t>Krajan RT. 04 RW. 03</t>
  </si>
  <si>
    <t>63e37295-d7d3-11ee-ac36-0242ff9ee44d</t>
  </si>
  <si>
    <t>Agus Cahyono</t>
  </si>
  <si>
    <t>3521162406820004</t>
  </si>
  <si>
    <t>Ngilon Desa Bangunrejo lor Kecamatan Pitu</t>
  </si>
  <si>
    <t>63e38094-d7d3-11ee-ac36-0242ff9ee44d</t>
  </si>
  <si>
    <t>AGUS DARMAWAN</t>
  </si>
  <si>
    <t>3521050708700002</t>
  </si>
  <si>
    <t>63e33177-d7d3-11ee-ac36-0242ff9ee44d</t>
  </si>
  <si>
    <t>AGUS DWI SANTOSO</t>
  </si>
  <si>
    <t>3521022008740001</t>
  </si>
  <si>
    <t>lamiran@gmail.com</t>
  </si>
  <si>
    <t>Dsn. Sedran Ds. Manisharjo</t>
  </si>
  <si>
    <t>63e380a8-d7d3-11ee-ac36-0242ff9ee44d</t>
  </si>
  <si>
    <t>AGUS EDI CAHYONO</t>
  </si>
  <si>
    <t>3521051808720001</t>
  </si>
  <si>
    <t>63e36e5b-d7d3-11ee-ac36-0242ff9ee44d</t>
  </si>
  <si>
    <t>AGUS GONO</t>
  </si>
  <si>
    <t>3521150510830001</t>
  </si>
  <si>
    <t>RT 02 RW 03 KROMPOL 2</t>
  </si>
  <si>
    <t>63e380bd-d7d3-11ee-ac36-0242ff9ee44d</t>
  </si>
  <si>
    <t>Agus H</t>
  </si>
  <si>
    <t>3521122208720003</t>
  </si>
  <si>
    <t>banyubiru</t>
  </si>
  <si>
    <t>63e3692d-d7d3-11ee-ac36-0242ff9ee44d</t>
  </si>
  <si>
    <t>Agus Hari Wibowo</t>
  </si>
  <si>
    <t>3521081708820001</t>
  </si>
  <si>
    <t>Dusun Tungkulrejo III &amp; VI</t>
  </si>
  <si>
    <t>63e34b7f-d7d3-11ee-ac36-0242ff9ee44d</t>
  </si>
  <si>
    <t>AGUS HARIYANTO</t>
  </si>
  <si>
    <t>3521090408770001</t>
  </si>
  <si>
    <t>Dsn.Plosorejo</t>
  </si>
  <si>
    <t>63e3b4a7-d7d3-11ee-ac36-0242ff9ee44d</t>
  </si>
  <si>
    <t>AGUS HARIYANTO SULISTYO</t>
  </si>
  <si>
    <t>3521122506790006</t>
  </si>
  <si>
    <t>63e316c2-d7d3-11ee-ac36-0242ff9ee44d</t>
  </si>
  <si>
    <t>AGUS HARYANTO</t>
  </si>
  <si>
    <t>3521011206820003</t>
  </si>
  <si>
    <t>POLO RT 5 RW 2 HARGOSARI SINE</t>
  </si>
  <si>
    <t>63e317a4-d7d3-11ee-ac36-0242ff9ee44d</t>
  </si>
  <si>
    <t>3521011405820002</t>
  </si>
  <si>
    <t>Ngasem RT.02 RW.04  Hargosari</t>
  </si>
  <si>
    <t>63e3254b-d7d3-11ee-ac36-0242ff9ee44d</t>
  </si>
  <si>
    <t>AGUS HERMANTO</t>
  </si>
  <si>
    <t>3521021911800007</t>
  </si>
  <si>
    <t>Krandegan</t>
  </si>
  <si>
    <t>63e3b68d-d7d3-11ee-ac36-0242ff9ee44d</t>
  </si>
  <si>
    <t>Agus Karyani</t>
  </si>
  <si>
    <t>3521090508730005</t>
  </si>
  <si>
    <t>Ngronggi</t>
  </si>
  <si>
    <t>63e38400-d7d3-11ee-ac36-0242ff9ee44d</t>
  </si>
  <si>
    <t>Agus Kasun</t>
  </si>
  <si>
    <t>3521052207770002</t>
  </si>
  <si>
    <t>63e34dd0-d7d3-11ee-ac36-0242ff9ee44d</t>
  </si>
  <si>
    <t>agus muryanto</t>
  </si>
  <si>
    <t>3521020202890001</t>
  </si>
  <si>
    <t>63e341f9-d7d3-11ee-ac36-0242ff9ee44d</t>
  </si>
  <si>
    <t>AGUS MUTOHA</t>
  </si>
  <si>
    <t>3521012508830002</t>
  </si>
  <si>
    <t>Plosorejo 08/04 JAGIR</t>
  </si>
  <si>
    <t>63e377e0-d7d3-11ee-ac36-0242ff9ee44d</t>
  </si>
  <si>
    <t>Agus Nurdin Budiarto</t>
  </si>
  <si>
    <t>3521050608800001</t>
  </si>
  <si>
    <t>63e3b7a0-d7d3-11ee-ac36-0242ff9ee44d</t>
  </si>
  <si>
    <t>AGUS NURUL</t>
  </si>
  <si>
    <t>3521092607680001</t>
  </si>
  <si>
    <t>Dsn.Banyakan</t>
  </si>
  <si>
    <t>63e31a9a-d7d3-11ee-ac36-0242ff9ee44d</t>
  </si>
  <si>
    <t>AGUS PAMUJI</t>
  </si>
  <si>
    <t>3521013101810001</t>
  </si>
  <si>
    <t>Gendol RT 1 RW 1, Gendol</t>
  </si>
  <si>
    <t>63e3999c-d7d3-11ee-ac36-0242ff9ee44d</t>
  </si>
  <si>
    <t>AGUS PITRIANTO</t>
  </si>
  <si>
    <t>3521102809950002</t>
  </si>
  <si>
    <t>63e37e0e-d7d3-11ee-ac36-0242ff9ee44d</t>
  </si>
  <si>
    <t>AGUS PRANOTO</t>
  </si>
  <si>
    <t>3521051006780003</t>
  </si>
  <si>
    <t>nurrohman@gmail.com</t>
  </si>
  <si>
    <t>63e36d32-d7d3-11ee-ac36-0242ff9ee44d</t>
  </si>
  <si>
    <t>o@gmail.com</t>
  </si>
  <si>
    <t>AGUS PRASETYO</t>
  </si>
  <si>
    <t>3521152503820001</t>
  </si>
  <si>
    <t>Dero, Bringin</t>
  </si>
  <si>
    <t>63e377f5-d7d3-11ee-ac36-0242ff9ee44d</t>
  </si>
  <si>
    <t>AGUS PRIHATIN</t>
  </si>
  <si>
    <t>3521051906760001</t>
  </si>
  <si>
    <t>63e3967e-d7d3-11ee-ac36-0242ff9ee44d</t>
  </si>
  <si>
    <t>AGUS PURNOMO</t>
  </si>
  <si>
    <t>3521061604840001</t>
  </si>
  <si>
    <t>DUSUN GANTING</t>
  </si>
  <si>
    <t>63e30f79-d7d3-11ee-ac36-0242ff9ee44d</t>
  </si>
  <si>
    <t>Agus Purwadi</t>
  </si>
  <si>
    <t>3521081411540001</t>
  </si>
  <si>
    <t>63e37e38-d7d3-11ee-ac36-0242ff9ee44d</t>
  </si>
  <si>
    <t>agus purwantoro</t>
  </si>
  <si>
    <t>3521050805770004</t>
  </si>
  <si>
    <t>63e3367b-d7d3-11ee-ac36-0242ff9ee44d</t>
  </si>
  <si>
    <t>AGUS RIADI</t>
  </si>
  <si>
    <t>3521020510750003</t>
  </si>
  <si>
    <t>63e38930-d7d3-11ee-ac36-0242ff9ee44d</t>
  </si>
  <si>
    <t>Agus Rianto</t>
  </si>
  <si>
    <t>3521072004800001</t>
  </si>
  <si>
    <t>Desa Sidokerto</t>
  </si>
  <si>
    <t>63e3ac24-d7d3-11ee-ac36-0242ff9ee44d</t>
  </si>
  <si>
    <t>Agus Riyanto</t>
  </si>
  <si>
    <t>3521042906870002</t>
  </si>
  <si>
    <t>Dsn. Jogorogo Ds. Jogorogo Kec. Jogorogo</t>
  </si>
  <si>
    <t>63e3bb31-d7d3-11ee-ac36-0242ff9ee44d</t>
  </si>
  <si>
    <t>AGUS SANGAJI KUNCORO</t>
  </si>
  <si>
    <t>3521093105770002</t>
  </si>
  <si>
    <t>Dungus,Karangasri</t>
  </si>
  <si>
    <t>63e364d1-d7d3-11ee-ac36-0242ff9ee44d</t>
  </si>
  <si>
    <t>Agus santoso</t>
  </si>
  <si>
    <t>3521023005750001</t>
  </si>
  <si>
    <t>63e3a2ab-d7d3-11ee-ac36-0242ff9ee44d</t>
  </si>
  <si>
    <t>Agus Sapardi</t>
  </si>
  <si>
    <t>3521032205680001</t>
  </si>
  <si>
    <t>Dusun Gagar Desa Ngrayudan Kec. Jogorogo</t>
  </si>
  <si>
    <t>63e335aa-d7d3-11ee-ac36-0242ff9ee44d</t>
  </si>
  <si>
    <t>AGUS SARDIYANTO</t>
  </si>
  <si>
    <t>3521021305690001</t>
  </si>
  <si>
    <t>63e35c44-d7d3-11ee-ac36-0242ff9ee44d</t>
  </si>
  <si>
    <t>AGUS SETIYAWAN</t>
  </si>
  <si>
    <t>3526010507840017</t>
  </si>
  <si>
    <t>63e399f9-d7d3-11ee-ac36-0242ff9ee44d</t>
  </si>
  <si>
    <t>Agus Setyawan</t>
  </si>
  <si>
    <t>3521071008710002</t>
  </si>
  <si>
    <t>Desa Jatipuro</t>
  </si>
  <si>
    <t>63e35925-d7d3-11ee-ac36-0242ff9ee44d</t>
  </si>
  <si>
    <t>AGUS SLAMET</t>
  </si>
  <si>
    <t>3521021708700001</t>
  </si>
  <si>
    <t>63e389b0-d7d3-11ee-ac36-0242ff9ee44d</t>
  </si>
  <si>
    <t>Agus Soleh</t>
  </si>
  <si>
    <t>3521070210860001</t>
  </si>
  <si>
    <t>Desa Legundi</t>
  </si>
  <si>
    <t>63e37da5-d7d3-11ee-ac36-0242ff9ee44d</t>
  </si>
  <si>
    <t>AGUS SUDARMANTO</t>
  </si>
  <si>
    <t>3521050408730002</t>
  </si>
  <si>
    <t>63e37991-d7d3-11ee-ac36-0242ff9ee44d</t>
  </si>
  <si>
    <t>Agus Sugianto</t>
  </si>
  <si>
    <t>3521051010820007</t>
  </si>
  <si>
    <t>63e37644-d7d3-11ee-ac36-0242ff9ee44d</t>
  </si>
  <si>
    <t>AGUS SUHARYONO</t>
  </si>
  <si>
    <t>3521053005650003</t>
  </si>
  <si>
    <t>Tambakromo</t>
  </si>
  <si>
    <t>63e34cf8-d7d3-11ee-ac36-0242ff9ee44d</t>
  </si>
  <si>
    <t>reganyak@gmail.com</t>
  </si>
  <si>
    <t>AGUS SUMARLAN</t>
  </si>
  <si>
    <t>3521061504710002</t>
  </si>
  <si>
    <t>Dsn. Serut Ds. Purwosari</t>
  </si>
  <si>
    <t>63e38c2b-d7d3-11ee-ac36-0242ff9ee44d</t>
  </si>
  <si>
    <t>Agus Sumarno</t>
  </si>
  <si>
    <t>3521073009800001</t>
  </si>
  <si>
    <t>Desa Brangol</t>
  </si>
  <si>
    <t>63e37659-d7d3-11ee-ac36-0242ff9ee44d</t>
  </si>
  <si>
    <t>AGUS SUPRAPTO</t>
  </si>
  <si>
    <t>saifudin@gmail.com</t>
  </si>
  <si>
    <t>6108012208810001</t>
  </si>
  <si>
    <t>63e35b7d-d7d3-11ee-ac36-0242ff9ee44d</t>
  </si>
  <si>
    <t>AGUS SUPRAYOGO</t>
  </si>
  <si>
    <t>3521060608770005</t>
  </si>
  <si>
    <t>63e39561-d7d3-11ee-ac36-0242ff9ee44d</t>
  </si>
  <si>
    <t>3521110108690004</t>
  </si>
  <si>
    <t>KAWU</t>
  </si>
  <si>
    <t>63e3499a-d7d3-11ee-ac36-0242ff9ee44d</t>
  </si>
  <si>
    <t>AGUS SUPRIYADI</t>
  </si>
  <si>
    <t>3521112503900001</t>
  </si>
  <si>
    <t>KEDUNGGALAR</t>
  </si>
  <si>
    <t>63e34e14-d7d3-11ee-ac36-0242ff9ee44d</t>
  </si>
  <si>
    <t>Agus Supriyanto</t>
  </si>
  <si>
    <t>3521022608890001</t>
  </si>
  <si>
    <t>63e31104-d7d3-11ee-ac36-0242ff9ee44d</t>
  </si>
  <si>
    <t>3521082802840002</t>
  </si>
  <si>
    <t>Dusun Sambiroto II Desa Sambiroto</t>
  </si>
  <si>
    <t>63e3a5c9-d7d3-11ee-ac36-0242ff9ee44d</t>
  </si>
  <si>
    <t>Agus Supriyatno</t>
  </si>
  <si>
    <t>3521031010950001</t>
  </si>
  <si>
    <t>63e33c45-d7d3-11ee-ac36-0242ff9ee44d</t>
  </si>
  <si>
    <t>AGUS SURAMTO</t>
  </si>
  <si>
    <t>3521020408940001</t>
  </si>
  <si>
    <t>Rt 003/003 Sidoharjo</t>
  </si>
  <si>
    <t>63e344de-d7d3-11ee-ac36-0242ff9ee44d</t>
  </si>
  <si>
    <t>AGUS SURANTO</t>
  </si>
  <si>
    <t>3521020308890005</t>
  </si>
  <si>
    <t>63e3501a-d7d3-11ee-ac36-0242ff9ee44d</t>
  </si>
  <si>
    <t>AGUS SURYANTO</t>
  </si>
  <si>
    <t>3521022208900003</t>
  </si>
  <si>
    <t>63e3158b-d7d3-11ee-ac36-0242ff9ee44d</t>
  </si>
  <si>
    <t>Agus Susanto</t>
  </si>
  <si>
    <t>3521022208840002</t>
  </si>
  <si>
    <t>Babadan 01/01</t>
  </si>
  <si>
    <t>63e37412-d7d3-11ee-ac36-0242ff9ee44d</t>
  </si>
  <si>
    <t>AGUS SUSANTO</t>
  </si>
  <si>
    <t>3521151602920001</t>
  </si>
  <si>
    <t>63e35965-d7d3-11ee-ac36-0242ff9ee44d</t>
  </si>
  <si>
    <t>AGUS SUSILO</t>
  </si>
  <si>
    <t>3521020805870002</t>
  </si>
  <si>
    <t>63e34e3d-d7d3-11ee-ac36-0242ff9ee44d</t>
  </si>
  <si>
    <t>Agus Susilo</t>
  </si>
  <si>
    <t>3521021708770001</t>
  </si>
  <si>
    <t>63e3ba36-d7d3-11ee-ac36-0242ff9ee44d</t>
  </si>
  <si>
    <t>AGUS SUTOPO</t>
  </si>
  <si>
    <t>3521122711830003</t>
  </si>
  <si>
    <t>63e37cbb-d7d3-11ee-ac36-0242ff9ee44d</t>
  </si>
  <si>
    <t>AGUS SUWANTO</t>
  </si>
  <si>
    <t>3521170308760002</t>
  </si>
  <si>
    <t>Dusun Watutinatah, Desa Gembol</t>
  </si>
  <si>
    <t>63e34b53-d7d3-11ee-ac36-0242ff9ee44d</t>
  </si>
  <si>
    <t>AGUS SUWARSO</t>
  </si>
  <si>
    <t>3521022605640001</t>
  </si>
  <si>
    <t>63e39369-d7d3-11ee-ac36-0242ff9ee44d</t>
  </si>
  <si>
    <t>AGUS TAKIYUDIN</t>
  </si>
  <si>
    <t>3521151305900002</t>
  </si>
  <si>
    <t>63e357ce-d7d3-11ee-ac36-0242ff9ee44d</t>
  </si>
  <si>
    <t>AGUS TRIANTO</t>
  </si>
  <si>
    <t>3521020108820002</t>
  </si>
  <si>
    <t>63e34572-d7d3-11ee-ac36-0242ff9ee44d</t>
  </si>
  <si>
    <t>3521021308740004</t>
  </si>
  <si>
    <t>63e3ca96-d7d3-11ee-ac36-0242ff9ee44d</t>
  </si>
  <si>
    <t>AGUS TRIYANTO</t>
  </si>
  <si>
    <t>3521032508900003</t>
  </si>
  <si>
    <t>sumarso@gmail.com</t>
  </si>
  <si>
    <t>63e3c48a-d7d3-11ee-ac36-0242ff9ee44d</t>
  </si>
  <si>
    <t>AGUS TRIYONO</t>
  </si>
  <si>
    <t>3521031212880002</t>
  </si>
  <si>
    <t>63e38a6e-d7d3-11ee-ac36-0242ff9ee44d</t>
  </si>
  <si>
    <t>Agus Tusilo</t>
  </si>
  <si>
    <t>suroso@petani.com</t>
  </si>
  <si>
    <t>3521071408760002</t>
  </si>
  <si>
    <t>Desa Sawo</t>
  </si>
  <si>
    <t>63e31343-d7d3-11ee-ac36-0242ff9ee44d</t>
  </si>
  <si>
    <t>AGUS WAHYU WIDODO</t>
  </si>
  <si>
    <t>suroto@gmail.com</t>
  </si>
  <si>
    <t>3521011601880001</t>
  </si>
  <si>
    <t>PANDAN RT 03 RW 02</t>
  </si>
  <si>
    <t>63e3827f-d7d3-11ee-ac36-0242ff9ee44d</t>
  </si>
  <si>
    <t>AGUS WIDIANTORO</t>
  </si>
  <si>
    <t>3521061503790001</t>
  </si>
  <si>
    <t>63e38fd5-d7d3-11ee-ac36-0242ff9ee44d</t>
  </si>
  <si>
    <t>Agus Widodo</t>
  </si>
  <si>
    <t>3521072602900003</t>
  </si>
  <si>
    <t>Desa Puhti</t>
  </si>
  <si>
    <t>63e3c041-d7d3-11ee-ac36-0242ff9ee44d</t>
  </si>
  <si>
    <t>agus yuswatono</t>
  </si>
  <si>
    <t>3521091008830002</t>
  </si>
  <si>
    <t>BANYUURIP</t>
  </si>
  <si>
    <t>63e3b60f-d7d3-11ee-ac36-0242ff9ee44d</t>
  </si>
  <si>
    <t>Ahmad</t>
  </si>
  <si>
    <t>3521160107730007</t>
  </si>
  <si>
    <t>Porong Desa Kalang Kecamatan Pitu</t>
  </si>
  <si>
    <t>63e3937e-d7d3-11ee-ac36-0242ff9ee44d</t>
  </si>
  <si>
    <t>Ahmad Harianto</t>
  </si>
  <si>
    <t>3521150910880004</t>
  </si>
  <si>
    <t>63e38efa-d7d3-11ee-ac36-0242ff9ee44d</t>
  </si>
  <si>
    <t>Ahmad Junaidi</t>
  </si>
  <si>
    <t>3521071205720002</t>
  </si>
  <si>
    <t>Desa Rejomulyo</t>
  </si>
  <si>
    <t>63e3bb84-d7d3-11ee-ac36-0242ff9ee44d</t>
  </si>
  <si>
    <t>AHMAD ROFIQ H.</t>
  </si>
  <si>
    <t>3521092602710002</t>
  </si>
  <si>
    <t>63e3661e-d7d3-11ee-ac36-0242ff9ee44d</t>
  </si>
  <si>
    <t>Ahmad Safrudin</t>
  </si>
  <si>
    <t>3521080704670001</t>
  </si>
  <si>
    <t>Dusun Bintoyo Desa Bintoyo</t>
  </si>
  <si>
    <t>63e3ba60-d7d3-11ee-ac36-0242ff9ee44d</t>
  </si>
  <si>
    <t>AHMAD SAFUAN</t>
  </si>
  <si>
    <t>3521120607700003</t>
  </si>
  <si>
    <t>63e34e52-d7d3-11ee-ac36-0242ff9ee44d</t>
  </si>
  <si>
    <t>Ahmad Saidi</t>
  </si>
  <si>
    <t>3521023006680006</t>
  </si>
  <si>
    <t>63e31bfa-d7d3-11ee-ac36-0242ff9ee44d</t>
  </si>
  <si>
    <t>Ahmad Sholihin</t>
  </si>
  <si>
    <t>3521191509710001</t>
  </si>
  <si>
    <t>Kedungmiri</t>
  </si>
  <si>
    <t>63e38492-d7d3-11ee-ac36-0242ff9ee44d</t>
  </si>
  <si>
    <t>AHMAD SUJADI</t>
  </si>
  <si>
    <t>3521120501870006</t>
  </si>
  <si>
    <t>Widodaren Kidul</t>
  </si>
  <si>
    <t>63e3ba88-d7d3-11ee-ac36-0242ff9ee44d</t>
  </si>
  <si>
    <t>Ahmad Sution</t>
  </si>
  <si>
    <t>3521122202710001</t>
  </si>
  <si>
    <t>63e3be30-d7d3-11ee-ac36-0242ff9ee44d</t>
  </si>
  <si>
    <t>AHMAD WAHIB</t>
  </si>
  <si>
    <t>3521120405700004</t>
  </si>
  <si>
    <t>63e35aeb-d7d3-11ee-ac36-0242ff9ee44d</t>
  </si>
  <si>
    <t>AHMAD ZAINURI</t>
  </si>
  <si>
    <t>3521060503770001</t>
  </si>
  <si>
    <t>63e3b1e1-d7d3-11ee-ac36-0242ff9ee44d</t>
  </si>
  <si>
    <t>AHMADI</t>
  </si>
  <si>
    <t>3521091402730002</t>
  </si>
  <si>
    <t>MARGOMULYO</t>
  </si>
  <si>
    <t>63e37498-d7d3-11ee-ac36-0242ff9ee44d</t>
  </si>
  <si>
    <t>AHMADIN</t>
  </si>
  <si>
    <t>3521151503770002</t>
  </si>
  <si>
    <t>63e396be-d7d3-11ee-ac36-0242ff9ee44d</t>
  </si>
  <si>
    <t>AHMAT SUPARDJO</t>
  </si>
  <si>
    <t>3521110102530004</t>
  </si>
  <si>
    <t>63e33f05-d7d3-11ee-ac36-0242ff9ee44d</t>
  </si>
  <si>
    <t>AHMAT ZAHLAN</t>
  </si>
  <si>
    <t>3521020904590002</t>
  </si>
  <si>
    <t>63e396ec-d7d3-11ee-ac36-0242ff9ee44d</t>
  </si>
  <si>
    <t>Ajik Sumar Setiyono</t>
  </si>
  <si>
    <t>3521082503850003</t>
  </si>
  <si>
    <t>Dusun Padas I Desa Padas</t>
  </si>
  <si>
    <t>63e369b1-d7d3-11ee-ac36-0242ff9ee44d</t>
  </si>
  <si>
    <t>Akad</t>
  </si>
  <si>
    <t>3521080111660002</t>
  </si>
  <si>
    <t>63e36d46-d7d3-11ee-ac36-0242ff9ee44d</t>
  </si>
  <si>
    <t>ALAIKA QOMAR</t>
  </si>
  <si>
    <t>3521152203860002</t>
  </si>
  <si>
    <t>63e3b849-d7d3-11ee-ac36-0242ff9ee44d</t>
  </si>
  <si>
    <t>ALEHANDRO RIVERIO MAMSUR</t>
  </si>
  <si>
    <t>3521092503010001</t>
  </si>
  <si>
    <t>Gemarang Timur,Watualang</t>
  </si>
  <si>
    <t>63e36ddb-d7d3-11ee-ac36-0242ff9ee44d</t>
  </si>
  <si>
    <t>ALEX MAHARIKA K</t>
  </si>
  <si>
    <t>3521152002850001</t>
  </si>
  <si>
    <t>63e3c2ab-d7d3-11ee-ac36-0242ff9ee44d</t>
  </si>
  <si>
    <t>ALEX SETIYONO</t>
  </si>
  <si>
    <t>3521100803810001</t>
  </si>
  <si>
    <t>Ds. Kedungputri, Kec. Paron</t>
  </si>
  <si>
    <t>63e3bb99-d7d3-11ee-ac36-0242ff9ee44d</t>
  </si>
  <si>
    <t>ALFIOVITTA MIFSHUNA</t>
  </si>
  <si>
    <t>3521094406910002</t>
  </si>
  <si>
    <t>63e363a9-d7d3-11ee-ac36-0242ff9ee44d</t>
  </si>
  <si>
    <t>ALI HARSONO</t>
  </si>
  <si>
    <t>3521023003810003</t>
  </si>
  <si>
    <t>DSN. sambirejo</t>
  </si>
  <si>
    <t>63e34409-d7d3-11ee-ac36-0242ff9ee44d</t>
  </si>
  <si>
    <t>ALI HIDAYAT</t>
  </si>
  <si>
    <t>3521012702920003</t>
  </si>
  <si>
    <t>NGLENCONG RT 02 RW 03</t>
  </si>
  <si>
    <t>yfyfyguuh@gmail.com</t>
  </si>
  <si>
    <t>63e3aee2-d7d3-11ee-ac36-0242ff9ee44d</t>
  </si>
  <si>
    <t>ALI MASYHURI</t>
  </si>
  <si>
    <t>3521100109860005</t>
  </si>
  <si>
    <t>RT. 04 RW. 02 TEGALSARI</t>
  </si>
  <si>
    <t>63e396d5-d7d3-11ee-ac36-0242ff9ee44d</t>
  </si>
  <si>
    <t>ALI MONDIR</t>
  </si>
  <si>
    <t>3521111704580001</t>
  </si>
  <si>
    <t>63e3a32c-d7d3-11ee-ac36-0242ff9ee44d</t>
  </si>
  <si>
    <t>zamzudin@gmail.com</t>
  </si>
  <si>
    <t>Ali Muharom</t>
  </si>
  <si>
    <t>3521031310780004</t>
  </si>
  <si>
    <t>Dusun Sanan Desa Ngrayudan Kec. Jogorogo</t>
  </si>
  <si>
    <t>63e33e35-d7d3-11ee-ac36-0242ff9ee44d</t>
  </si>
  <si>
    <t>Grand Total</t>
  </si>
  <si>
    <t>ALI MUJIONO</t>
  </si>
  <si>
    <t>3521021601830001</t>
  </si>
  <si>
    <t>63e32577-d7d3-11ee-ac36-0242ff9ee44d</t>
  </si>
  <si>
    <t>Ali Mustofa</t>
  </si>
  <si>
    <t>3521022606770002</t>
  </si>
  <si>
    <t>63e34586-d7d3-11ee-ac36-0242ff9ee44d</t>
  </si>
  <si>
    <t>ALI MUSTOFA</t>
  </si>
  <si>
    <t>3521012110750003</t>
  </si>
  <si>
    <t>KAUMAN RT 03 RW 01</t>
  </si>
  <si>
    <t>63e3c4e0-d7d3-11ee-ac36-0242ff9ee44d</t>
  </si>
  <si>
    <t>3521030109770001</t>
  </si>
  <si>
    <t>63e386d2-d7d3-11ee-ac36-0242ff9ee44d</t>
  </si>
  <si>
    <t>ali s</t>
  </si>
  <si>
    <t>3521121110810004</t>
  </si>
  <si>
    <t>kayutrejo</t>
  </si>
  <si>
    <t>63e39704-d7d3-11ee-ac36-0242ff9ee44d</t>
  </si>
  <si>
    <t>ALI SODIKIN</t>
  </si>
  <si>
    <t>3521110707640003</t>
  </si>
  <si>
    <t>63e37ed2-d7d3-11ee-ac36-0242ff9ee44d</t>
  </si>
  <si>
    <t>ALI SUMARGONO</t>
  </si>
  <si>
    <t>3521120907880005</t>
  </si>
  <si>
    <t>Gendingan kidul</t>
  </si>
  <si>
    <t>63e3116e-d7d3-11ee-ac36-0242ff9ee44d</t>
  </si>
  <si>
    <t>ALI SUYOTO SAIMAN</t>
  </si>
  <si>
    <t>3521012303580001</t>
  </si>
  <si>
    <t>Wonosari RT. 01RW. 01</t>
  </si>
  <si>
    <t>63e3441d-d7d3-11ee-ac36-0242ff9ee44d</t>
  </si>
  <si>
    <t>ALIF SUBIYANTORO</t>
  </si>
  <si>
    <t>3521012205830002</t>
  </si>
  <si>
    <t>NGLENCONG RT 10 RW 03</t>
  </si>
  <si>
    <t>63e377cc-d7d3-11ee-ac36-0242ff9ee44d</t>
  </si>
  <si>
    <t>Alif Sudarno</t>
  </si>
  <si>
    <t>3521051401600001</t>
  </si>
  <si>
    <t>63e34473-d7d3-11ee-ac36-0242ff9ee44d</t>
  </si>
  <si>
    <t>ALIFUL QOIMAH</t>
  </si>
  <si>
    <t>3521124605860002</t>
  </si>
  <si>
    <t>NGLENCONG RT 5 RW 3</t>
  </si>
  <si>
    <t>63e331cb-d7d3-11ee-ac36-0242ff9ee44d</t>
  </si>
  <si>
    <t>ALIP SUPRAPTO</t>
  </si>
  <si>
    <t>3521111407750005</t>
  </si>
  <si>
    <t>DUSUN POHJENGGEL</t>
  </si>
  <si>
    <t>63e31ee3-d7d3-11ee-ac36-0242ff9ee44d</t>
  </si>
  <si>
    <t>ALIT PAKAR PAULIANA</t>
  </si>
  <si>
    <t>3521011706880001</t>
  </si>
  <si>
    <t>TENDEN RT 04 RW 01</t>
  </si>
  <si>
    <t>63e3b1f6-d7d3-11ee-ac36-0242ff9ee44d</t>
  </si>
  <si>
    <t>ALWAN TAFSIRI</t>
  </si>
  <si>
    <t>3521092909860002</t>
  </si>
  <si>
    <t>63e35058-d7d3-11ee-ac36-0242ff9ee44d</t>
  </si>
  <si>
    <t>AMAD SUHUD</t>
  </si>
  <si>
    <t>63e3c2eb-d7d3-11ee-ac36-0242ff9ee44d</t>
  </si>
  <si>
    <t>AMAT</t>
  </si>
  <si>
    <t>3521123112650019</t>
  </si>
  <si>
    <t>CRAWUK</t>
  </si>
  <si>
    <t>63e37683-d7d3-11ee-ac36-0242ff9ee44d</t>
  </si>
  <si>
    <t>Amat Basir</t>
  </si>
  <si>
    <t>3521053108520001</t>
  </si>
  <si>
    <t>63e32421-d7d3-11ee-ac36-0242ff9ee44d</t>
  </si>
  <si>
    <t>Amat Giyo</t>
  </si>
  <si>
    <t>3521110707470001</t>
  </si>
  <si>
    <t>63e39576-d7d3-11ee-ac36-0242ff9ee44d</t>
  </si>
  <si>
    <t>Amat Jumani</t>
  </si>
  <si>
    <t>3521113012520006</t>
  </si>
  <si>
    <t>63e379a6-d7d3-11ee-ac36-0242ff9ee44d</t>
  </si>
  <si>
    <t>AMAT KAERAN</t>
  </si>
  <si>
    <t>63e35082-d7d3-11ee-ac36-0242ff9ee44d</t>
  </si>
  <si>
    <t>AMAT MURSID</t>
  </si>
  <si>
    <t>3521021604580001</t>
  </si>
  <si>
    <t>63e34b69-d7d3-11ee-ac36-0242ff9ee44d</t>
  </si>
  <si>
    <t>AMAT RIMANTO</t>
  </si>
  <si>
    <t>3521021606550002</t>
  </si>
  <si>
    <t>63e37f13-d7d3-11ee-ac36-0242ff9ee44d</t>
  </si>
  <si>
    <t>Ambar Rahayu Ningsih</t>
  </si>
  <si>
    <t>3521164701900002</t>
  </si>
  <si>
    <t>Ngilon Desa Bangunrejo Lor Kecamatan Pitu</t>
  </si>
  <si>
    <t>63e37d90-d7d3-11ee-ac36-0242ff9ee44d</t>
  </si>
  <si>
    <t>AMBARI</t>
  </si>
  <si>
    <t>3521052808700003</t>
  </si>
  <si>
    <t>63e30b62-d7d3-11ee-ac36-0242ff9ee44d</t>
  </si>
  <si>
    <t>Amin</t>
  </si>
  <si>
    <t>3521082104680002</t>
  </si>
  <si>
    <t>Dusun Slumbung Desa Padas</t>
  </si>
  <si>
    <t>63e338a6-d7d3-11ee-ac36-0242ff9ee44d</t>
  </si>
  <si>
    <t>AMIN ROHMAT</t>
  </si>
  <si>
    <t>3521021310630001</t>
  </si>
  <si>
    <t>003/006 Ds. Ngrambe</t>
  </si>
  <si>
    <t>63e35097-d7d3-11ee-ac36-0242ff9ee44d</t>
  </si>
  <si>
    <t>AMIN SUGENG WIDODO</t>
  </si>
  <si>
    <t>3521022609790001</t>
  </si>
  <si>
    <t>63e3c97f-d7d3-11ee-ac36-0242ff9ee44d</t>
  </si>
  <si>
    <t>AMIN SUTIKNO</t>
  </si>
  <si>
    <t>3521101211750005</t>
  </si>
  <si>
    <t>Ds. Tempuran, Kec. Paron</t>
  </si>
  <si>
    <t>63e39081-d7d3-11ee-ac36-0242ff9ee44d</t>
  </si>
  <si>
    <t>Amin Sutikno</t>
  </si>
  <si>
    <t>3521070904770001</t>
  </si>
  <si>
    <t>Desa Ploso Lor</t>
  </si>
  <si>
    <t>63e3c32a-d7d3-11ee-ac36-0242ff9ee44d</t>
  </si>
  <si>
    <t>AMIN SUYUTI</t>
  </si>
  <si>
    <t>3521101001680006</t>
  </si>
  <si>
    <t>63e34e7c-d7d3-11ee-ac36-0242ff9ee44d</t>
  </si>
  <si>
    <t>Amin Syamhudi</t>
  </si>
  <si>
    <t>3521021010720007</t>
  </si>
  <si>
    <t>63e3393a-d7d3-11ee-ac36-0242ff9ee44d</t>
  </si>
  <si>
    <t>AMIN UTOMO</t>
  </si>
  <si>
    <t>3521020110600004</t>
  </si>
  <si>
    <t>003/004 Ds. Ngrambe</t>
  </si>
  <si>
    <t>63e3469d-d7d3-11ee-ac36-0242ff9ee44d</t>
  </si>
  <si>
    <t>AMINAH</t>
  </si>
  <si>
    <t>3521024204480002</t>
  </si>
  <si>
    <t>63e386e9-d7d3-11ee-ac36-0242ff9ee44d</t>
  </si>
  <si>
    <t>Aminah</t>
  </si>
  <si>
    <t>3504035905690001</t>
  </si>
  <si>
    <t>63e32d8a-d7d3-11ee-ac36-0242ff9ee44d</t>
  </si>
  <si>
    <t>AMINING</t>
  </si>
  <si>
    <t>3521067005820001</t>
  </si>
  <si>
    <t>Jl. Raya Kwadungan Ngawi</t>
  </si>
  <si>
    <t>63e33f59-d7d3-11ee-ac36-0242ff9ee44d</t>
  </si>
  <si>
    <t>AMIR</t>
  </si>
  <si>
    <t>3521021707670002</t>
  </si>
  <si>
    <t>63e39e7a-d7d3-11ee-ac36-0242ff9ee44d</t>
  </si>
  <si>
    <t>Amir</t>
  </si>
  <si>
    <t>3521130508570001</t>
  </si>
  <si>
    <t>Pakah</t>
  </si>
  <si>
    <t>63e350d7-d7d3-11ee-ac36-0242ff9ee44d</t>
  </si>
  <si>
    <t>AMIR SURAHMAN</t>
  </si>
  <si>
    <t>3521022810820002</t>
  </si>
  <si>
    <t>63e3251f-d7d3-11ee-ac36-0242ff9ee44d</t>
  </si>
  <si>
    <t>AMIRIL FARID RIZQY</t>
  </si>
  <si>
    <t>3521121303940002</t>
  </si>
  <si>
    <t>Dsn Gedoro Desa Cepoko</t>
  </si>
  <si>
    <t>63e388af-d7d3-11ee-ac36-0242ff9ee44d</t>
  </si>
  <si>
    <t>Ana Widyawati</t>
  </si>
  <si>
    <t>3521074608770001</t>
  </si>
  <si>
    <t>Desa Ringinanom</t>
  </si>
  <si>
    <t>63e32ab2-d7d3-11ee-ac36-0242ff9ee44d</t>
  </si>
  <si>
    <t>Anang Abadi</t>
  </si>
  <si>
    <t>3521021507820004</t>
  </si>
  <si>
    <t>Dusun Ngariboyo Desa Manisharjo</t>
  </si>
  <si>
    <t>63e393fe-d7d3-11ee-ac36-0242ff9ee44d</t>
  </si>
  <si>
    <t>Anang Agus Setiabudi</t>
  </si>
  <si>
    <t>3521162608870001</t>
  </si>
  <si>
    <t>Papungan Desa Papungan Kecamatan Pitu</t>
  </si>
  <si>
    <t>63e37698-d7d3-11ee-ac36-0242ff9ee44d</t>
  </si>
  <si>
    <t>ANANG GURIDNO</t>
  </si>
  <si>
    <t>3521052208900001</t>
  </si>
  <si>
    <t>63e37c91-d7d3-11ee-ac36-0242ff9ee44d</t>
  </si>
  <si>
    <t>Anang Prawoto</t>
  </si>
  <si>
    <t>3521122101920005</t>
  </si>
  <si>
    <t>Dusun Gembol, Desa Gembol</t>
  </si>
  <si>
    <t>63e325df-d7d3-11ee-ac36-0242ff9ee44d</t>
  </si>
  <si>
    <t>ANANG PUGUH JOKOPRIYANTO</t>
  </si>
  <si>
    <t>3521022001780001</t>
  </si>
  <si>
    <t>63e36e70-d7d3-11ee-ac36-0242ff9ee44d</t>
  </si>
  <si>
    <t>ANANG SETIAWAN</t>
  </si>
  <si>
    <t>3521092104840002</t>
  </si>
  <si>
    <t>RT 04 RW 02 KROMPOL 1</t>
  </si>
  <si>
    <t>63e3b7c9-d7d3-11ee-ac36-0242ff9ee44d</t>
  </si>
  <si>
    <t>Anang Setiyawan</t>
  </si>
  <si>
    <t>35211614022790001</t>
  </si>
  <si>
    <t>63e39746-d7d3-11ee-ac36-0242ff9ee44d</t>
  </si>
  <si>
    <t>Anang Sugianto</t>
  </si>
  <si>
    <t>3521081308750002</t>
  </si>
  <si>
    <t>63e32246-d7d3-11ee-ac36-0242ff9ee44d</t>
  </si>
  <si>
    <t>ANANG SUHARYONO</t>
  </si>
  <si>
    <t>3521111505780002</t>
  </si>
  <si>
    <t>63e34f4f-d7d3-11ee-ac36-0242ff9ee44d</t>
  </si>
  <si>
    <t>ANANUR ROFIATI</t>
  </si>
  <si>
    <t>3521064506800001</t>
  </si>
  <si>
    <t>JL RAYA KWADUNGAN SUMENGKO</t>
  </si>
  <si>
    <t>63e3cb86-d7d3-11ee-ac36-0242ff9ee44d</t>
  </si>
  <si>
    <t>Andam Bahiaqi Raharjo</t>
  </si>
  <si>
    <t>3577012404990001</t>
  </si>
  <si>
    <t>63e3274f-d7d3-11ee-ac36-0242ff9ee44d</t>
  </si>
  <si>
    <t>ANDI HAMDI</t>
  </si>
  <si>
    <t>3521022403610002</t>
  </si>
  <si>
    <t>63e3788a-d7d3-11ee-ac36-0242ff9ee44d</t>
  </si>
  <si>
    <t>Andik Budianto</t>
  </si>
  <si>
    <t>3521191612920002</t>
  </si>
  <si>
    <t>63e37ba9-d7d3-11ee-ac36-0242ff9ee44d</t>
  </si>
  <si>
    <t>Andik Mulyono</t>
  </si>
  <si>
    <t>3521172605840001</t>
  </si>
  <si>
    <t>Dusun Banyuasin Barat</t>
  </si>
  <si>
    <t>63e39537-d7d3-11ee-ac36-0242ff9ee44d</t>
  </si>
  <si>
    <t>Andik Puriawan</t>
  </si>
  <si>
    <t>3521080210980002</t>
  </si>
  <si>
    <t>Desa Sambiroto</t>
  </si>
  <si>
    <t>63e32c36-d7d3-11ee-ac36-0242ff9ee44d</t>
  </si>
  <si>
    <t>Andik Sunarto</t>
  </si>
  <si>
    <t>3521021001760001</t>
  </si>
  <si>
    <t>63e32010-d7d3-11ee-ac36-0242ff9ee44d</t>
  </si>
  <si>
    <t>Andik Triyan Susilo</t>
  </si>
  <si>
    <t>3521161406850001</t>
  </si>
  <si>
    <t>63e392ab-d7d3-11ee-ac36-0242ff9ee44d</t>
  </si>
  <si>
    <t>ANDIK ZAINUDIN</t>
  </si>
  <si>
    <t>3521151911880001</t>
  </si>
  <si>
    <t>Legowetan, Bringin</t>
  </si>
  <si>
    <t>63e30b8b-d7d3-11ee-ac36-0242ff9ee44d</t>
  </si>
  <si>
    <t>Andika Candra</t>
  </si>
  <si>
    <t>3521071005910001</t>
  </si>
  <si>
    <t>63e330d0-d7d3-11ee-ac36-0242ff9ee44d</t>
  </si>
  <si>
    <t>ANDIKA SAPUTRA</t>
  </si>
  <si>
    <t>3521012505920001</t>
  </si>
  <si>
    <t>PLOSOKEREP RT 3 RW 4 KUNIRAN</t>
  </si>
  <si>
    <t>63e3b3a4-d7d3-11ee-ac36-0242ff9ee44d</t>
  </si>
  <si>
    <t>ANDON SUPRIADI MARSIDI</t>
  </si>
  <si>
    <t>3521090608790005</t>
  </si>
  <si>
    <t>Jururejo</t>
  </si>
  <si>
    <t>63e3a988-d7d3-11ee-ac36-0242ff9ee44d</t>
  </si>
  <si>
    <t>ANDRA JATMIKO</t>
  </si>
  <si>
    <t>3521062103820001</t>
  </si>
  <si>
    <t>63e34786-d7d3-11ee-ac36-0242ff9ee44d</t>
  </si>
  <si>
    <t>ANDREAN PRATAMA</t>
  </si>
  <si>
    <t>3521021203980001</t>
  </si>
  <si>
    <t>Dsn. Srikaton Ds. Manisharjo</t>
  </si>
  <si>
    <t>63e3cb45-d7d3-11ee-ac36-0242ff9ee44d</t>
  </si>
  <si>
    <t>andreas</t>
  </si>
  <si>
    <t>3521090407820002</t>
  </si>
  <si>
    <t>63e322e8-d7d3-11ee-ac36-0242ff9ee44d</t>
  </si>
  <si>
    <t>Andri Nur Cahyo</t>
  </si>
  <si>
    <t>3521140511920001</t>
  </si>
  <si>
    <t>Dsn Pilang</t>
  </si>
  <si>
    <t>63e344f3-d7d3-11ee-ac36-0242ff9ee44d</t>
  </si>
  <si>
    <t>ANDRI PRASTOWO</t>
  </si>
  <si>
    <t>3521010303820007</t>
  </si>
  <si>
    <t>KAUMAN RT 01 RW 01</t>
  </si>
  <si>
    <t>63e32b06-d7d3-11ee-ac36-0242ff9ee44d</t>
  </si>
  <si>
    <t>Andri Wahyu Purnomo</t>
  </si>
  <si>
    <t>3521021812870002</t>
  </si>
  <si>
    <t>63e36d5d-d7d3-11ee-ac36-0242ff9ee44d</t>
  </si>
  <si>
    <t>ANGGA ARDIA SURYA PUTRA</t>
  </si>
  <si>
    <t>3521152604980001</t>
  </si>
  <si>
    <t>63e3ab4f-d7d3-11ee-ac36-0242ff9ee44d</t>
  </si>
  <si>
    <t>ANGGA DWI NUGROHO</t>
  </si>
  <si>
    <t>3521041905830002</t>
  </si>
  <si>
    <t>Dusun Munggur</t>
  </si>
  <si>
    <t>63e38700-d7d3-11ee-ac36-0242ff9ee44d</t>
  </si>
  <si>
    <t>Anggita Destiana</t>
  </si>
  <si>
    <t>3521124512890006</t>
  </si>
  <si>
    <t>63e33345-d7d3-11ee-ac36-0242ff9ee44d</t>
  </si>
  <si>
    <t>ANGGORO KASIH</t>
  </si>
  <si>
    <t>3521020205650003</t>
  </si>
  <si>
    <t>Dsn Berjing Ds Cepoko</t>
  </si>
  <si>
    <t>63e3b85f-d7d3-11ee-ac36-0242ff9ee44d</t>
  </si>
  <si>
    <t>ANIEK PUJIHASTUTI</t>
  </si>
  <si>
    <t>3521095903780002</t>
  </si>
  <si>
    <t>63e37f91-d7d3-11ee-ac36-0242ff9ee44d</t>
  </si>
  <si>
    <t>ANIES MEI JATUNISA</t>
  </si>
  <si>
    <t>3521066605810002</t>
  </si>
  <si>
    <t>63e344c9-d7d3-11ee-ac36-0242ff9ee44d</t>
  </si>
  <si>
    <t>Anif Umi M</t>
  </si>
  <si>
    <t>3521146506950002</t>
  </si>
  <si>
    <t>63e32ba0-d7d3-11ee-ac36-0242ff9ee44d</t>
  </si>
  <si>
    <t>ANIK SUSANTI</t>
  </si>
  <si>
    <t>3521115604840001</t>
  </si>
  <si>
    <t>DUSUN PONJEN</t>
  </si>
  <si>
    <t>63e3225e-d7d3-11ee-ac36-0242ff9ee44d</t>
  </si>
  <si>
    <t>Anita Muryani</t>
  </si>
  <si>
    <t>3521116110860002</t>
  </si>
  <si>
    <t>GEMARANG</t>
  </si>
  <si>
    <t>63e3a385-d7d3-11ee-ac36-0242ff9ee44d</t>
  </si>
  <si>
    <t>Anjar Srianto</t>
  </si>
  <si>
    <t>3521031303770001</t>
  </si>
  <si>
    <t>63e335d5-d7d3-11ee-ac36-0242ff9ee44d</t>
  </si>
  <si>
    <t>ANNA ZAHROTUN NAFI'AH</t>
  </si>
  <si>
    <t>3521025604760004</t>
  </si>
  <si>
    <t>63e3971a-d7d3-11ee-ac36-0242ff9ee44d</t>
  </si>
  <si>
    <t>ANTOK</t>
  </si>
  <si>
    <t>3521113006680022</t>
  </si>
  <si>
    <t>63e34ea6-d7d3-11ee-ac36-0242ff9ee44d</t>
  </si>
  <si>
    <t>ANTON</t>
  </si>
  <si>
    <t>3521022705690001</t>
  </si>
  <si>
    <t>63e371fc-d7d3-11ee-ac36-0242ff9ee44d</t>
  </si>
  <si>
    <t>Anton Budi Prasetyo</t>
  </si>
  <si>
    <t>3521142412820001</t>
  </si>
  <si>
    <t>WARUK</t>
  </si>
  <si>
    <t>63e323f7-d7d3-11ee-ac36-0242ff9ee44d</t>
  </si>
  <si>
    <t>Antonius Krisdianto</t>
  </si>
  <si>
    <t>3521020112770004</t>
  </si>
  <si>
    <t>63e37ffd-d7d3-11ee-ac36-0242ff9ee44d</t>
  </si>
  <si>
    <t>ANUNG WIDODO</t>
  </si>
  <si>
    <t>3521122811760001</t>
  </si>
  <si>
    <t>sidolaju</t>
  </si>
  <si>
    <t>63e33fd6-d7d3-11ee-ac36-0242ff9ee44d</t>
  </si>
  <si>
    <t>ANWAR SHODIQ</t>
  </si>
  <si>
    <t>3521011309860001</t>
  </si>
  <si>
    <t>NGEMPLAK RT5 RW3</t>
  </si>
  <si>
    <t>63e3b94a-d7d3-11ee-ac36-0242ff9ee44d</t>
  </si>
  <si>
    <t>Anwari</t>
  </si>
  <si>
    <t>3521160406650001</t>
  </si>
  <si>
    <t>63e39ab6-d7d3-11ee-ac36-0242ff9ee44d</t>
  </si>
  <si>
    <t>ARBA'I</t>
  </si>
  <si>
    <t>3521040502780004</t>
  </si>
  <si>
    <t>RT. 02 RW. 05 JERUK GULUNG</t>
  </si>
  <si>
    <t>63e31608-d7d3-11ee-ac36-0242ff9ee44d</t>
  </si>
  <si>
    <t>Arbangi</t>
  </si>
  <si>
    <t>3521191112660001</t>
  </si>
  <si>
    <t>Pencol, Cangakan</t>
  </si>
  <si>
    <t>63e349b0-d7d3-11ee-ac36-0242ff9ee44d</t>
  </si>
  <si>
    <t>ARDHIAN SYUKMAWANTO PRADHIPTO</t>
  </si>
  <si>
    <t>3521111902760002</t>
  </si>
  <si>
    <t>63e3cf8c-d7d3-11ee-ac36-0242ff9ee44d</t>
  </si>
  <si>
    <t>arfian</t>
  </si>
  <si>
    <t>3521112208030004</t>
  </si>
  <si>
    <t>63e36101-d7d3-11ee-ac36-0242ff9ee44d</t>
  </si>
  <si>
    <t>ARIADI</t>
  </si>
  <si>
    <t>3521071704910001</t>
  </si>
  <si>
    <t>Dsn Bulung</t>
  </si>
  <si>
    <t>63e38a44-d7d3-11ee-ac36-0242ff9ee44d</t>
  </si>
  <si>
    <t>Arianto Adi</t>
  </si>
  <si>
    <t>3521071108730001</t>
  </si>
  <si>
    <t>63e3cc36-d7d3-11ee-ac36-0242ff9ee44d</t>
  </si>
  <si>
    <t>Arie Widya P</t>
  </si>
  <si>
    <t>63e33a36-d7d3-11ee-ac36-0242ff9ee44d</t>
  </si>
  <si>
    <t>ARIE ZULIANTORO</t>
  </si>
  <si>
    <t>3521061207850001</t>
  </si>
  <si>
    <t>Dsn Tirak 1 Ds. Tirak</t>
  </si>
  <si>
    <t>63e397b1-d7d3-11ee-ac36-0242ff9ee44d</t>
  </si>
  <si>
    <t>Arief Wahyu Pradana</t>
  </si>
  <si>
    <t>3521081205860002</t>
  </si>
  <si>
    <t>63e34eba-d7d3-11ee-ac36-0242ff9ee44d</t>
  </si>
  <si>
    <t>Ariep Nanang Wijaya</t>
  </si>
  <si>
    <t>3521021002860003</t>
  </si>
  <si>
    <t>63e3972f-d7d3-11ee-ac36-0242ff9ee44d</t>
  </si>
  <si>
    <t>ARIES WIJANANTO</t>
  </si>
  <si>
    <t>3521110201740003</t>
  </si>
  <si>
    <t>63e36e07-d7d3-11ee-ac36-0242ff9ee44d</t>
  </si>
  <si>
    <t>ARIF NUGROHANTO</t>
  </si>
  <si>
    <t>3521152905850002</t>
  </si>
  <si>
    <t>63e36df0-d7d3-11ee-ac36-0242ff9ee44d</t>
  </si>
  <si>
    <t>3521151106730002</t>
  </si>
  <si>
    <t>63e39b78-d7d3-11ee-ac36-0242ff9ee44d</t>
  </si>
  <si>
    <t>ARIF NURROHMAN</t>
  </si>
  <si>
    <t>3521150206970003</t>
  </si>
  <si>
    <t>63e36d73-d7d3-11ee-ac36-0242ff9ee44d</t>
  </si>
  <si>
    <t>ARIF SUPRIYANTO</t>
  </si>
  <si>
    <t>3521152609780001</t>
  </si>
  <si>
    <t>63e349db-d7d3-11ee-ac36-0242ff9ee44d</t>
  </si>
  <si>
    <t>ARIFIN</t>
  </si>
  <si>
    <t>3521110909820003</t>
  </si>
  <si>
    <t>63e371ba-d7d3-11ee-ac36-0242ff9ee44d</t>
  </si>
  <si>
    <t>Arifin</t>
  </si>
  <si>
    <t>3521140309740002</t>
  </si>
  <si>
    <t>TAPEN</t>
  </si>
  <si>
    <t>63e39694-d7d3-11ee-ac36-0242ff9ee44d</t>
  </si>
  <si>
    <t>3521081005750003</t>
  </si>
  <si>
    <t>63e32b88-d7d3-11ee-ac36-0242ff9ee44d</t>
  </si>
  <si>
    <t>ARIK SRI SUTINI</t>
  </si>
  <si>
    <t>3521026303710002</t>
  </si>
  <si>
    <t>63e330bc-d7d3-11ee-ac36-0242ff9ee44d</t>
  </si>
  <si>
    <t>ARIMANTO</t>
  </si>
  <si>
    <t>3521020301730003</t>
  </si>
  <si>
    <t>63e3bbc6-d7d3-11ee-ac36-0242ff9ee44d</t>
  </si>
  <si>
    <t>ARIP KUSUMO HANDOYO</t>
  </si>
  <si>
    <t>3521100908810001</t>
  </si>
  <si>
    <t>63e31e2d-d7d3-11ee-ac36-0242ff9ee44d</t>
  </si>
  <si>
    <t>Arip Suwignyo</t>
  </si>
  <si>
    <t>3521192305800001</t>
  </si>
  <si>
    <t>Geger</t>
  </si>
  <si>
    <t>63e3cf4c-d7d3-11ee-ac36-0242ff9ee44d</t>
  </si>
  <si>
    <t>Aris Aprianggoro</t>
  </si>
  <si>
    <t>3521012504940003</t>
  </si>
  <si>
    <t>63e3c059-d7d3-11ee-ac36-0242ff9ee44d</t>
  </si>
  <si>
    <t>Aris ardianto</t>
  </si>
  <si>
    <t>3521092608870002</t>
  </si>
  <si>
    <t>63e39e65-d7d3-11ee-ac36-0242ff9ee44d</t>
  </si>
  <si>
    <t>ARIS DAMANURI</t>
  </si>
  <si>
    <t>3521181308800001</t>
  </si>
  <si>
    <t>Gandong, Bringin</t>
  </si>
  <si>
    <t>63e3a08d-d7d3-11ee-ac36-0242ff9ee44d</t>
  </si>
  <si>
    <t>ARIS LUSIDI</t>
  </si>
  <si>
    <t>3521132201840001</t>
  </si>
  <si>
    <t>63e34bbe-d7d3-11ee-ac36-0242ff9ee44d</t>
  </si>
  <si>
    <t>ARIS MUNANDAR</t>
  </si>
  <si>
    <t>3521061606810002</t>
  </si>
  <si>
    <t>Dsn. Wage Ds. Purwosari</t>
  </si>
  <si>
    <t>63e397c9-d7d3-11ee-ac36-0242ff9ee44d</t>
  </si>
  <si>
    <t>Aris Nur Gutomo</t>
  </si>
  <si>
    <t>3521080507760004</t>
  </si>
  <si>
    <t>63e36384-d7d3-11ee-ac36-0242ff9ee44d</t>
  </si>
  <si>
    <t>Aris Suprapto</t>
  </si>
  <si>
    <t>3521021910880001</t>
  </si>
  <si>
    <t>63e33fea-d7d3-11ee-ac36-0242ff9ee44d</t>
  </si>
  <si>
    <t>ARIS SURYA KUSUMA</t>
  </si>
  <si>
    <t>3521012801840001</t>
  </si>
  <si>
    <t>63e39e39-d7d3-11ee-ac36-0242ff9ee44d</t>
  </si>
  <si>
    <t>ARIS SUSILO</t>
  </si>
  <si>
    <t>3521040103880004</t>
  </si>
  <si>
    <t>RT. 04 RW. 02 TEGALREJO</t>
  </si>
  <si>
    <t>63e32e99-d7d3-11ee-ac36-0242ff9ee44d</t>
  </si>
  <si>
    <t>ARIS SUWANTO</t>
  </si>
  <si>
    <t>3521120110820002</t>
  </si>
  <si>
    <t>DUSUN KRAJAN RT 3 RW 2 KUNIRAN</t>
  </si>
  <si>
    <t>63e3c969-d7d3-11ee-ac36-0242ff9ee44d</t>
  </si>
  <si>
    <t>ARIS WINARNO</t>
  </si>
  <si>
    <t>3521100507770003</t>
  </si>
  <si>
    <t>63e37b0d-d7d3-11ee-ac36-0242ff9ee44d</t>
  </si>
  <si>
    <t>Aristian Sutarso</t>
  </si>
  <si>
    <t>3521171205700001</t>
  </si>
  <si>
    <t>Dusun Bulak Ombo, Desa Karanganyar</t>
  </si>
  <si>
    <t>63e3b9a0-d7d3-11ee-ac36-0242ff9ee44d</t>
  </si>
  <si>
    <t>Aristika Juli Astuti</t>
  </si>
  <si>
    <t>3521166607790001</t>
  </si>
  <si>
    <t>63e38c7f-d7d3-11ee-ac36-0242ff9ee44d</t>
  </si>
  <si>
    <t>ARIYANTO</t>
  </si>
  <si>
    <t>3521151706650001</t>
  </si>
  <si>
    <t>63e376c2-d7d3-11ee-ac36-0242ff9ee44d</t>
  </si>
  <si>
    <t>Ariyono</t>
  </si>
  <si>
    <t>3521190804720002</t>
  </si>
  <si>
    <t>Legokulon</t>
  </si>
  <si>
    <t>63e3244e-d7d3-11ee-ac36-0242ff9ee44d</t>
  </si>
  <si>
    <t>Arjo  Seno</t>
  </si>
  <si>
    <t>3521110304490002</t>
  </si>
  <si>
    <t>63e335ff-d7d3-11ee-ac36-0242ff9ee44d</t>
  </si>
  <si>
    <t>ARJO KASDI</t>
  </si>
  <si>
    <t>3521020608550002</t>
  </si>
  <si>
    <t>63e33a4c-d7d3-11ee-ac36-0242ff9ee44d</t>
  </si>
  <si>
    <t>ARJO SETU</t>
  </si>
  <si>
    <t>3521020507550007</t>
  </si>
  <si>
    <t>NGRAMBE 004/004</t>
  </si>
  <si>
    <t>63e33028-d7d3-11ee-ac36-0242ff9ee44d</t>
  </si>
  <si>
    <t>Arjo Surip</t>
  </si>
  <si>
    <t>3521023112590015</t>
  </si>
  <si>
    <t>63e3a620-d7d3-11ee-ac36-0242ff9ee44d</t>
  </si>
  <si>
    <t>ARMADI</t>
  </si>
  <si>
    <t>3521060102700001</t>
  </si>
  <si>
    <t>Dsn Dinden I, Desa Dinden</t>
  </si>
  <si>
    <t>63e3a2d9-d7d3-11ee-ac36-0242ff9ee44d</t>
  </si>
  <si>
    <t>Arum Agustina</t>
  </si>
  <si>
    <t>3521035708980002</t>
  </si>
  <si>
    <t>63e333c3-d7d3-11ee-ac36-0242ff9ee44d</t>
  </si>
  <si>
    <t>ARVIYAN SINDU PRASMITO</t>
  </si>
  <si>
    <t>3521122609830001</t>
  </si>
  <si>
    <t>63e3c6fb-d7d3-11ee-ac36-0242ff9ee44d</t>
  </si>
  <si>
    <t>ARWANI</t>
  </si>
  <si>
    <t>3521101205720005</t>
  </si>
  <si>
    <t>Ds. Teguhan, Kec. Paron</t>
  </si>
  <si>
    <t>63e3451e-d7d3-11ee-ac36-0242ff9ee44d</t>
  </si>
  <si>
    <t>Arwanto</t>
  </si>
  <si>
    <t>3521140208790002</t>
  </si>
  <si>
    <t>63e3ae4e-d7d3-11ee-ac36-0242ff9ee44d</t>
  </si>
  <si>
    <t>ARY BUDI SETYAWAN</t>
  </si>
  <si>
    <t>3521040308820004</t>
  </si>
  <si>
    <t>RT.04 RW. 02 JETAK</t>
  </si>
  <si>
    <t>63e36fdb-d7d3-11ee-ac36-0242ff9ee44d</t>
  </si>
  <si>
    <t>Aryani</t>
  </si>
  <si>
    <t>3521194805890001</t>
  </si>
  <si>
    <t>63e36aa0-d7d3-11ee-ac36-0242ff9ee44d</t>
  </si>
  <si>
    <t>Asep Suratno</t>
  </si>
  <si>
    <t>3521021105630001</t>
  </si>
  <si>
    <t>sambirejo</t>
  </si>
  <si>
    <t>63e39cbf-d7d3-11ee-ac36-0242ff9ee44d</t>
  </si>
  <si>
    <t>ASMONO</t>
  </si>
  <si>
    <t>3521042712660001</t>
  </si>
  <si>
    <t>RT. 02 RW. 01 PATALAN</t>
  </si>
  <si>
    <t>63e3975c-d7d3-11ee-ac36-0242ff9ee44d</t>
  </si>
  <si>
    <t>ASPIRIP SUDIONO</t>
  </si>
  <si>
    <t>3578271402690004</t>
  </si>
  <si>
    <t>63e32be1-d7d3-11ee-ac36-0242ff9ee44d</t>
  </si>
  <si>
    <t>ASTUTIK</t>
  </si>
  <si>
    <t>3308124705760005</t>
  </si>
  <si>
    <t>63e3c8fc-d7d3-11ee-ac36-0242ff9ee44d</t>
  </si>
  <si>
    <t>ATIT KURTUBI M</t>
  </si>
  <si>
    <t>3521101207780004</t>
  </si>
  <si>
    <t>63e34a05-d7d3-11ee-ac36-0242ff9ee44d</t>
  </si>
  <si>
    <t>ATMO BANDI</t>
  </si>
  <si>
    <t>3521113112550014</t>
  </si>
  <si>
    <t>63e39772-d7d3-11ee-ac36-0242ff9ee44d</t>
  </si>
  <si>
    <t>ATMO DIHARJO</t>
  </si>
  <si>
    <t>3521111206420003</t>
  </si>
  <si>
    <t>63e3c072-d7d3-11ee-ac36-0242ff9ee44d</t>
  </si>
  <si>
    <t>ATMO KAMIN</t>
  </si>
  <si>
    <t>3521120111430003</t>
  </si>
  <si>
    <t>Butuh</t>
  </si>
  <si>
    <t>63e3297d-d7d3-11ee-ac36-0242ff9ee44d</t>
  </si>
  <si>
    <t>Atmo Sentono</t>
  </si>
  <si>
    <t>3521020404300001</t>
  </si>
  <si>
    <t>63e350ec-d7d3-11ee-ac36-0242ff9ee44d</t>
  </si>
  <si>
    <t>ATMO SLAMET</t>
  </si>
  <si>
    <t>63e37c13-d7d3-11ee-ac36-0242ff9ee44d</t>
  </si>
  <si>
    <t>Atmo Winoto Nyaman</t>
  </si>
  <si>
    <t>3521170410520001</t>
  </si>
  <si>
    <t>Dusun Banaran, Desa Sriwedari</t>
  </si>
  <si>
    <t>63e3b28d-d7d3-11ee-ac36-0242ff9ee44d</t>
  </si>
  <si>
    <t>ATOILLAH</t>
  </si>
  <si>
    <t>3521092007670001</t>
  </si>
  <si>
    <t>63e33e9c-d7d3-11ee-ac36-0242ff9ee44d</t>
  </si>
  <si>
    <t>AVIA HELMI</t>
  </si>
  <si>
    <t>3521011301820002</t>
  </si>
  <si>
    <t>KOPENAN RT4/RW1</t>
  </si>
  <si>
    <t>63e374d8-d7d3-11ee-ac36-0242ff9ee44d</t>
  </si>
  <si>
    <t>AVPRINO NUGROHO</t>
  </si>
  <si>
    <t>3521151704950001</t>
  </si>
  <si>
    <t>63e37556-d7d3-11ee-ac36-0242ff9ee44d</t>
  </si>
  <si>
    <t>3521071203830005</t>
  </si>
  <si>
    <t>Mojo II, Bringin</t>
  </si>
  <si>
    <t>63e32639-d7d3-11ee-ac36-0242ff9ee44d</t>
  </si>
  <si>
    <t>AWALUDIN AHMAD</t>
  </si>
  <si>
    <t>3521020103810002</t>
  </si>
  <si>
    <t>63e3cad7-d7d3-11ee-ac36-0242ff9ee44d</t>
  </si>
  <si>
    <t>Awwaluddin Fazani</t>
  </si>
  <si>
    <t>3517131106850001</t>
  </si>
  <si>
    <t>63e36e1b-d7d3-11ee-ac36-0242ff9ee44d</t>
  </si>
  <si>
    <t>AYU</t>
  </si>
  <si>
    <t>3521156706940001</t>
  </si>
  <si>
    <t>63e32bcc-d7d3-11ee-ac36-0242ff9ee44d</t>
  </si>
  <si>
    <t>BADRIYAH</t>
  </si>
  <si>
    <t>3521115502740005</t>
  </si>
  <si>
    <t>63e386a8-d7d3-11ee-ac36-0242ff9ee44d</t>
  </si>
  <si>
    <t>Badriyanto</t>
  </si>
  <si>
    <t>3521122706000001</t>
  </si>
  <si>
    <t>63e33bb2-d7d3-11ee-ac36-0242ff9ee44d</t>
  </si>
  <si>
    <t>BAGUS BUDIYONO</t>
  </si>
  <si>
    <t>3521011202850001</t>
  </si>
  <si>
    <t>Bayem RT 03 RW 02</t>
  </si>
  <si>
    <t>63e34a1b-d7d3-11ee-ac36-0242ff9ee44d</t>
  </si>
  <si>
    <t>BAHRODIN</t>
  </si>
  <si>
    <t>63e372aa-d7d3-11ee-ac36-0242ff9ee44d</t>
  </si>
  <si>
    <t>bambang</t>
  </si>
  <si>
    <t>3521153112720025</t>
  </si>
  <si>
    <t>63e3933e-d7d3-11ee-ac36-0242ff9ee44d</t>
  </si>
  <si>
    <t>BAMBANG ALIP PERMADI</t>
  </si>
  <si>
    <t>3521152101960002</t>
  </si>
  <si>
    <t>Ds. Kenongorejo, Bringin</t>
  </si>
  <si>
    <t>63e34224-d7d3-11ee-ac36-0242ff9ee44d</t>
  </si>
  <si>
    <t>BAMBANG EDI</t>
  </si>
  <si>
    <t>3521100208880001</t>
  </si>
  <si>
    <t>Plosorejo, 09/04 JAGIR</t>
  </si>
  <si>
    <t>63e39786-d7d3-11ee-ac36-0242ff9ee44d</t>
  </si>
  <si>
    <t>BAMBANG EDY SARWIADI</t>
  </si>
  <si>
    <t>3521111802700001</t>
  </si>
  <si>
    <t>63e3aae3-d7d3-11ee-ac36-0242ff9ee44d</t>
  </si>
  <si>
    <t>BAMBANG FATKHURROHMAN</t>
  </si>
  <si>
    <t>Dusun Ngrancang</t>
  </si>
  <si>
    <t>63e3b8b4-d7d3-11ee-ac36-0242ff9ee44d</t>
  </si>
  <si>
    <t>BAMBANG HARMANTO</t>
  </si>
  <si>
    <t>3521090306650005</t>
  </si>
  <si>
    <t>Krajan Selatan,Watualang</t>
  </si>
  <si>
    <t>63e34843-d7d3-11ee-ac36-0242ff9ee44d</t>
  </si>
  <si>
    <t>BAMBANG HARYONO</t>
  </si>
  <si>
    <t>3521020407730001</t>
  </si>
  <si>
    <t>63e376ad-d7d3-11ee-ac36-0242ff9ee44d</t>
  </si>
  <si>
    <t>BAMBANG INDARTO</t>
  </si>
  <si>
    <t>3521050609600001</t>
  </si>
  <si>
    <t>63e33ec6-d7d3-11ee-ac36-0242ff9ee44d</t>
  </si>
  <si>
    <t>BAMBANG ISTIAWAN</t>
  </si>
  <si>
    <t>3521021111720005</t>
  </si>
  <si>
    <t>63e33ef0-d7d3-11ee-ac36-0242ff9ee44d</t>
  </si>
  <si>
    <t>Bambang Kunto Wicaksono</t>
  </si>
  <si>
    <t>3521020609830001</t>
  </si>
  <si>
    <t>63e33aa0-d7d3-11ee-ac36-0242ff9ee44d</t>
  </si>
  <si>
    <t>BAMBANG PONCO ISMONO</t>
  </si>
  <si>
    <t>3521021401620001</t>
  </si>
  <si>
    <t>63e3766e-d7d3-11ee-ac36-0242ff9ee44d</t>
  </si>
  <si>
    <t>BAMBANG PRIBADI</t>
  </si>
  <si>
    <t>3521052701660001</t>
  </si>
  <si>
    <t>63e35101-d7d3-11ee-ac36-0242ff9ee44d</t>
  </si>
  <si>
    <t>BAMBANG REDIONO</t>
  </si>
  <si>
    <t>3521021407740002</t>
  </si>
  <si>
    <t>63e31659-d7d3-11ee-ac36-0242ff9ee44d</t>
  </si>
  <si>
    <t>BAMBANG RIYADI</t>
  </si>
  <si>
    <t>3521011706810001</t>
  </si>
  <si>
    <t>Nglegok RT.04 RW.03</t>
  </si>
  <si>
    <t>63e32bf6-d7d3-11ee-ac36-0242ff9ee44d</t>
  </si>
  <si>
    <t>BAMBANG SETIYONO</t>
  </si>
  <si>
    <t>3521112203750002</t>
  </si>
  <si>
    <t>63e3b3d0-d7d3-11ee-ac36-0242ff9ee44d</t>
  </si>
  <si>
    <t>Bambang Sri Murjanto</t>
  </si>
  <si>
    <t>3521093012560006</t>
  </si>
  <si>
    <t>63e3816a-d7d3-11ee-ac36-0242ff9ee44d</t>
  </si>
  <si>
    <t>BAMBANG SUBANDONO</t>
  </si>
  <si>
    <t>3521060709820001</t>
  </si>
  <si>
    <t>BANGET II</t>
  </si>
  <si>
    <t>63e36121-d7d3-11ee-ac36-0242ff9ee44d</t>
  </si>
  <si>
    <t>BAMBANG SUGITO</t>
  </si>
  <si>
    <t>3521092607790002</t>
  </si>
  <si>
    <t>63e3a51d-d7d3-11ee-ac36-0242ff9ee44d</t>
  </si>
  <si>
    <t>Bambang Sutejo</t>
  </si>
  <si>
    <t>3521131508640001</t>
  </si>
  <si>
    <t>Jatimulyo</t>
  </si>
  <si>
    <t>63e35eee-d7d3-11ee-ac36-0242ff9ee44d</t>
  </si>
  <si>
    <t>BAMBANG YULIANTO</t>
  </si>
  <si>
    <t>3521062606870001</t>
  </si>
  <si>
    <t>JEANANGAN 2</t>
  </si>
  <si>
    <t>63e3268c-d7d3-11ee-ac36-0242ff9ee44d</t>
  </si>
  <si>
    <t>Bandi</t>
  </si>
  <si>
    <t>3521023108770001</t>
  </si>
  <si>
    <t>63e37fbc-d7d3-11ee-ac36-0242ff9ee44d</t>
  </si>
  <si>
    <t>BARDJI</t>
  </si>
  <si>
    <t>3521050107540049</t>
  </si>
  <si>
    <t>63e314cf-d7d3-11ee-ac36-0242ff9ee44d</t>
  </si>
  <si>
    <t>Bari</t>
  </si>
  <si>
    <t>3521161703600002</t>
  </si>
  <si>
    <t>63e3a572-d7d3-11ee-ac36-0242ff9ee44d</t>
  </si>
  <si>
    <t>BARIKUN</t>
  </si>
  <si>
    <t>3521063006620007</t>
  </si>
  <si>
    <t>Dsn. Dinden III, Desa Dinden</t>
  </si>
  <si>
    <t>63e3a59d-d7d3-11ee-ac36-0242ff9ee44d</t>
  </si>
  <si>
    <t>BARIS</t>
  </si>
  <si>
    <t>3521061606750003</t>
  </si>
  <si>
    <t>63e31b9f-d7d3-11ee-ac36-0242ff9ee44d</t>
  </si>
  <si>
    <t>Bashar Purnomo</t>
  </si>
  <si>
    <t>3521191407710001</t>
  </si>
  <si>
    <t>63e3b90b-d7d3-11ee-ac36-0242ff9ee44d</t>
  </si>
  <si>
    <t>BASIRUN</t>
  </si>
  <si>
    <t>3521090306570002</t>
  </si>
  <si>
    <t>63e35a7e-d7d3-11ee-ac36-0242ff9ee44d</t>
  </si>
  <si>
    <t>BASUKI</t>
  </si>
  <si>
    <t>3521060306890002</t>
  </si>
  <si>
    <t>63e39b09-d7d3-11ee-ac36-0242ff9ee44d</t>
  </si>
  <si>
    <t>3521061008750001</t>
  </si>
  <si>
    <t>DSN KWADUNGAN</t>
  </si>
  <si>
    <t>63e38feb-d7d3-11ee-ac36-0242ff9ee44d</t>
  </si>
  <si>
    <t>Basuki</t>
  </si>
  <si>
    <t>3521072304730001</t>
  </si>
  <si>
    <t>63e37f3e-d7d3-11ee-ac36-0242ff9ee44d</t>
  </si>
  <si>
    <t>3521162607650001</t>
  </si>
  <si>
    <t>63e36ec3-d7d3-11ee-ac36-0242ff9ee44d</t>
  </si>
  <si>
    <t>3521151203830004</t>
  </si>
  <si>
    <t>"RT 05 RW 02 KROMPOL 1 "</t>
  </si>
  <si>
    <t>63e3a55e-d7d3-11ee-ac36-0242ff9ee44d</t>
  </si>
  <si>
    <t>3521133003650003</t>
  </si>
  <si>
    <t>63e32c77-d7d3-11ee-ac36-0242ff9ee44d</t>
  </si>
  <si>
    <t>BASUKI RAHMAT</t>
  </si>
  <si>
    <t>63e3c790-d7d3-11ee-ac36-0242ff9ee44d</t>
  </si>
  <si>
    <t>BAWANI</t>
  </si>
  <si>
    <t>3521102408430002</t>
  </si>
  <si>
    <t>Ds. Babadan, Kec. Paron</t>
  </si>
  <si>
    <t>63e3922a-d7d3-11ee-ac36-0242ff9ee44d</t>
  </si>
  <si>
    <t>BAYU AJI SETIAWAN</t>
  </si>
  <si>
    <t>3521150102010001</t>
  </si>
  <si>
    <t>53317ba5-711b-4057-bca2-a092c2a1c0f1</t>
  </si>
  <si>
    <t>BAYU DWI NUGROHO</t>
  </si>
  <si>
    <t>2171031212819031</t>
  </si>
  <si>
    <t>Dusun Pucanganom RT.06 RW.01</t>
  </si>
  <si>
    <t>63e351af-d7d3-11ee-ac36-0242ff9ee44d</t>
  </si>
  <si>
    <t>Bayu Eko Triwartanto</t>
  </si>
  <si>
    <t>3521022001870003</t>
  </si>
  <si>
    <t>63e35738-d7d3-11ee-ac36-0242ff9ee44d</t>
  </si>
  <si>
    <t>BAYU SETIYANTO</t>
  </si>
  <si>
    <t>3521020603800001</t>
  </si>
  <si>
    <t>63e317b9-d7d3-11ee-ac36-0242ff9ee44d</t>
  </si>
  <si>
    <t>Bedjo</t>
  </si>
  <si>
    <t>3521190811560001</t>
  </si>
  <si>
    <t>Pucang</t>
  </si>
  <si>
    <t>63e3958b-d7d3-11ee-ac36-0242ff9ee44d</t>
  </si>
  <si>
    <t>Bejo</t>
  </si>
  <si>
    <t>3521113006500138</t>
  </si>
  <si>
    <t>63e3bc1b-d7d3-11ee-ac36-0242ff9ee44d</t>
  </si>
  <si>
    <t>BEJO</t>
  </si>
  <si>
    <t>Dsn.Dungus</t>
  </si>
  <si>
    <t>63e3979c-d7d3-11ee-ac36-0242ff9ee44d</t>
  </si>
  <si>
    <t>3521110101640006</t>
  </si>
  <si>
    <t>63e3b81e-d7d3-11ee-ac36-0242ff9ee44d</t>
  </si>
  <si>
    <t>BEJO RAHMAT</t>
  </si>
  <si>
    <t>3521040301730003</t>
  </si>
  <si>
    <t>DUSUN BUGEL</t>
  </si>
  <si>
    <t>63e36341-d7d3-11ee-ac36-0242ff9ee44d</t>
  </si>
  <si>
    <t>Bejo Setiawan</t>
  </si>
  <si>
    <t>3521020807710002</t>
  </si>
  <si>
    <t>Setono</t>
  </si>
  <si>
    <t>63e32464-d7d3-11ee-ac36-0242ff9ee44d</t>
  </si>
  <si>
    <t>Bernadheta Suyatmi</t>
  </si>
  <si>
    <t>3521024606800002</t>
  </si>
  <si>
    <t>63e38ad7-d7d3-11ee-ac36-0242ff9ee44d</t>
  </si>
  <si>
    <t>Bibit</t>
  </si>
  <si>
    <t>3521071201640001</t>
  </si>
  <si>
    <t>63e329a1-d7d3-11ee-ac36-0242ff9ee44d</t>
  </si>
  <si>
    <t>3521023112620038</t>
  </si>
  <si>
    <t>63e32cf4-d7d3-11ee-ac36-0242ff9ee44d</t>
  </si>
  <si>
    <t>Bibit Marni</t>
  </si>
  <si>
    <t>3521027112490008</t>
  </si>
  <si>
    <t>63e32765-d7d3-11ee-ac36-0242ff9ee44d</t>
  </si>
  <si>
    <t>BINAH</t>
  </si>
  <si>
    <t>3521025311580001</t>
  </si>
  <si>
    <t>63e3c09f-d7d3-11ee-ac36-0242ff9ee44d</t>
  </si>
  <si>
    <t>Bingah</t>
  </si>
  <si>
    <t>3521097112580018</t>
  </si>
  <si>
    <t>63e37fa6-d7d3-11ee-ac36-0242ff9ee44d</t>
  </si>
  <si>
    <t>Bini</t>
  </si>
  <si>
    <t>3521160106630002</t>
  </si>
  <si>
    <t>63e32025-d7d3-11ee-ac36-0242ff9ee44d</t>
  </si>
  <si>
    <t>Binti Marsi'ah</t>
  </si>
  <si>
    <t>3521165704880001</t>
  </si>
  <si>
    <t>63e39cd8-d7d3-11ee-ac36-0242ff9ee44d</t>
  </si>
  <si>
    <t>Binuri</t>
  </si>
  <si>
    <t>3521130508640001</t>
  </si>
  <si>
    <t>Tambakboyo</t>
  </si>
  <si>
    <t>63e32276-d7d3-11ee-ac36-0242ff9ee44d</t>
  </si>
  <si>
    <t>BIROWO</t>
  </si>
  <si>
    <t>3521110206470002</t>
  </si>
  <si>
    <t>Sooko</t>
  </si>
  <si>
    <t>63e37541-d7d3-11ee-ac36-0242ff9ee44d</t>
  </si>
  <si>
    <t>BISRI MUSTOFA</t>
  </si>
  <si>
    <t>3521152203880002</t>
  </si>
  <si>
    <t>63e32478-d7d3-11ee-ac36-0242ff9ee44d</t>
  </si>
  <si>
    <t>Boeran Adi Purnomo</t>
  </si>
  <si>
    <t>3521111606620002</t>
  </si>
  <si>
    <t>63e329f1-d7d3-11ee-ac36-0242ff9ee44d</t>
  </si>
  <si>
    <t>Bono Siswo Utomo</t>
  </si>
  <si>
    <t>3521172109640001</t>
  </si>
  <si>
    <t>Dusun Ngrebeng, Pandean</t>
  </si>
  <si>
    <t>63e3161c-d7d3-11ee-ac36-0242ff9ee44d</t>
  </si>
  <si>
    <t>BOWO</t>
  </si>
  <si>
    <t>3521010301810002</t>
  </si>
  <si>
    <t>Girikerto RT.03 RW.02</t>
  </si>
  <si>
    <t>63e324a2-d7d3-11ee-ac36-0242ff9ee44d</t>
  </si>
  <si>
    <t>Boyadi</t>
  </si>
  <si>
    <t>3521110303660003</t>
  </si>
  <si>
    <t>63e3bc44-d7d3-11ee-ac36-0242ff9ee44d</t>
  </si>
  <si>
    <t>BOYADI</t>
  </si>
  <si>
    <t>3521091808640003</t>
  </si>
  <si>
    <t>63e33738-d7d3-11ee-ac36-0242ff9ee44d</t>
  </si>
  <si>
    <t>Broto</t>
  </si>
  <si>
    <t>3521021401700001</t>
  </si>
  <si>
    <t>63e3b9e1-d7d3-11ee-ac36-0242ff9ee44d</t>
  </si>
  <si>
    <t>Budi Andri Santoso</t>
  </si>
  <si>
    <t>3521162212880001</t>
  </si>
  <si>
    <t>63e3a95d-d7d3-11ee-ac36-0242ff9ee44d</t>
  </si>
  <si>
    <t>BUDI CAHYONO</t>
  </si>
  <si>
    <t>3521060607900002</t>
  </si>
  <si>
    <t>63e330e5-d7d3-11ee-ac36-0242ff9ee44d</t>
  </si>
  <si>
    <t>BUDI PURNAWAN</t>
  </si>
  <si>
    <t>3521112509810001</t>
  </si>
  <si>
    <t>63e33246-d7d3-11ee-ac36-0242ff9ee44d</t>
  </si>
  <si>
    <t>BUDI PURWANTO</t>
  </si>
  <si>
    <t>3521021206700002</t>
  </si>
  <si>
    <t>63e311c2-d7d3-11ee-ac36-0242ff9ee44d</t>
  </si>
  <si>
    <t>BUDI RAHARJO</t>
  </si>
  <si>
    <t>Wonosari RT. 04 RW. 02</t>
  </si>
  <si>
    <t>63e31b62-d7d3-11ee-ac36-0242ff9ee44d</t>
  </si>
  <si>
    <t>BUDI SANTOSO</t>
  </si>
  <si>
    <t>3521122903950002</t>
  </si>
  <si>
    <t>Krajan Kulon RT 03 RW 02 Sine</t>
  </si>
  <si>
    <t>63e3bc98-d7d3-11ee-ac36-0242ff9ee44d</t>
  </si>
  <si>
    <t>3521091005750006</t>
  </si>
  <si>
    <t>63e36f45-d7d3-11ee-ac36-0242ff9ee44d</t>
  </si>
  <si>
    <t>Budi Santoso</t>
  </si>
  <si>
    <t>3521191505790001</t>
  </si>
  <si>
    <t>Pondok</t>
  </si>
  <si>
    <t>63e3bb6d-d7d3-11ee-ac36-0242ff9ee44d</t>
  </si>
  <si>
    <t>Budi Susilowati</t>
  </si>
  <si>
    <t>3521165812800001</t>
  </si>
  <si>
    <t>63e38012-d7d3-11ee-ac36-0242ff9ee44d</t>
  </si>
  <si>
    <t>Budi Winarsih</t>
  </si>
  <si>
    <t>3521164302790001</t>
  </si>
  <si>
    <t>63e324e1-d7d3-11ee-ac36-0242ff9ee44d</t>
  </si>
  <si>
    <t>Budianto</t>
  </si>
  <si>
    <t>3521111307850005</t>
  </si>
  <si>
    <t>63e370c9-d7d3-11ee-ac36-0242ff9ee44d</t>
  </si>
  <si>
    <t>3521192506780001</t>
  </si>
  <si>
    <t>Cetokan</t>
  </si>
  <si>
    <t>63e3bbaf-d7d3-11ee-ac36-0242ff9ee44d</t>
  </si>
  <si>
    <t>Budiono</t>
  </si>
  <si>
    <t>3521161912660001</t>
  </si>
  <si>
    <t>63e3203c-d7d3-11ee-ac36-0242ff9ee44d</t>
  </si>
  <si>
    <t>3521162008740001</t>
  </si>
  <si>
    <t>63e38069-d7d3-11ee-ac36-0242ff9ee44d</t>
  </si>
  <si>
    <t>3521161110560002</t>
  </si>
  <si>
    <t>63e3ca81-d7d3-11ee-ac36-0242ff9ee44d</t>
  </si>
  <si>
    <t>BUDIONO</t>
  </si>
  <si>
    <t>3521030709830002</t>
  </si>
  <si>
    <t>63e395a0-d7d3-11ee-ac36-0242ff9ee44d</t>
  </si>
  <si>
    <t>3521111908800002</t>
  </si>
  <si>
    <t>63e3bcd9-d7d3-11ee-ac36-0242ff9ee44d</t>
  </si>
  <si>
    <t>3521092305790001</t>
  </si>
  <si>
    <t>Karangasri</t>
  </si>
  <si>
    <t>63e37d3c-d7d3-11ee-ac36-0242ff9ee44d</t>
  </si>
  <si>
    <t>Budiyanto</t>
  </si>
  <si>
    <t>3521171507680001</t>
  </si>
  <si>
    <t>63e3b591-d7d3-11ee-ac36-0242ff9ee44d</t>
  </si>
  <si>
    <t>BUDIYONO</t>
  </si>
  <si>
    <t>63e36fc6-d7d3-11ee-ac36-0242ff9ee44d</t>
  </si>
  <si>
    <t>Budiyono</t>
  </si>
  <si>
    <t>3521141101770001</t>
  </si>
  <si>
    <t>SERENAN</t>
  </si>
  <si>
    <t>63e3bd99-d7d3-11ee-ac36-0242ff9ee44d</t>
  </si>
  <si>
    <t>3521091708620002</t>
  </si>
  <si>
    <t>Jetis</t>
  </si>
  <si>
    <t>63e3b936-d7d3-11ee-ac36-0242ff9ee44d</t>
  </si>
  <si>
    <t>BUNDARI</t>
  </si>
  <si>
    <t>3521096210660001</t>
  </si>
  <si>
    <t>63e3ce81-d7d3-11ee-ac36-0242ff9ee44d</t>
  </si>
  <si>
    <t>Burhan Murprasetyo</t>
  </si>
  <si>
    <t>3521090105900005</t>
  </si>
  <si>
    <t>63e3c0ca-d7d3-11ee-ac36-0242ff9ee44d</t>
  </si>
  <si>
    <t>cahyadi</t>
  </si>
  <si>
    <t>3521090201750003</t>
  </si>
  <si>
    <t>63e33a21-d7d3-11ee-ac36-0242ff9ee44d</t>
  </si>
  <si>
    <t>CARYONO</t>
  </si>
  <si>
    <t>3521021011780004</t>
  </si>
  <si>
    <t>63e34320-d7d3-11ee-ac36-0242ff9ee44d</t>
  </si>
  <si>
    <t>CATUR BUDI UTOMO</t>
  </si>
  <si>
    <t>3521010705940003</t>
  </si>
  <si>
    <t>JAGIR RT 07 RW 01</t>
  </si>
  <si>
    <t>63e329da-d7d3-11ee-ac36-0242ff9ee44d</t>
  </si>
  <si>
    <t>CATUR SETIAWAN</t>
  </si>
  <si>
    <t>3521021109920001</t>
  </si>
  <si>
    <t>63e342ba-d7d3-11ee-ac36-0242ff9ee44d</t>
  </si>
  <si>
    <t>CECEP SUPRIYADI</t>
  </si>
  <si>
    <t>3521010507870003</t>
  </si>
  <si>
    <t>BAYEM TAMAN RT 10 RW 03 JAGIR</t>
  </si>
  <si>
    <t>63e34bd3-d7d3-11ee-ac36-0242ff9ee44d</t>
  </si>
  <si>
    <t>CHAERUL ANWAR</t>
  </si>
  <si>
    <t>3521020101800002</t>
  </si>
  <si>
    <t>63e324b7-d7d3-11ee-ac36-0242ff9ee44d</t>
  </si>
  <si>
    <t>Christina Mami</t>
  </si>
  <si>
    <t>3521024506530002</t>
  </si>
  <si>
    <t>63e36c4d-d7d3-11ee-ac36-0242ff9ee44d</t>
  </si>
  <si>
    <t>Cikrak</t>
  </si>
  <si>
    <t>3521027112440013</t>
  </si>
  <si>
    <t>63e32a1d-d7d3-11ee-ac36-0242ff9ee44d</t>
  </si>
  <si>
    <t>Cimpling</t>
  </si>
  <si>
    <t>3521025912520003</t>
  </si>
  <si>
    <t>63e311d8-d7d3-11ee-ac36-0242ff9ee44d</t>
  </si>
  <si>
    <t>CIPTO WIYONO</t>
  </si>
  <si>
    <t>3521011402670002</t>
  </si>
  <si>
    <t>Wonosari RT. 03 RW. 02</t>
  </si>
  <si>
    <t>63e39281-d7d3-11ee-ac36-0242ff9ee44d</t>
  </si>
  <si>
    <t>Cipto Wiyono Nyamin</t>
  </si>
  <si>
    <t>3521071008540001</t>
  </si>
  <si>
    <t>63e34be8-d7d3-11ee-ac36-0242ff9ee44d</t>
  </si>
  <si>
    <t>CITRO KARDI</t>
  </si>
  <si>
    <t>3521023112450013</t>
  </si>
  <si>
    <t>63e33f44-d7d3-11ee-ac36-0242ff9ee44d</t>
  </si>
  <si>
    <t>CUCUN CUNANGSIH</t>
  </si>
  <si>
    <t>3521024707700002</t>
  </si>
  <si>
    <t>63e395b6-d7d3-11ee-ac36-0242ff9ee44d</t>
  </si>
  <si>
    <t>Dahlan Effendy</t>
  </si>
  <si>
    <t>3521110307600003</t>
  </si>
  <si>
    <t>63e3b70d-d7d3-11ee-ac36-0242ff9ee44d</t>
  </si>
  <si>
    <t>DAIM AFADI</t>
  </si>
  <si>
    <t>3521043112830002</t>
  </si>
  <si>
    <t>DUSUN WONOKERTO</t>
  </si>
  <si>
    <t>63e3aa4c-d7d3-11ee-ac36-0242ff9ee44d</t>
  </si>
  <si>
    <t>DAINURI</t>
  </si>
  <si>
    <t>3521040501720003</t>
  </si>
  <si>
    <t>Dusun Dadapan</t>
  </si>
  <si>
    <t>63e3b960-d7d3-11ee-ac36-0242ff9ee44d</t>
  </si>
  <si>
    <t>DALILAN</t>
  </si>
  <si>
    <t>3521090607460002</t>
  </si>
  <si>
    <t>63e38300-d7d3-11ee-ac36-0242ff9ee44d</t>
  </si>
  <si>
    <t>Dami</t>
  </si>
  <si>
    <t>3521164206730001</t>
  </si>
  <si>
    <t>Butuh Desa Banjarbanggi Kecamatan Pitu</t>
  </si>
  <si>
    <t>63e3be74-d7d3-11ee-ac36-0242ff9ee44d</t>
  </si>
  <si>
    <t>damin</t>
  </si>
  <si>
    <t>3521120608720004</t>
  </si>
  <si>
    <t>pa</t>
  </si>
  <si>
    <t>63e387c7-d7d3-11ee-ac36-0242ff9ee44d</t>
  </si>
  <si>
    <t>Damin</t>
  </si>
  <si>
    <t>3521072703780001</t>
  </si>
  <si>
    <t>Desa Gempol</t>
  </si>
  <si>
    <t>63e395cb-d7d3-11ee-ac36-0242ff9ee44d</t>
  </si>
  <si>
    <t>3521110306560008</t>
  </si>
  <si>
    <t>63e3c0f7-d7d3-11ee-ac36-0242ff9ee44d</t>
  </si>
  <si>
    <t>damis</t>
  </si>
  <si>
    <t>3521093112610008</t>
  </si>
  <si>
    <t>63e395e0-d7d3-11ee-ac36-0242ff9ee44d</t>
  </si>
  <si>
    <t>Damis</t>
  </si>
  <si>
    <t>3521114107590016</t>
  </si>
  <si>
    <t>63e380d2-d7d3-11ee-ac36-0242ff9ee44d</t>
  </si>
  <si>
    <t>3521165212590001</t>
  </si>
  <si>
    <t>63e31cfc-d7d3-11ee-ac36-0242ff9ee44d</t>
  </si>
  <si>
    <t>DANANG BUDI PURWANTO</t>
  </si>
  <si>
    <t>3521011008820002</t>
  </si>
  <si>
    <t>Duwet RT 1 RW 4 Sumberejo</t>
  </si>
  <si>
    <t>63e3c7fe-d7d3-11ee-ac36-0242ff9ee44d</t>
  </si>
  <si>
    <t>DANANG PRASETYO</t>
  </si>
  <si>
    <t>3521101205820006</t>
  </si>
  <si>
    <t>63e32052-d7d3-11ee-ac36-0242ff9ee44d</t>
  </si>
  <si>
    <t>Danang Susanto</t>
  </si>
  <si>
    <t>3521163006860003</t>
  </si>
  <si>
    <t>63e3424e-d7d3-11ee-ac36-0242ff9ee44d</t>
  </si>
  <si>
    <t>DANANG TRISILO</t>
  </si>
  <si>
    <t>3521011609850002</t>
  </si>
  <si>
    <t>Plosorejo, 03/04 JAGIR</t>
  </si>
  <si>
    <t>63e372d3-d7d3-11ee-ac36-0242ff9ee44d</t>
  </si>
  <si>
    <t>darinem</t>
  </si>
  <si>
    <t>3521155404780002</t>
  </si>
  <si>
    <t>63e3c12a-d7d3-11ee-ac36-0242ff9ee44d</t>
  </si>
  <si>
    <t>dariyanto</t>
  </si>
  <si>
    <t>3521091908840004</t>
  </si>
  <si>
    <t>63e33a75-d7d3-11ee-ac36-0242ff9ee44d</t>
  </si>
  <si>
    <t>DARMADI</t>
  </si>
  <si>
    <t>3521021710800001</t>
  </si>
  <si>
    <t>63e363cc-d7d3-11ee-ac36-0242ff9ee44d</t>
  </si>
  <si>
    <t>Darmadi</t>
  </si>
  <si>
    <t>3521021708670001</t>
  </si>
  <si>
    <t>63e3c300-d7d3-11ee-ac36-0242ff9ee44d</t>
  </si>
  <si>
    <t>DARMAJI</t>
  </si>
  <si>
    <t>3521121305820003</t>
  </si>
  <si>
    <t>63e36167-d7d3-11ee-ac36-0242ff9ee44d</t>
  </si>
  <si>
    <t>3521091208790001</t>
  </si>
  <si>
    <t>63e38cd1-d7d3-11ee-ac36-0242ff9ee44d</t>
  </si>
  <si>
    <t>3521152106700001</t>
  </si>
  <si>
    <t>63e3a49d-d7d3-11ee-ac36-0242ff9ee44d</t>
  </si>
  <si>
    <t>Darman</t>
  </si>
  <si>
    <t>1405032110760004</t>
  </si>
  <si>
    <t>Pengkol</t>
  </si>
  <si>
    <t>63e3ad62-d7d3-11ee-ac36-0242ff9ee44d</t>
  </si>
  <si>
    <t>3521030905690001</t>
  </si>
  <si>
    <t>63e3703d-d7d3-11ee-ac36-0242ff9ee44d</t>
  </si>
  <si>
    <t>DARMANTO</t>
  </si>
  <si>
    <t>3521153107770001</t>
  </si>
  <si>
    <t>RT 01 RW 02 KROMPOL 1</t>
  </si>
  <si>
    <t>63e30e04-d7d3-11ee-ac36-0242ff9ee44d</t>
  </si>
  <si>
    <t>Darmin</t>
  </si>
  <si>
    <t>3521080403620002</t>
  </si>
  <si>
    <t>Dusun Sukowiyono II Desa Sukowiyono</t>
  </si>
  <si>
    <t>63e3a888-d7d3-11ee-ac36-0242ff9ee44d</t>
  </si>
  <si>
    <t>3521082802510002</t>
  </si>
  <si>
    <t>63e39eba-d7d3-11ee-ac36-0242ff9ee44d</t>
  </si>
  <si>
    <t>DARMIN</t>
  </si>
  <si>
    <t>3521150412710002</t>
  </si>
  <si>
    <t>63e380fe-d7d3-11ee-ac36-0242ff9ee44d</t>
  </si>
  <si>
    <t>Darmini</t>
  </si>
  <si>
    <t>3521164107710009</t>
  </si>
  <si>
    <t>63e38c00-d7d3-11ee-ac36-0242ff9ee44d</t>
  </si>
  <si>
    <t>Darminto</t>
  </si>
  <si>
    <t>3521071104820001</t>
  </si>
  <si>
    <t>Desa Sidorejo</t>
  </si>
  <si>
    <t>63e3b921-d7d3-11ee-ac36-0242ff9ee44d</t>
  </si>
  <si>
    <t>DARMO</t>
  </si>
  <si>
    <t>3521040306810001</t>
  </si>
  <si>
    <t>DUSUN BEDOG</t>
  </si>
  <si>
    <t>63e32290-d7d3-11ee-ac36-0242ff9ee44d</t>
  </si>
  <si>
    <t>DARMO NYONO</t>
  </si>
  <si>
    <t>3521111611470001</t>
  </si>
  <si>
    <t>63e3c315-d7d3-11ee-ac36-0242ff9ee44d</t>
  </si>
  <si>
    <t>DARMO S</t>
  </si>
  <si>
    <t>3521120107500012</t>
  </si>
  <si>
    <t>63e324f6-d7d3-11ee-ac36-0242ff9ee44d</t>
  </si>
  <si>
    <t>Darmo Sadat</t>
  </si>
  <si>
    <t>3521112807460001</t>
  </si>
  <si>
    <t>63e340a7-d7d3-11ee-ac36-0242ff9ee44d</t>
  </si>
  <si>
    <t>DARMO SAGI</t>
  </si>
  <si>
    <t>3521113006550025</t>
  </si>
  <si>
    <t>DUSUN BRUBAHAN</t>
  </si>
  <si>
    <t>63e3b3fb-d7d3-11ee-ac36-0242ff9ee44d</t>
  </si>
  <si>
    <t>Darmo Suparto</t>
  </si>
  <si>
    <t>3521093006530044</t>
  </si>
  <si>
    <t>63e31a33-d7d3-11ee-ac36-0242ff9ee44d</t>
  </si>
  <si>
    <t>DARMO SUWITO</t>
  </si>
  <si>
    <t>3521013006380002</t>
  </si>
  <si>
    <t>Gendol RT. 06 RW. 01</t>
  </si>
  <si>
    <t>63e33ade-d7d3-11ee-ac36-0242ff9ee44d</t>
  </si>
  <si>
    <t>3521021704500001</t>
  </si>
  <si>
    <t>63e32c1f-d7d3-11ee-ac36-0242ff9ee44d</t>
  </si>
  <si>
    <t>3521113006550026</t>
  </si>
  <si>
    <t>63e3c16b-d7d3-11ee-ac36-0242ff9ee44d</t>
  </si>
  <si>
    <t>Darmo suwito sadad</t>
  </si>
  <si>
    <t>3521091202490001</t>
  </si>
  <si>
    <t>63e351c4-d7d3-11ee-ac36-0242ff9ee44d</t>
  </si>
  <si>
    <t>DARMO WARTO</t>
  </si>
  <si>
    <t>3521021606540002</t>
  </si>
  <si>
    <t>63e3bbdc-d7d3-11ee-ac36-0242ff9ee44d</t>
  </si>
  <si>
    <t>Darmoko</t>
  </si>
  <si>
    <t>3521161805800004</t>
  </si>
  <si>
    <t>63e384d1-d7d3-11ee-ac36-0242ff9ee44d</t>
  </si>
  <si>
    <t>DARMONO</t>
  </si>
  <si>
    <t>3521052605690001</t>
  </si>
  <si>
    <t>Keniten</t>
  </si>
  <si>
    <t>63e3ad20-d7d3-11ee-ac36-0242ff9ee44d</t>
  </si>
  <si>
    <t>3521040306750004</t>
  </si>
  <si>
    <t>DUSUN KARANGNONGKO TIMUR</t>
  </si>
  <si>
    <t>63e313eb-d7d3-11ee-ac36-0242ff9ee44d</t>
  </si>
  <si>
    <t>Darmoredjo Lasimin</t>
  </si>
  <si>
    <t>3521160110410001</t>
  </si>
  <si>
    <t>63e34d8e-d7d3-11ee-ac36-0242ff9ee44d</t>
  </si>
  <si>
    <t>Darmuji</t>
  </si>
  <si>
    <t>3521111104680003</t>
  </si>
  <si>
    <t>PELANG LOR</t>
  </si>
  <si>
    <t>63e3962f-d7d3-11ee-ac36-0242ff9ee44d</t>
  </si>
  <si>
    <t>DARMUN</t>
  </si>
  <si>
    <t>3521111704740004</t>
  </si>
  <si>
    <t>63e322a6-d7d3-11ee-ac36-0242ff9ee44d</t>
  </si>
  <si>
    <t>DARNI</t>
  </si>
  <si>
    <t>3521114305780004</t>
  </si>
  <si>
    <t>"GEMARANG "</t>
  </si>
  <si>
    <t>63e3a588-d7d3-11ee-ac36-0242ff9ee44d</t>
  </si>
  <si>
    <t>DARNING PATMAWATI</t>
  </si>
  <si>
    <t>3521064210760001</t>
  </si>
  <si>
    <t>63e356b9-d7d3-11ee-ac36-0242ff9ee44d</t>
  </si>
  <si>
    <t>DARNO</t>
  </si>
  <si>
    <t>3521061207890004</t>
  </si>
  <si>
    <t>DSN GROGOLAN</t>
  </si>
  <si>
    <t>63e36945-d7d3-11ee-ac36-0242ff9ee44d</t>
  </si>
  <si>
    <t>Darno</t>
  </si>
  <si>
    <t>3521081008760001</t>
  </si>
  <si>
    <t>63e39414-d7d3-11ee-ac36-0242ff9ee44d</t>
  </si>
  <si>
    <t>3521161709470001</t>
  </si>
  <si>
    <t>63e382d5-d7d3-11ee-ac36-0242ff9ee44d</t>
  </si>
  <si>
    <t>DARPO</t>
  </si>
  <si>
    <t>3521062303730001</t>
  </si>
  <si>
    <t>63e3c340-d7d3-11ee-ac36-0242ff9ee44d</t>
  </si>
  <si>
    <t>DARSINI</t>
  </si>
  <si>
    <t>3521125201800005</t>
  </si>
  <si>
    <t>63e357f7-d7d3-11ee-ac36-0242ff9ee44d</t>
  </si>
  <si>
    <t>DARSO WIDODO</t>
  </si>
  <si>
    <t>3521021909500002</t>
  </si>
  <si>
    <t>63e35764-d7d3-11ee-ac36-0242ff9ee44d</t>
  </si>
  <si>
    <t>DARSO WIYONO AL KIMIN</t>
  </si>
  <si>
    <t>3521021307630001</t>
  </si>
  <si>
    <t>63e3c0b5-d7d3-11ee-ac36-0242ff9ee44d</t>
  </si>
  <si>
    <t>darsono</t>
  </si>
  <si>
    <t>63e3a3f1-d7d3-11ee-ac36-0242ff9ee44d</t>
  </si>
  <si>
    <t>Darsono</t>
  </si>
  <si>
    <t>3521130203650002</t>
  </si>
  <si>
    <t>63e31ce6-d7d3-11ee-ac36-0242ff9ee44d</t>
  </si>
  <si>
    <t>DARSONO</t>
  </si>
  <si>
    <t>3521012512750001</t>
  </si>
  <si>
    <t>JETAK RT. 03 RW. 03</t>
  </si>
  <si>
    <t>63e3250a-d7d3-11ee-ac36-0242ff9ee44d</t>
  </si>
  <si>
    <t>3521111107690004</t>
  </si>
  <si>
    <t>63e38342-d7d3-11ee-ac36-0242ff9ee44d</t>
  </si>
  <si>
    <t>3521162909630001</t>
  </si>
  <si>
    <t>63e3b20c-d7d3-11ee-ac36-0242ff9ee44d</t>
  </si>
  <si>
    <t>3521091608710007</t>
  </si>
  <si>
    <t>63e3278f-d7d3-11ee-ac36-0242ff9ee44d</t>
  </si>
  <si>
    <t>DARSONO ROHAYAT</t>
  </si>
  <si>
    <t>3521020908630001</t>
  </si>
  <si>
    <t>63e3307c-d7d3-11ee-ac36-0242ff9ee44d</t>
  </si>
  <si>
    <t>Darti</t>
  </si>
  <si>
    <t>3521025506680002</t>
  </si>
  <si>
    <t>63e33a8a-d7d3-11ee-ac36-0242ff9ee44d</t>
  </si>
  <si>
    <t>DARTO</t>
  </si>
  <si>
    <t>3521022707650001</t>
  </si>
  <si>
    <t>63e375f0-d7d3-11ee-ac36-0242ff9ee44d</t>
  </si>
  <si>
    <t>3521050203720001</t>
  </si>
  <si>
    <t>63e383eb-d7d3-11ee-ac36-0242ff9ee44d</t>
  </si>
  <si>
    <t>Darto</t>
  </si>
  <si>
    <t>3521163006640005</t>
  </si>
  <si>
    <t>63e3b221-d7d3-11ee-ac36-0242ff9ee44d</t>
  </si>
  <si>
    <t>3521091112510002</t>
  </si>
  <si>
    <t>63e3706d-d7d3-11ee-ac36-0242ff9ee44d</t>
  </si>
  <si>
    <t>3521142210850001</t>
  </si>
  <si>
    <t>NGLERI</t>
  </si>
  <si>
    <t>63e311ed-d7d3-11ee-ac36-0242ff9ee44d</t>
  </si>
  <si>
    <t>DARTO SAMIDI</t>
  </si>
  <si>
    <t>3521010110570014</t>
  </si>
  <si>
    <t>63e399e4-d7d3-11ee-ac36-0242ff9ee44d</t>
  </si>
  <si>
    <t>DARWATI</t>
  </si>
  <si>
    <t>3521156405850001</t>
  </si>
  <si>
    <t>63e3b78b-d7d3-11ee-ac36-0242ff9ee44d</t>
  </si>
  <si>
    <t>DARYONO</t>
  </si>
  <si>
    <t>3521042103780005</t>
  </si>
  <si>
    <t>DUSUN DUWET</t>
  </si>
  <si>
    <t>63e38ca9-d7d3-11ee-ac36-0242ff9ee44d</t>
  </si>
  <si>
    <t>Dasi</t>
  </si>
  <si>
    <t>3521070906570001</t>
  </si>
  <si>
    <t>63e3620f-d7d3-11ee-ac36-0242ff9ee44d</t>
  </si>
  <si>
    <t>DASIDEN</t>
  </si>
  <si>
    <t>3521090712600002</t>
  </si>
  <si>
    <t>63e31b41-d7d3-11ee-ac36-0242ff9ee44d</t>
  </si>
  <si>
    <t>Dasiyono</t>
  </si>
  <si>
    <t>3521191004780003</t>
  </si>
  <si>
    <t>Jati</t>
  </si>
  <si>
    <t>63e38140-d7d3-11ee-ac36-0242ff9ee44d</t>
  </si>
  <si>
    <t>Dasmini</t>
  </si>
  <si>
    <t>3521167112640002</t>
  </si>
  <si>
    <t>63e3942a-d7d3-11ee-ac36-0242ff9ee44d</t>
  </si>
  <si>
    <t>Dasrin</t>
  </si>
  <si>
    <t>3821161001750001</t>
  </si>
  <si>
    <t>63e3a704-d7d3-11ee-ac36-0242ff9ee44d</t>
  </si>
  <si>
    <t>Dasuki</t>
  </si>
  <si>
    <t>3521031606650001</t>
  </si>
  <si>
    <t>63e3bdf4-d7d3-11ee-ac36-0242ff9ee44d</t>
  </si>
  <si>
    <t>Daud</t>
  </si>
  <si>
    <t>3521160504570001</t>
  </si>
  <si>
    <t>Kricak Desa Karanggeneng Kecamatan Pitu</t>
  </si>
  <si>
    <t>63e37366-d7d3-11ee-ac36-0242ff9ee44d</t>
  </si>
  <si>
    <t>DAWAM</t>
  </si>
  <si>
    <t>3521051910660001</t>
  </si>
  <si>
    <t>63e31400-d7d3-11ee-ac36-0242ff9ee44d</t>
  </si>
  <si>
    <t>Demes Sri Utami</t>
  </si>
  <si>
    <t>3521165210650002</t>
  </si>
  <si>
    <t>Desa Ngancar Kecamatan pitu</t>
  </si>
  <si>
    <t>63e38a59-d7d3-11ee-ac36-0242ff9ee44d</t>
  </si>
  <si>
    <t>Dendi Budi Utomo</t>
  </si>
  <si>
    <t>3521070612750001</t>
  </si>
  <si>
    <t>63e3bc06-d7d3-11ee-ac36-0242ff9ee44d</t>
  </si>
  <si>
    <t>Denok Rahayu</t>
  </si>
  <si>
    <t>3521165206750001</t>
  </si>
  <si>
    <t>63e32c61-d7d3-11ee-ac36-0242ff9ee44d</t>
  </si>
  <si>
    <t>DENRRY PUJI KURNIAWAN</t>
  </si>
  <si>
    <t>3521111212930002</t>
  </si>
  <si>
    <t>63e3caec-d7d3-11ee-ac36-0242ff9ee44d</t>
  </si>
  <si>
    <t>Dessy</t>
  </si>
  <si>
    <t>3521056512990004</t>
  </si>
  <si>
    <t>63e34d0e-d7d3-11ee-ac36-0242ff9ee44d</t>
  </si>
  <si>
    <t>DIAN YULI SANTOSO</t>
  </si>
  <si>
    <t>3521062010830002</t>
  </si>
  <si>
    <t>POJOK 4</t>
  </si>
  <si>
    <t>63e3843e-d7d3-11ee-ac36-0242ff9ee44d</t>
  </si>
  <si>
    <t>Diana Wahyu Sutrisni</t>
  </si>
  <si>
    <t>3521165604950002</t>
  </si>
  <si>
    <t>63e336a6-d7d3-11ee-ac36-0242ff9ee44d</t>
  </si>
  <si>
    <t>DIANITA INDAH MARYANI</t>
  </si>
  <si>
    <t>3521026803840003</t>
  </si>
  <si>
    <t>63e34335-d7d3-11ee-ac36-0242ff9ee44d</t>
  </si>
  <si>
    <t>DIDIK  PRIYANTO</t>
  </si>
  <si>
    <t>3521010505850005</t>
  </si>
  <si>
    <t>JAGIR RT 05RW 05</t>
  </si>
  <si>
    <t>63e31670-d7d3-11ee-ac36-0242ff9ee44d</t>
  </si>
  <si>
    <t>DIDIK DARMADI</t>
  </si>
  <si>
    <t>3521012605850001</t>
  </si>
  <si>
    <t>63e38468-d7d3-11ee-ac36-0242ff9ee44d</t>
  </si>
  <si>
    <t>Didik Darmadi</t>
  </si>
  <si>
    <t>3521160907810001</t>
  </si>
  <si>
    <t>63e3577a-d7d3-11ee-ac36-0242ff9ee44d</t>
  </si>
  <si>
    <t>DIDIK EKO NURYANTO</t>
  </si>
  <si>
    <t>3521023112780003</t>
  </si>
  <si>
    <t>63e39329-d7d3-11ee-ac36-0242ff9ee44d</t>
  </si>
  <si>
    <t>DIDIK FERIAWAN SAHNUR</t>
  </si>
  <si>
    <t>3521151408930002</t>
  </si>
  <si>
    <t>63e360de-d7d3-11ee-ac36-0242ff9ee44d</t>
  </si>
  <si>
    <t>DIDIK HARTANTO</t>
  </si>
  <si>
    <t>3521062507730001</t>
  </si>
  <si>
    <t>JENANGAN 1</t>
  </si>
  <si>
    <t>63e3c7e9-d7d3-11ee-ac36-0242ff9ee44d</t>
  </si>
  <si>
    <t>DIDIK KARYADI</t>
  </si>
  <si>
    <t>3521102408770002</t>
  </si>
  <si>
    <t>63e380e7-d7d3-11ee-ac36-0242ff9ee44d</t>
  </si>
  <si>
    <t>DIDIK PURWANTO</t>
  </si>
  <si>
    <t>3521121712820002</t>
  </si>
  <si>
    <t>Banyubiru</t>
  </si>
  <si>
    <t>63e36b0a-d7d3-11ee-ac36-0242ff9ee44d</t>
  </si>
  <si>
    <t>Didik Rudianto</t>
  </si>
  <si>
    <t>3521083010870004</t>
  </si>
  <si>
    <t>Desa Kwadungan Lor</t>
  </si>
  <si>
    <t>63e34c57-d7d3-11ee-ac36-0242ff9ee44d</t>
  </si>
  <si>
    <t>DIDIK SUDARSONO</t>
  </si>
  <si>
    <t>3521062708720001</t>
  </si>
  <si>
    <t>Dsn. Gabuhan Ds. Purwosari</t>
  </si>
  <si>
    <t>63e381ab-d7d3-11ee-ac36-0242ff9ee44d</t>
  </si>
  <si>
    <t>Didik Sugianto</t>
  </si>
  <si>
    <t>3521162704920002</t>
  </si>
  <si>
    <t>63e3bc5a-d7d3-11ee-ac36-0242ff9ee44d</t>
  </si>
  <si>
    <t>3521160703810001</t>
  </si>
  <si>
    <t>Dumplengan Desa Dumplengan Kecamatan Pitu</t>
  </si>
  <si>
    <t>63e33779-d7d3-11ee-ac36-0242ff9ee44d</t>
  </si>
  <si>
    <t>DIDIK SUPRIYANTO</t>
  </si>
  <si>
    <t>3521022303800005</t>
  </si>
  <si>
    <t>63e34647-d7d3-11ee-ac36-0242ff9ee44d</t>
  </si>
  <si>
    <t>DIDIK TRIYANTO</t>
  </si>
  <si>
    <t>3521012506950002</t>
  </si>
  <si>
    <t>BENDO RT 04 RW 02</t>
  </si>
  <si>
    <t>63e3912a-d7d3-11ee-ac36-0242ff9ee44d</t>
  </si>
  <si>
    <t>Didik Yudiono</t>
  </si>
  <si>
    <t>3521071407720001</t>
  </si>
  <si>
    <t>Desa Karangjati</t>
  </si>
  <si>
    <t>63e3723e-d7d3-11ee-ac36-0242ff9ee44d</t>
  </si>
  <si>
    <t>Didin SM</t>
  </si>
  <si>
    <t>3521141005880001</t>
  </si>
  <si>
    <t>KARASAN</t>
  </si>
  <si>
    <t>63e36bda-d7d3-11ee-ac36-0242ff9ee44d</t>
  </si>
  <si>
    <t>Digdo Budi Santoso</t>
  </si>
  <si>
    <t>3521082903700001</t>
  </si>
  <si>
    <t>Dusun Pacing Desa Pacing</t>
  </si>
  <si>
    <t>63e340d4-d7d3-11ee-ac36-0242ff9ee44d</t>
  </si>
  <si>
    <t>DIKAN</t>
  </si>
  <si>
    <t>3521020606650003</t>
  </si>
  <si>
    <t>63e3a63a-d7d3-11ee-ac36-0242ff9ee44d</t>
  </si>
  <si>
    <t>Dikan</t>
  </si>
  <si>
    <t>3216021408770004</t>
  </si>
  <si>
    <t>63e3c0e0-d7d3-11ee-ac36-0242ff9ee44d</t>
  </si>
  <si>
    <t>dikin</t>
  </si>
  <si>
    <t>3521120704750001</t>
  </si>
  <si>
    <t>63e34c12-d7d3-11ee-ac36-0242ff9ee44d</t>
  </si>
  <si>
    <t>DIKUN</t>
  </si>
  <si>
    <t>3521023112490007</t>
  </si>
  <si>
    <t>63e32562-d7d3-11ee-ac36-0242ff9ee44d</t>
  </si>
  <si>
    <t>DIMAS SAPUTRO</t>
  </si>
  <si>
    <t>3521022607960001</t>
  </si>
  <si>
    <t>63e36255-d7d3-11ee-ac36-0242ff9ee44d</t>
  </si>
  <si>
    <t>DIMIN</t>
  </si>
  <si>
    <t>3521090910640002</t>
  </si>
  <si>
    <t>63e3c141-d7d3-11ee-ac36-0242ff9ee44d</t>
  </si>
  <si>
    <t>dimin</t>
  </si>
  <si>
    <t>63e31e4d-d7d3-11ee-ac36-0242ff9ee44d</t>
  </si>
  <si>
    <t>Dini</t>
  </si>
  <si>
    <t>3521196303570001</t>
  </si>
  <si>
    <t>63e336bb-d7d3-11ee-ac36-0242ff9ee44d</t>
  </si>
  <si>
    <t>DINNA KURNIAWATI</t>
  </si>
  <si>
    <t>3521026402850002</t>
  </si>
  <si>
    <t>63e34c6c-d7d3-11ee-ac36-0242ff9ee44d</t>
  </si>
  <si>
    <t>DIRIN</t>
  </si>
  <si>
    <t>63e3b339-d7d3-11ee-ac36-0242ff9ee44d</t>
  </si>
  <si>
    <t>DIRUN WIRO SUNARSO</t>
  </si>
  <si>
    <t>3521091010530001</t>
  </si>
  <si>
    <t>BELUKAN</t>
  </si>
  <si>
    <t>63e33137-d7d3-11ee-ac36-0242ff9ee44d</t>
  </si>
  <si>
    <t>Diyono</t>
  </si>
  <si>
    <t>3521020505710003</t>
  </si>
  <si>
    <t>63e3c892-d7d3-11ee-ac36-0242ff9ee44d</t>
  </si>
  <si>
    <t>DJAELANI</t>
  </si>
  <si>
    <t>3521101104600005</t>
  </si>
  <si>
    <t>63e35861-d7d3-11ee-ac36-0242ff9ee44d</t>
  </si>
  <si>
    <t>DJAMARI</t>
  </si>
  <si>
    <t>3521022303790001</t>
  </si>
  <si>
    <t>63e39652-d7d3-11ee-ac36-0242ff9ee44d</t>
  </si>
  <si>
    <t>DJASTOMO ALI MAHFUD</t>
  </si>
  <si>
    <t>3521111604500001</t>
  </si>
  <si>
    <t>63e312b1-d7d3-11ee-ac36-0242ff9ee44d</t>
  </si>
  <si>
    <t>DJINEM</t>
  </si>
  <si>
    <t>3521016704640001</t>
  </si>
  <si>
    <t>KARANGNONGKO RT 1 RW 4 PANDANSARI</t>
  </si>
  <si>
    <t>63e384bd-d7d3-11ee-ac36-0242ff9ee44d</t>
  </si>
  <si>
    <t>DJOKO SUPRAYOGI</t>
  </si>
  <si>
    <t>3521122107610002</t>
  </si>
  <si>
    <t>63e38c94-d7d3-11ee-ac36-0242ff9ee44d</t>
  </si>
  <si>
    <t>Djono</t>
  </si>
  <si>
    <t>3521070608600002</t>
  </si>
  <si>
    <t>63e34508-d7d3-11ee-ac36-0242ff9ee44d</t>
  </si>
  <si>
    <t>Djoyo Sumarto</t>
  </si>
  <si>
    <t>3521171505540001</t>
  </si>
  <si>
    <t>Dusun Nglantung Desa Bangunrejo</t>
  </si>
  <si>
    <t>63e31415-d7d3-11ee-ac36-0242ff9ee44d</t>
  </si>
  <si>
    <t>Djuari</t>
  </si>
  <si>
    <t>3521160807570001</t>
  </si>
  <si>
    <t>63e35298-d7d3-11ee-ac36-0242ff9ee44d</t>
  </si>
  <si>
    <t>DJUMADI</t>
  </si>
  <si>
    <t>3521180705580001</t>
  </si>
  <si>
    <t>PENCOL 1</t>
  </si>
  <si>
    <t>63e3ba74-d7d3-11ee-ac36-0242ff9ee44d</t>
  </si>
  <si>
    <t>Djumingun</t>
  </si>
  <si>
    <t>63e351d9-d7d3-11ee-ac36-0242ff9ee44d</t>
  </si>
  <si>
    <t>DJUMINI</t>
  </si>
  <si>
    <t>3521024506550001</t>
  </si>
  <si>
    <t>63e35219-d7d3-11ee-ac36-0242ff9ee44d</t>
  </si>
  <si>
    <t>DJUMIRAH</t>
  </si>
  <si>
    <t>3521025004720002</t>
  </si>
  <si>
    <t>63e310c7-d7d3-11ee-ac36-0242ff9ee44d</t>
  </si>
  <si>
    <t>Djuri</t>
  </si>
  <si>
    <t>3521083012590003</t>
  </si>
  <si>
    <t>Dusun Pilang Bangu Desa Kedungprahu</t>
  </si>
  <si>
    <t>63e34d4e-d7d3-11ee-ac36-0242ff9ee44d</t>
  </si>
  <si>
    <t>Djuri harjo winoso</t>
  </si>
  <si>
    <t>3521180607560006</t>
  </si>
  <si>
    <t>Centong</t>
  </si>
  <si>
    <t>63e3b236-d7d3-11ee-ac36-0242ff9ee44d</t>
  </si>
  <si>
    <t>DODIK SETYAWAN</t>
  </si>
  <si>
    <t>3521091601780001</t>
  </si>
  <si>
    <t>63e3142b-d7d3-11ee-ac36-0242ff9ee44d</t>
  </si>
  <si>
    <t>Domo</t>
  </si>
  <si>
    <t>3521160509700001</t>
  </si>
  <si>
    <t>63e35612-d7d3-11ee-ac36-0242ff9ee44d</t>
  </si>
  <si>
    <t>DONI HENDRI WIJAYA</t>
  </si>
  <si>
    <t>3521061307820001</t>
  </si>
  <si>
    <t>63e332c5-d7d3-11ee-ac36-0242ff9ee44d</t>
  </si>
  <si>
    <t>DOPO</t>
  </si>
  <si>
    <t>3521021407710001</t>
  </si>
  <si>
    <t>63e314e3-d7d3-11ee-ac36-0242ff9ee44d</t>
  </si>
  <si>
    <t>Doto</t>
  </si>
  <si>
    <t>3521161308560001</t>
  </si>
  <si>
    <t>63e3a42f-d7d3-11ee-ac36-0242ff9ee44d</t>
  </si>
  <si>
    <t>3521130809720002</t>
  </si>
  <si>
    <t>63e37743-d7d3-11ee-ac36-0242ff9ee44d</t>
  </si>
  <si>
    <t>DRIJONO</t>
  </si>
  <si>
    <t>3521052501510002</t>
  </si>
  <si>
    <t>63e3a062-d7d3-11ee-ac36-0242ff9ee44d</t>
  </si>
  <si>
    <t>DRS. DJONO</t>
  </si>
  <si>
    <t>3521041101570001</t>
  </si>
  <si>
    <t>DUSUN BASRI</t>
  </si>
  <si>
    <t>63e36278-d7d3-11ee-ac36-0242ff9ee44d</t>
  </si>
  <si>
    <t>DUKUT</t>
  </si>
  <si>
    <t>3521092508570001</t>
  </si>
  <si>
    <t>63e34a44-d7d3-11ee-ac36-0242ff9ee44d</t>
  </si>
  <si>
    <t>DUL ROKIB</t>
  </si>
  <si>
    <t>3521111907580001</t>
  </si>
  <si>
    <t>63e36b33-d7d3-11ee-ac36-0242ff9ee44d</t>
  </si>
  <si>
    <t>Dwi Agus Purwanto</t>
  </si>
  <si>
    <t>3521082008870001</t>
  </si>
  <si>
    <t>63e32662-d7d3-11ee-ac36-0242ff9ee44d</t>
  </si>
  <si>
    <t>Dwi Antoro</t>
  </si>
  <si>
    <t>3521173112890003</t>
  </si>
  <si>
    <t>Dusun Nglegok RT.05/RW.03 Desa Pandean</t>
  </si>
  <si>
    <t>63e3af62-d7d3-11ee-ac36-0242ff9ee44d</t>
  </si>
  <si>
    <t>3521131712730002</t>
  </si>
  <si>
    <t>63e3b24c-d7d3-11ee-ac36-0242ff9ee44d</t>
  </si>
  <si>
    <t>DWI BANGUN BUDIYANTO</t>
  </si>
  <si>
    <t>3521091512720001</t>
  </si>
  <si>
    <t>63e31b21-d7d3-11ee-ac36-0242ff9ee44d</t>
  </si>
  <si>
    <t>Dwi Darsono</t>
  </si>
  <si>
    <t>3521192808840001</t>
  </si>
  <si>
    <t>63e358ce-d7d3-11ee-ac36-0242ff9ee44d</t>
  </si>
  <si>
    <t>DWI HARIYANTO</t>
  </si>
  <si>
    <t>3521021402800003</t>
  </si>
  <si>
    <t>63e33330-d7d3-11ee-ac36-0242ff9ee44d</t>
  </si>
  <si>
    <t>DWI HASTONO</t>
  </si>
  <si>
    <t>3521022212720002</t>
  </si>
  <si>
    <t>63e36189-d7d3-11ee-ac36-0242ff9ee44d</t>
  </si>
  <si>
    <t>Dwi Joko Sutrisno</t>
  </si>
  <si>
    <t>3521022010930004</t>
  </si>
  <si>
    <t>Dsn. gandu Ds. Sambirejo</t>
  </si>
  <si>
    <t>63e31fa2-d7d3-11ee-ac36-0242ff9ee44d</t>
  </si>
  <si>
    <t>DWI PUJIYANTO</t>
  </si>
  <si>
    <t>3521012404900006</t>
  </si>
  <si>
    <t>BULAK RT 06 RW 02</t>
  </si>
  <si>
    <t>63e39a77-d7d3-11ee-ac36-0242ff9ee44d</t>
  </si>
  <si>
    <t>DWI PURNOMO</t>
  </si>
  <si>
    <t>3521150107770004</t>
  </si>
  <si>
    <t>63e3accd-d7d3-11ee-ac36-0242ff9ee44d</t>
  </si>
  <si>
    <t>Dwi Saputro</t>
  </si>
  <si>
    <t>3521031412900001</t>
  </si>
  <si>
    <t>63e3cb02-d7d3-11ee-ac36-0242ff9ee44d</t>
  </si>
  <si>
    <t>DWI SETIYONO, SST.</t>
  </si>
  <si>
    <t>3521051503750095</t>
  </si>
  <si>
    <t>63e348c4-d7d3-11ee-ac36-0242ff9ee44d</t>
  </si>
  <si>
    <t>DWI SUHARNI</t>
  </si>
  <si>
    <t>3521015501840002</t>
  </si>
  <si>
    <t>63e39ee4-d7d3-11ee-ac36-0242ff9ee44d</t>
  </si>
  <si>
    <t>DWI YANUARI SETYONUGROHO</t>
  </si>
  <si>
    <t>3521092801920001</t>
  </si>
  <si>
    <t>63e3a0ff-d7d3-11ee-ac36-0242ff9ee44d</t>
  </si>
  <si>
    <t>Dzul Fakor</t>
  </si>
  <si>
    <t>3521032210760001</t>
  </si>
  <si>
    <t>Dusun Talang Desa Talang Kec. Jogorogo</t>
  </si>
  <si>
    <t>63e37ab7-d7d3-11ee-ac36-0242ff9ee44d</t>
  </si>
  <si>
    <t>Edhi Wibowo</t>
  </si>
  <si>
    <t>1671041809560002</t>
  </si>
  <si>
    <t>3521171403900002</t>
  </si>
  <si>
    <t>63e3c1b1-d7d3-11ee-ac36-0242ff9ee44d</t>
  </si>
  <si>
    <t>Edi erna irawan</t>
  </si>
  <si>
    <t>3521090305900001</t>
  </si>
  <si>
    <t>63e34a6f-d7d3-11ee-ac36-0242ff9ee44d</t>
  </si>
  <si>
    <t>EDI HARYONO</t>
  </si>
  <si>
    <t>1809050808840006</t>
  </si>
  <si>
    <t>3521110911760001</t>
  </si>
  <si>
    <t>63e381d7-d7d3-11ee-ac36-0242ff9ee44d</t>
  </si>
  <si>
    <t>EDI PRAMINTO</t>
  </si>
  <si>
    <t>3521050903780002</t>
  </si>
  <si>
    <t>63e39930-d7d3-11ee-ac36-0242ff9ee44d</t>
  </si>
  <si>
    <t>Edi Setiawan</t>
  </si>
  <si>
    <t>3521072703880004</t>
  </si>
  <si>
    <t>Desa Dungmiri</t>
  </si>
  <si>
    <t>63e33f1a-d7d3-11ee-ac36-0242ff9ee44d</t>
  </si>
  <si>
    <t>EDI SUJARWO</t>
  </si>
  <si>
    <t>3521062403720001</t>
  </si>
  <si>
    <t>Dns. Kramat Ds. Tirak</t>
  </si>
  <si>
    <t>63e33ca2-d7d3-11ee-ac36-0242ff9ee44d</t>
  </si>
  <si>
    <t>EDI SURATNO</t>
  </si>
  <si>
    <t>3521011603870001</t>
  </si>
  <si>
    <t>Powan. RT3/RW8</t>
  </si>
  <si>
    <t>63e327d2-d7d3-11ee-ac36-0242ff9ee44d</t>
  </si>
  <si>
    <t>Edi sutikno</t>
  </si>
  <si>
    <t>3521023112770014</t>
  </si>
  <si>
    <t>63e34ac6-d7d3-11ee-ac36-0242ff9ee44d</t>
  </si>
  <si>
    <t>EDI WARSENO</t>
  </si>
  <si>
    <t>3521110310640001</t>
  </si>
  <si>
    <t>63e392d5-d7d3-11ee-ac36-0242ff9ee44d</t>
  </si>
  <si>
    <t>Edy Suryanto</t>
  </si>
  <si>
    <t>3521072711710001</t>
  </si>
  <si>
    <t>63e32cb6-d7d3-11ee-ac36-0242ff9ee44d</t>
  </si>
  <si>
    <t>EDY SUTAWAN</t>
  </si>
  <si>
    <t>3521112802820004</t>
  </si>
  <si>
    <t>63e33eb1-d7d3-11ee-ac36-0242ff9ee44d</t>
  </si>
  <si>
    <t>EDY SUWARTO</t>
  </si>
  <si>
    <t>3521010304860003</t>
  </si>
  <si>
    <t>NGEMPLAK RT 6/ RW 3</t>
  </si>
  <si>
    <t>63e336f9-d7d3-11ee-ac36-0242ff9ee44d</t>
  </si>
  <si>
    <t>EDY WIDODO</t>
  </si>
  <si>
    <t>3521061901840001</t>
  </si>
  <si>
    <t>63e31a09-d7d3-11ee-ac36-0242ff9ee44d</t>
  </si>
  <si>
    <t>EKA ERLIANA</t>
  </si>
  <si>
    <t>3521014810960002</t>
  </si>
  <si>
    <t>GENDOL RT 6 RW 1 GENDOL</t>
  </si>
  <si>
    <t>63e31c3e-d7d3-11ee-ac36-0242ff9ee44d</t>
  </si>
  <si>
    <t>EKA PRASTYA</t>
  </si>
  <si>
    <t>3521012506830003</t>
  </si>
  <si>
    <t>KRAJAN KULON RT 06 RW 02 SINE</t>
  </si>
  <si>
    <t>63e3b14f-d7d3-11ee-ac36-0242ff9ee44d</t>
  </si>
  <si>
    <t>Eka Supriyanto</t>
  </si>
  <si>
    <t>3521032108720001</t>
  </si>
  <si>
    <t>Dusun Jogorogo Desa Jogorogo Kec. Jogorogo</t>
  </si>
  <si>
    <t>63e3ba9d-d7d3-11ee-ac36-0242ff9ee44d</t>
  </si>
  <si>
    <t>EKO BUDI</t>
  </si>
  <si>
    <t>3521101404900005</t>
  </si>
  <si>
    <t>63e39f3d-d7d3-11ee-ac36-0242ff9ee44d</t>
  </si>
  <si>
    <t>Eko Budi Rianto</t>
  </si>
  <si>
    <t>3521142208840001</t>
  </si>
  <si>
    <t>63e3cbf2-d7d3-11ee-ac36-0242ff9ee44d</t>
  </si>
  <si>
    <t>Eko Budi Santoso</t>
  </si>
  <si>
    <t>3314051512990002</t>
  </si>
  <si>
    <t>63e39669-d7d3-11ee-ac36-0242ff9ee44d</t>
  </si>
  <si>
    <t>Eko Budi Suswanto</t>
  </si>
  <si>
    <t>3521112508710005</t>
  </si>
  <si>
    <t>63e31359-d7d3-11ee-ac36-0242ff9ee44d</t>
  </si>
  <si>
    <t>EKO BUDIYANTO</t>
  </si>
  <si>
    <t>3521011210870002</t>
  </si>
  <si>
    <t>63e30d72-d7d3-11ee-ac36-0242ff9ee44d</t>
  </si>
  <si>
    <t>Eko Darmanto</t>
  </si>
  <si>
    <t>3521080904690002</t>
  </si>
  <si>
    <t>Dusun Kwadungan Desa Kwadungan Lor</t>
  </si>
  <si>
    <t>63e3198d-d7d3-11ee-ac36-0242ff9ee44d</t>
  </si>
  <si>
    <t>EKO HADI SAPUTRO</t>
  </si>
  <si>
    <t>3521010907820001</t>
  </si>
  <si>
    <t>Gendol RT.01 RW.01</t>
  </si>
  <si>
    <t>63e36c71-d7d3-11ee-ac36-0242ff9ee44d</t>
  </si>
  <si>
    <t>Eko Jumari</t>
  </si>
  <si>
    <t>3521021210690003</t>
  </si>
  <si>
    <t>63e348f0-d7d3-11ee-ac36-0242ff9ee44d</t>
  </si>
  <si>
    <t>EKO MARWANTO</t>
  </si>
  <si>
    <t>3521020903920001</t>
  </si>
  <si>
    <t>63e316ec-d7d3-11ee-ac36-0242ff9ee44d</t>
  </si>
  <si>
    <t>EKO PRASETYO</t>
  </si>
  <si>
    <t>POLO RT 3 RW 2 HARGOSARI SINE</t>
  </si>
  <si>
    <t>63e361ad-d7d3-11ee-ac36-0242ff9ee44d</t>
  </si>
  <si>
    <t>Eko Pratiknyo</t>
  </si>
  <si>
    <t>3273151505750017</t>
  </si>
  <si>
    <t>63e39fcf-d7d3-11ee-ac36-0242ff9ee44d</t>
  </si>
  <si>
    <t>EKO PUJIANTO</t>
  </si>
  <si>
    <t>3521151001910002</t>
  </si>
  <si>
    <t>63e32c8c-d7d3-11ee-ac36-0242ff9ee44d</t>
  </si>
  <si>
    <t>eko purwanto</t>
  </si>
  <si>
    <t>3521022605840005</t>
  </si>
  <si>
    <t>63e39906-d7d3-11ee-ac36-0242ff9ee44d</t>
  </si>
  <si>
    <t>Eko Purwanto</t>
  </si>
  <si>
    <t>3521071111790001</t>
  </si>
  <si>
    <t>63e3bdd7-d7d3-11ee-ac36-0242ff9ee44d</t>
  </si>
  <si>
    <t>EKO RASMINTO</t>
  </si>
  <si>
    <t>3521091906800003</t>
  </si>
  <si>
    <t>63e324cb-d7d3-11ee-ac36-0242ff9ee44d</t>
  </si>
  <si>
    <t>Eko Rianto</t>
  </si>
  <si>
    <t>3519100505850007</t>
  </si>
  <si>
    <t>dsn kasren</t>
  </si>
  <si>
    <t>63e3465c-d7d3-11ee-ac36-0242ff9ee44d</t>
  </si>
  <si>
    <t>EKO RIYANTO</t>
  </si>
  <si>
    <t>3521012104860004</t>
  </si>
  <si>
    <t>BENDO RT 01 RW 02</t>
  </si>
  <si>
    <t>63e3b34e-d7d3-11ee-ac36-0242ff9ee44d</t>
  </si>
  <si>
    <t>EKO ROCHMANI</t>
  </si>
  <si>
    <t>3521091712660002</t>
  </si>
  <si>
    <t>POJOK</t>
  </si>
  <si>
    <t>63e322bc-d7d3-11ee-ac36-0242ff9ee44d</t>
  </si>
  <si>
    <t>EKO SARWONO</t>
  </si>
  <si>
    <t>3521111312750003</t>
  </si>
  <si>
    <t>63e32ce0-d7d3-11ee-ac36-0242ff9ee44d</t>
  </si>
  <si>
    <t>EKO SETIAWAN</t>
  </si>
  <si>
    <t>6307062809810001</t>
  </si>
  <si>
    <t>63e31caa-d7d3-11ee-ac36-0242ff9ee44d</t>
  </si>
  <si>
    <t>EKO SUPRIYADI</t>
  </si>
  <si>
    <t>3521010402900001</t>
  </si>
  <si>
    <t>JETAK RT. 04 RW. 03</t>
  </si>
  <si>
    <t>63e3c9bf-d7d3-11ee-ac36-0242ff9ee44d</t>
  </si>
  <si>
    <t>EKO SUPRIYANTO</t>
  </si>
  <si>
    <t>3521031112700001</t>
  </si>
  <si>
    <t>Dusun Soco Desa Soco</t>
  </si>
  <si>
    <t>63e36971-d7d3-11ee-ac36-0242ff9ee44d</t>
  </si>
  <si>
    <t>Eko Widi Cahyadi</t>
  </si>
  <si>
    <t>3521081909750003</t>
  </si>
  <si>
    <t>63e33628-d7d3-11ee-ac36-0242ff9ee44d</t>
  </si>
  <si>
    <t>ENDAH ISTYORINI</t>
  </si>
  <si>
    <t>3521096207850002</t>
  </si>
  <si>
    <t>63e33b88-d7d3-11ee-ac36-0242ff9ee44d</t>
  </si>
  <si>
    <t>ENDANG SRIYANI</t>
  </si>
  <si>
    <t>3521026709690001</t>
  </si>
  <si>
    <t>63e3caab-d7d3-11ee-ac36-0242ff9ee44d</t>
  </si>
  <si>
    <t>ENDANG SUKESI</t>
  </si>
  <si>
    <t>3521105708830008</t>
  </si>
  <si>
    <t>63e32d75-d7d3-11ee-ac36-0242ff9ee44d</t>
  </si>
  <si>
    <t>ENDANG SUSIANI</t>
  </si>
  <si>
    <t>3521117008880003</t>
  </si>
  <si>
    <t>63e3c111-d7d3-11ee-ac36-0242ff9ee44d</t>
  </si>
  <si>
    <t>ENDANG TRI</t>
  </si>
  <si>
    <t>3521035908800001</t>
  </si>
  <si>
    <t>63e3143f-d7d3-11ee-ac36-0242ff9ee44d</t>
  </si>
  <si>
    <t>Endra Wahana</t>
  </si>
  <si>
    <t>3521162710680001</t>
  </si>
  <si>
    <t>63e33a0c-d7d3-11ee-ac36-0242ff9ee44d</t>
  </si>
  <si>
    <t>Endro Hariono</t>
  </si>
  <si>
    <t>3521142012770001</t>
  </si>
  <si>
    <t>MANGGONG</t>
  </si>
  <si>
    <t>63e32d61-d7d3-11ee-ac36-0242ff9ee44d</t>
  </si>
  <si>
    <t>Eni Kusrini</t>
  </si>
  <si>
    <t>3521024910710004</t>
  </si>
  <si>
    <t>63e3c626-d7d3-11ee-ac36-0242ff9ee44d</t>
  </si>
  <si>
    <t>ENI YULIANINGSIH</t>
  </si>
  <si>
    <t>3521034507860001</t>
  </si>
  <si>
    <t>63e33652-d7d3-11ee-ac36-0242ff9ee44d</t>
  </si>
  <si>
    <t>ENWI ERNAWATI</t>
  </si>
  <si>
    <t>3521025801870001</t>
  </si>
  <si>
    <t>63e3260e-d7d3-11ee-ac36-0242ff9ee44d</t>
  </si>
  <si>
    <t>ENY MITASIH</t>
  </si>
  <si>
    <t>3521024211740002</t>
  </si>
  <si>
    <t>63e33c24-d7d3-11ee-ac36-0242ff9ee44d</t>
  </si>
  <si>
    <t>ENY ROOSITA</t>
  </si>
  <si>
    <t>3521025704740001</t>
  </si>
  <si>
    <t>63e34128-d7d3-11ee-ac36-0242ff9ee44d</t>
  </si>
  <si>
    <t>ERIK PURWOKO</t>
  </si>
  <si>
    <t>3521010711860001</t>
  </si>
  <si>
    <t>Duwet RT8 RW 2</t>
  </si>
  <si>
    <t>63e37fd1-d7d3-11ee-ac36-0242ff9ee44d</t>
  </si>
  <si>
    <t>ERISCA YAN IKA SEDYAD PUSPITA</t>
  </si>
  <si>
    <t>3521064201920001</t>
  </si>
  <si>
    <t>63e33826-d7d3-11ee-ac36-0242ff9ee44d</t>
  </si>
  <si>
    <t>ERLIN SUCI DYAH S</t>
  </si>
  <si>
    <t>Dsn Tirak 2 Ds. Tirak</t>
  </si>
  <si>
    <t>63e3329c-d7d3-11ee-ac36-0242ff9ee44d</t>
  </si>
  <si>
    <t>ERMA DWI RAHAYU</t>
  </si>
  <si>
    <t>3521125204820006</t>
  </si>
  <si>
    <t>63e39860-d7d3-11ee-ac36-0242ff9ee44d</t>
  </si>
  <si>
    <t>Erma susanti</t>
  </si>
  <si>
    <t>3521116204900004</t>
  </si>
  <si>
    <t>JATIGEMBOL</t>
  </si>
  <si>
    <t>63e322d1-d7d3-11ee-ac36-0242ff9ee44d</t>
  </si>
  <si>
    <t>ETRI PUSPITA</t>
  </si>
  <si>
    <t>3521166710880001</t>
  </si>
  <si>
    <t>63e3cb5c-d7d3-11ee-ac36-0242ff9ee44d</t>
  </si>
  <si>
    <t>Eva Agustiyana</t>
  </si>
  <si>
    <t>3521026208950001</t>
  </si>
  <si>
    <t>63e361ec-d7d3-11ee-ac36-0242ff9ee44d</t>
  </si>
  <si>
    <t>Evi Murniati</t>
  </si>
  <si>
    <t>3521024310750001</t>
  </si>
  <si>
    <t>63e3803d-d7d3-11ee-ac36-0242ff9ee44d</t>
  </si>
  <si>
    <t>Fajar Bayu a</t>
  </si>
  <si>
    <t>3521122912900004</t>
  </si>
  <si>
    <t>63e3cf61-d7d3-11ee-ac36-0242ff9ee44d</t>
  </si>
  <si>
    <t>Farid Afri Nurmansyah</t>
  </si>
  <si>
    <t>3521121504910001</t>
  </si>
  <si>
    <t>63e3177b-d7d3-11ee-ac36-0242ff9ee44d</t>
  </si>
  <si>
    <t>FARIS DIAN KURNIAWAN</t>
  </si>
  <si>
    <t>3521091606870003</t>
  </si>
  <si>
    <t>PONDOK RT 1 RW 5 HARGOSARI</t>
  </si>
  <si>
    <t>63e33e88-d7d3-11ee-ac36-0242ff9ee44d</t>
  </si>
  <si>
    <t>FARIZ NOOR AZIZI</t>
  </si>
  <si>
    <t>3521062904990003</t>
  </si>
  <si>
    <t>da3afcfe-a70b-4551-ba63-b1517cf373f5</t>
  </si>
  <si>
    <t>Fariz Rizky Wijaya</t>
  </si>
  <si>
    <t>3518082805910001</t>
  </si>
  <si>
    <t>Jl. Ngawi</t>
  </si>
  <si>
    <t>63e3486d-d7d3-11ee-ac36-0242ff9ee44d</t>
  </si>
  <si>
    <t>FATHUR ROHMAN</t>
  </si>
  <si>
    <t>3521111409610001</t>
  </si>
  <si>
    <t>DUSUN BEGAL</t>
  </si>
  <si>
    <t>63e39d30-d7d3-11ee-ac36-0242ff9ee44d</t>
  </si>
  <si>
    <t>Fatkhul Mubin</t>
  </si>
  <si>
    <t>3521130710950004</t>
  </si>
  <si>
    <t>63e3c725-d7d3-11ee-ac36-0242ff9ee44d</t>
  </si>
  <si>
    <t>FATKHUROHMAN</t>
  </si>
  <si>
    <t>3521100606690004</t>
  </si>
  <si>
    <t>63e39d48-d7d3-11ee-ac36-0242ff9ee44d</t>
  </si>
  <si>
    <t>FATKUR ROHMAN</t>
  </si>
  <si>
    <t>3521130211740002</t>
  </si>
  <si>
    <t>63e38984-d7d3-11ee-ac36-0242ff9ee44d</t>
  </si>
  <si>
    <t>Fatkurozi</t>
  </si>
  <si>
    <t>3521071001770001</t>
  </si>
  <si>
    <t>63e38f95-d7d3-11ee-ac36-0242ff9ee44d</t>
  </si>
  <si>
    <t>Felix Chandra Muradji</t>
  </si>
  <si>
    <t>3521070501940006</t>
  </si>
  <si>
    <t>63e3cec8-d7d3-11ee-ac36-0242ff9ee44d</t>
  </si>
  <si>
    <t>Ferdifta Wahyu Anggita</t>
  </si>
  <si>
    <t>3521134812980001</t>
  </si>
  <si>
    <t>63e3c20c-d7d3-11ee-ac36-0242ff9ee44d</t>
  </si>
  <si>
    <t>feri edi puji hartono</t>
  </si>
  <si>
    <t>3521093011840001</t>
  </si>
  <si>
    <t>63e32366-d7d3-11ee-ac36-0242ff9ee44d</t>
  </si>
  <si>
    <t>Fitri Puji Astuti</t>
  </si>
  <si>
    <t>3521145405810002</t>
  </si>
  <si>
    <t>dsn ngompro</t>
  </si>
  <si>
    <t>63e37c28-d7d3-11ee-ac36-0242ff9ee44d</t>
  </si>
  <si>
    <t>FITRI SUPRIANIK</t>
  </si>
  <si>
    <t>3521175904900002</t>
  </si>
  <si>
    <t>63e31e69-d7d3-11ee-ac36-0242ff9ee44d</t>
  </si>
  <si>
    <t>FIYAN SIH PAMBUDI</t>
  </si>
  <si>
    <t>3521010911900005</t>
  </si>
  <si>
    <t>PANJEN RT 03 RW 01</t>
  </si>
  <si>
    <t>63e39df3-d7d3-11ee-ac36-0242ff9ee44d</t>
  </si>
  <si>
    <t>Fuad Wijoseno</t>
  </si>
  <si>
    <t>3521130307620005</t>
  </si>
  <si>
    <t>63e3cfe2-d7d3-11ee-ac36-0242ff9ee44d</t>
  </si>
  <si>
    <t>Galih Wiranegara</t>
  </si>
  <si>
    <t>63e30ee7-d7d3-11ee-ac36-0242ff9ee44d</t>
  </si>
  <si>
    <t>Gangi</t>
  </si>
  <si>
    <t>3521081708440002</t>
  </si>
  <si>
    <t>Dusun Sukowiyono V Desa Sukowiyono</t>
  </si>
  <si>
    <t>63e39254-d7d3-11ee-ac36-0242ff9ee44d</t>
  </si>
  <si>
    <t>Gausilia Ferdhitaningrum</t>
  </si>
  <si>
    <t>3521076911960001</t>
  </si>
  <si>
    <t>63e3283e-d7d3-11ee-ac36-0242ff9ee44d</t>
  </si>
  <si>
    <t>Gemi</t>
  </si>
  <si>
    <t>3521027012480002</t>
  </si>
  <si>
    <t>63e37bfe-d7d3-11ee-ac36-0242ff9ee44d</t>
  </si>
  <si>
    <t>Gendut Mujiono</t>
  </si>
  <si>
    <t>3521171708760002</t>
  </si>
  <si>
    <t xml:space="preserve">Dusun Wonoboyo, Desa Sriwedari </t>
  </si>
  <si>
    <t>63e331a2-d7d3-11ee-ac36-0242ff9ee44d</t>
  </si>
  <si>
    <t>Gendut santoso</t>
  </si>
  <si>
    <t>3521021908750004</t>
  </si>
  <si>
    <t>63e3c181-d7d3-11ee-ac36-0242ff9ee44d</t>
  </si>
  <si>
    <t>Giarto</t>
  </si>
  <si>
    <t>3521122807820001</t>
  </si>
  <si>
    <t>63e3bc30-d7d3-11ee-ac36-0242ff9ee44d</t>
  </si>
  <si>
    <t>3521120409680003</t>
  </si>
  <si>
    <t>63e3c222-d7d3-11ee-ac36-0242ff9ee44d</t>
  </si>
  <si>
    <t>giman</t>
  </si>
  <si>
    <t>3521090201500002</t>
  </si>
  <si>
    <t>63e32a73-d7d3-11ee-ac36-0242ff9ee44d</t>
  </si>
  <si>
    <t>Giman</t>
  </si>
  <si>
    <t>3521020612520002</t>
  </si>
  <si>
    <t>63e327fe-d7d3-11ee-ac36-0242ff9ee44d</t>
  </si>
  <si>
    <t>GIMANTORO</t>
  </si>
  <si>
    <t>3521020406600001</t>
  </si>
  <si>
    <t>63e38513-d7d3-11ee-ac36-0242ff9ee44d</t>
  </si>
  <si>
    <t>gimin</t>
  </si>
  <si>
    <t>63e3a9c8-d7d3-11ee-ac36-0242ff9ee44d</t>
  </si>
  <si>
    <t>Gimin</t>
  </si>
  <si>
    <t>3521131606750002</t>
  </si>
  <si>
    <t>Kedungharjo</t>
  </si>
  <si>
    <t>63e35ddf-d7d3-11ee-ac36-0242ff9ee44d</t>
  </si>
  <si>
    <t>GIMIN</t>
  </si>
  <si>
    <t>3521020306510001</t>
  </si>
  <si>
    <t>PUCANGAN</t>
  </si>
  <si>
    <t>63e3812a-d7d3-11ee-ac36-0242ff9ee44d</t>
  </si>
  <si>
    <t>Gino</t>
  </si>
  <si>
    <t>63e341ba-d7d3-11ee-ac36-0242ff9ee44d</t>
  </si>
  <si>
    <t>GINO</t>
  </si>
  <si>
    <t>3521021401510001</t>
  </si>
  <si>
    <t>63e32db4-d7d3-11ee-ac36-0242ff9ee44d</t>
  </si>
  <si>
    <t>GIONO</t>
  </si>
  <si>
    <t>3521111205760004</t>
  </si>
  <si>
    <t>63e31215-d7d3-11ee-ac36-0242ff9ee44d</t>
  </si>
  <si>
    <t>GIYANTO</t>
  </si>
  <si>
    <t>3521010405820002</t>
  </si>
  <si>
    <t>SEDONOREJO RT 03/01 DESA WONOSARI KEC. SINE</t>
  </si>
  <si>
    <t>63e32eaf-d7d3-11ee-ac36-0242ff9ee44d</t>
  </si>
  <si>
    <t>GIYARTO</t>
  </si>
  <si>
    <t>3521011101800003</t>
  </si>
  <si>
    <t>KRAJAN RT. 05 RW. 02 KUNIRAN</t>
  </si>
  <si>
    <t>63e357a4-d7d3-11ee-ac36-0242ff9ee44d</t>
  </si>
  <si>
    <t>GIYATI</t>
  </si>
  <si>
    <t>3521026905690001</t>
  </si>
  <si>
    <t>63e31685-d7d3-11ee-ac36-0242ff9ee44d</t>
  </si>
  <si>
    <t>GIYONO</t>
  </si>
  <si>
    <t>3521010301820005</t>
  </si>
  <si>
    <t>63e33e21-d7d3-11ee-ac36-0242ff9ee44d</t>
  </si>
  <si>
    <t>3521011505840001</t>
  </si>
  <si>
    <t>KOPENAN RT1/RW1</t>
  </si>
  <si>
    <t>63e3123f-d7d3-11ee-ac36-0242ff9ee44d</t>
  </si>
  <si>
    <t>3521010402710001</t>
  </si>
  <si>
    <t>NGADILUWIH RT 02/03 DESA WONOSARI KEC. SINE</t>
  </si>
  <si>
    <t>63e33051-d7d3-11ee-ac36-0242ff9ee44d</t>
  </si>
  <si>
    <t>3313162204690002</t>
  </si>
  <si>
    <t>63e32113-d7d3-11ee-ac36-0242ff9ee44d</t>
  </si>
  <si>
    <t>Gondo Pawiro Yahyo</t>
  </si>
  <si>
    <t>3521163112450011</t>
  </si>
  <si>
    <t>Desa Pitu Kecamatan Pitu</t>
  </si>
  <si>
    <t>63e3903f-d7d3-11ee-ac36-0242ff9ee44d</t>
  </si>
  <si>
    <t>Gugup Supriyanto</t>
  </si>
  <si>
    <t>3521072805770001</t>
  </si>
  <si>
    <t>63e38a2f-d7d3-11ee-ac36-0242ff9ee44d</t>
  </si>
  <si>
    <t>Gumono</t>
  </si>
  <si>
    <t>3521070306550005</t>
  </si>
  <si>
    <t>63e31454-d7d3-11ee-ac36-0242ff9ee44d</t>
  </si>
  <si>
    <t>Gunadi</t>
  </si>
  <si>
    <t>3521161505770002</t>
  </si>
  <si>
    <t>63e33d16-d7d3-11ee-ac36-0242ff9ee44d</t>
  </si>
  <si>
    <t>GUNADI</t>
  </si>
  <si>
    <t>3521022708540001</t>
  </si>
  <si>
    <t>63e3258c-d7d3-11ee-ac36-0242ff9ee44d</t>
  </si>
  <si>
    <t>Gunari</t>
  </si>
  <si>
    <t>3521020605480001</t>
  </si>
  <si>
    <t>Babadan</t>
  </si>
  <si>
    <t>63e31383-d7d3-11ee-ac36-0242ff9ee44d</t>
  </si>
  <si>
    <t>GUNARI</t>
  </si>
  <si>
    <t>3521010507740003</t>
  </si>
  <si>
    <t>63e3597b-d7d3-11ee-ac36-0242ff9ee44d</t>
  </si>
  <si>
    <t>GUNARTO</t>
  </si>
  <si>
    <t>3521022705730002</t>
  </si>
  <si>
    <t>63e35f36-d7d3-11ee-ac36-0242ff9ee44d</t>
  </si>
  <si>
    <t>Gunarto Abdul Aziz</t>
  </si>
  <si>
    <t>3521070701840001</t>
  </si>
  <si>
    <t>Dusun Bendo Desa Bendo</t>
  </si>
  <si>
    <t>63e31e0c-d7d3-11ee-ac36-0242ff9ee44d</t>
  </si>
  <si>
    <t>GUNAWAN</t>
  </si>
  <si>
    <t>3521012603810001</t>
  </si>
  <si>
    <t>Ngasem RT.02 RW.02</t>
  </si>
  <si>
    <t>63e3a719-d7d3-11ee-ac36-0242ff9ee44d</t>
  </si>
  <si>
    <t>Gunawan P</t>
  </si>
  <si>
    <t>3521030301860001</t>
  </si>
  <si>
    <t>63e322fe-d7d3-11ee-ac36-0242ff9ee44d</t>
  </si>
  <si>
    <t>GUNDARNI</t>
  </si>
  <si>
    <t>3521113112700037</t>
  </si>
  <si>
    <t>63e3c02d-d7d3-11ee-ac36-0242ff9ee44d</t>
  </si>
  <si>
    <t>GUNTORO</t>
  </si>
  <si>
    <t>3521100511680001</t>
  </si>
  <si>
    <t>63e31d3b-d7d3-11ee-ac36-0242ff9ee44d</t>
  </si>
  <si>
    <t>GURITNO</t>
  </si>
  <si>
    <t>3521012910780001</t>
  </si>
  <si>
    <t>Duwet RT 01 RW 02 Sumberejo</t>
  </si>
  <si>
    <t>63e32e30-d7d3-11ee-ac36-0242ff9ee44d</t>
  </si>
  <si>
    <t>HADI NURYANTO</t>
  </si>
  <si>
    <t>3521111004540003</t>
  </si>
  <si>
    <t>63e33dcc-d7d3-11ee-ac36-0242ff9ee44d</t>
  </si>
  <si>
    <t>HADI PRAMANA</t>
  </si>
  <si>
    <t>3521020910570001</t>
  </si>
  <si>
    <t>63e36a33-d7d3-11ee-ac36-0242ff9ee44d</t>
  </si>
  <si>
    <t>Hadi Prayitno Kasman</t>
  </si>
  <si>
    <t>3521022712570001</t>
  </si>
  <si>
    <t>63e391e8-d7d3-11ee-ac36-0242ff9ee44d</t>
  </si>
  <si>
    <t>Hadi Sudarno</t>
  </si>
  <si>
    <t>3521072103760001</t>
  </si>
  <si>
    <t>63e39a62-d7d3-11ee-ac36-0242ff9ee44d</t>
  </si>
  <si>
    <t>Hadi Sumajid</t>
  </si>
  <si>
    <t>3521071305770004</t>
  </si>
  <si>
    <t>63e3420f-d7d3-11ee-ac36-0242ff9ee44d</t>
  </si>
  <si>
    <t>HADI SURATNO</t>
  </si>
  <si>
    <t>3521022401730002</t>
  </si>
  <si>
    <t>63e39af4-d7d3-11ee-ac36-0242ff9ee44d</t>
  </si>
  <si>
    <t>HADI WINARTA</t>
  </si>
  <si>
    <t>3521042505670002</t>
  </si>
  <si>
    <t>63e3c9e9-d7d3-11ee-ac36-0242ff9ee44d</t>
  </si>
  <si>
    <t>HALIMATUS S</t>
  </si>
  <si>
    <t>3521036109830001</t>
  </si>
  <si>
    <t>63e36234-d7d3-11ee-ac36-0242ff9ee44d</t>
  </si>
  <si>
    <t>Hamid Romadhon</t>
  </si>
  <si>
    <t>3521022807820005</t>
  </si>
  <si>
    <t>63e32dc8-d7d3-11ee-ac36-0242ff9ee44d</t>
  </si>
  <si>
    <t>HAMIRANTO</t>
  </si>
  <si>
    <t>3521012412800002</t>
  </si>
  <si>
    <t>Krajan RT. 05 RW. 03</t>
  </si>
  <si>
    <t>63e34279-d7d3-11ee-ac36-0242ff9ee44d</t>
  </si>
  <si>
    <t>HAN NIK SIH PRIHATIN</t>
  </si>
  <si>
    <t>7311037008790001</t>
  </si>
  <si>
    <t>63e33f83-d7d3-11ee-ac36-0242ff9ee44d</t>
  </si>
  <si>
    <t>HANDOKO</t>
  </si>
  <si>
    <t>3521011809900001</t>
  </si>
  <si>
    <t>NGEMPLAK RT 2 RW 3 KETANGGUNG</t>
  </si>
  <si>
    <t>63e3cfb8-d7d3-11ee-ac36-0242ff9ee44d</t>
  </si>
  <si>
    <t>HANDRIYANTO</t>
  </si>
  <si>
    <t>3521101005870008</t>
  </si>
  <si>
    <t>63e342e3-d7d3-11ee-ac36-0242ff9ee44d</t>
  </si>
  <si>
    <t>HANES DWIDYO SASMIKO</t>
  </si>
  <si>
    <t>3521020305840004</t>
  </si>
  <si>
    <t>63e31f8c-d7d3-11ee-ac36-0242ff9ee44d</t>
  </si>
  <si>
    <t>HANFO WIBAHYUDI</t>
  </si>
  <si>
    <t>3521011201910001</t>
  </si>
  <si>
    <t>BULAKREJO RT 03 RW 02</t>
  </si>
  <si>
    <t>63e39d8a-d7d3-11ee-ac36-0242ff9ee44d</t>
  </si>
  <si>
    <t>HANIF SETIAWAN</t>
  </si>
  <si>
    <t>3521040204880002</t>
  </si>
  <si>
    <t>RT. 07 RW. 04 BANDEM</t>
  </si>
  <si>
    <t>63e37de4-d7d3-11ee-ac36-0242ff9ee44d</t>
  </si>
  <si>
    <t>Hardi</t>
  </si>
  <si>
    <t>3521123112640022</t>
  </si>
  <si>
    <t>gendingan</t>
  </si>
  <si>
    <t>63e3bec4-d7d3-11ee-ac36-0242ff9ee44d</t>
  </si>
  <si>
    <t>3521121110710002</t>
  </si>
  <si>
    <t>63e3491a-d7d3-11ee-ac36-0242ff9ee44d</t>
  </si>
  <si>
    <t>HARDI</t>
  </si>
  <si>
    <t>3521110311680001</t>
  </si>
  <si>
    <t>63e34adb-d7d3-11ee-ac36-0242ff9ee44d</t>
  </si>
  <si>
    <t>HARDIANTO</t>
  </si>
  <si>
    <t>3521111908710002</t>
  </si>
  <si>
    <t>63e32d34-d7d3-11ee-ac36-0242ff9ee44d</t>
  </si>
  <si>
    <t>hardiyanto</t>
  </si>
  <si>
    <t>3521021603740001</t>
  </si>
  <si>
    <t>63e33e0c-d7d3-11ee-ac36-0242ff9ee44d</t>
  </si>
  <si>
    <t>HARDJO SUKAR</t>
  </si>
  <si>
    <t>3521023006500035</t>
  </si>
  <si>
    <t>63e38fc0-d7d3-11ee-ac36-0242ff9ee44d</t>
  </si>
  <si>
    <t>Hari Subagiyo</t>
  </si>
  <si>
    <t>3521071508650001</t>
  </si>
  <si>
    <t>63e37a8d-d7d3-11ee-ac36-0242ff9ee44d</t>
  </si>
  <si>
    <t>HARI SUSANTO</t>
  </si>
  <si>
    <t>3521051712710001</t>
  </si>
  <si>
    <t>63e3ace2-d7d3-11ee-ac36-0242ff9ee44d</t>
  </si>
  <si>
    <t>HARI SUTRISNO</t>
  </si>
  <si>
    <t>3521061702810001</t>
  </si>
  <si>
    <t>SOKO</t>
  </si>
  <si>
    <t>63e34cbe-d7d3-11ee-ac36-0242ff9ee44d</t>
  </si>
  <si>
    <t>HARIYADI</t>
  </si>
  <si>
    <t>3521021201670001</t>
  </si>
  <si>
    <t>63e30f26-d7d3-11ee-ac36-0242ff9ee44d</t>
  </si>
  <si>
    <t>Hariyadi</t>
  </si>
  <si>
    <t>3521083112540061</t>
  </si>
  <si>
    <t>Dusun Mendalan Desa Kedungprahu</t>
  </si>
  <si>
    <t>63e342cf-d7d3-11ee-ac36-0242ff9ee44d</t>
  </si>
  <si>
    <t>HARIYANI</t>
  </si>
  <si>
    <t>3521015204820001</t>
  </si>
  <si>
    <t>BAYEMTAMAN RT 01 RW 03</t>
  </si>
  <si>
    <t>63e312d6-d7d3-11ee-ac36-0242ff9ee44d</t>
  </si>
  <si>
    <t>HARIYANTI</t>
  </si>
  <si>
    <t>3521014305880004</t>
  </si>
  <si>
    <t>63e35525-d7d3-11ee-ac36-0242ff9ee44d</t>
  </si>
  <si>
    <t>3521067006750001</t>
  </si>
  <si>
    <t>63e33209-d7d3-11ee-ac36-0242ff9ee44d</t>
  </si>
  <si>
    <t>HARIYANTO</t>
  </si>
  <si>
    <t>3521020105730001</t>
  </si>
  <si>
    <t>63e3193b-d7d3-11ee-ac36-0242ff9ee44d</t>
  </si>
  <si>
    <t>Hariyanto</t>
  </si>
  <si>
    <t>3521192806680001</t>
  </si>
  <si>
    <t>Konten</t>
  </si>
  <si>
    <t>63e34151-d7d3-11ee-ac36-0242ff9ee44d</t>
  </si>
  <si>
    <t>3521013112820007</t>
  </si>
  <si>
    <t>Duwet RT7 RW2</t>
  </si>
  <si>
    <t>63e3407d-d7d3-11ee-ac36-0242ff9ee44d</t>
  </si>
  <si>
    <t>3521060905710001</t>
  </si>
  <si>
    <t>63e3522f-d7d3-11ee-ac36-0242ff9ee44d</t>
  </si>
  <si>
    <t>3521021306830001</t>
  </si>
  <si>
    <t>63e314f8-d7d3-11ee-ac36-0242ff9ee44d</t>
  </si>
  <si>
    <t>Hariyasman</t>
  </si>
  <si>
    <t>3521160905610001</t>
  </si>
  <si>
    <t>63e32069-d7d3-11ee-ac36-0242ff9ee44d</t>
  </si>
  <si>
    <t>Hariyono</t>
  </si>
  <si>
    <t>63e3709c-d7d3-11ee-ac36-0242ff9ee44d</t>
  </si>
  <si>
    <t>3521191704720003</t>
  </si>
  <si>
    <t>63e31468-d7d3-11ee-ac36-0242ff9ee44d</t>
  </si>
  <si>
    <t>Harjo Kasiman</t>
  </si>
  <si>
    <t>3521163112400026</t>
  </si>
  <si>
    <t>63e3590e-d7d3-11ee-ac36-0242ff9ee44d</t>
  </si>
  <si>
    <t>HARJO SIMAN</t>
  </si>
  <si>
    <t>3521020607580006</t>
  </si>
  <si>
    <t>63e3b262-d7d3-11ee-ac36-0242ff9ee44d</t>
  </si>
  <si>
    <t>HARJOSARKAM</t>
  </si>
  <si>
    <t>3521091503430001</t>
  </si>
  <si>
    <t>63e38f7d-d7d3-11ee-ac36-0242ff9ee44d</t>
  </si>
  <si>
    <t>Harjowiyoto Yoto</t>
  </si>
  <si>
    <t>3521072512580002</t>
  </si>
  <si>
    <t>63e3a04e-d7d3-11ee-ac36-0242ff9ee44d</t>
  </si>
  <si>
    <t>HARMI</t>
  </si>
  <si>
    <t>3521156012830002</t>
  </si>
  <si>
    <t>63e3906a-d7d3-11ee-ac36-0242ff9ee44d</t>
  </si>
  <si>
    <t>Harmoko</t>
  </si>
  <si>
    <t>3521151109760002</t>
  </si>
  <si>
    <t>63e388d9-d7d3-11ee-ac36-0242ff9ee44d</t>
  </si>
  <si>
    <t>Harni</t>
  </si>
  <si>
    <t>3521072206620002</t>
  </si>
  <si>
    <t>63e3abba-d7d3-11ee-ac36-0242ff9ee44d</t>
  </si>
  <si>
    <t>HARNO</t>
  </si>
  <si>
    <t>3521040507540003</t>
  </si>
  <si>
    <t>Dusun Bulak</t>
  </si>
  <si>
    <t>63e3c395-d7d3-11ee-ac36-0242ff9ee44d</t>
  </si>
  <si>
    <t>HARNOKO</t>
  </si>
  <si>
    <t>3521120708750002</t>
  </si>
  <si>
    <t>63e339e2-d7d3-11ee-ac36-0242ff9ee44d</t>
  </si>
  <si>
    <t>HARSONO</t>
  </si>
  <si>
    <t>3521060801660001</t>
  </si>
  <si>
    <t>63e34b06-d7d3-11ee-ac36-0242ff9ee44d</t>
  </si>
  <si>
    <t>3521110609700001</t>
  </si>
  <si>
    <t>63e37f68-d7d3-11ee-ac36-0242ff9ee44d</t>
  </si>
  <si>
    <t>3521051909610001</t>
  </si>
  <si>
    <t>63e3492e-d7d3-11ee-ac36-0242ff9ee44d</t>
  </si>
  <si>
    <t>3521022208700002</t>
  </si>
  <si>
    <t>63e39c52-d7d3-11ee-ac36-0242ff9ee44d</t>
  </si>
  <si>
    <t>Harta Susila</t>
  </si>
  <si>
    <t>3521030304690001</t>
  </si>
  <si>
    <t>63e34d38-d7d3-11ee-ac36-0242ff9ee44d</t>
  </si>
  <si>
    <t>HARTINI</t>
  </si>
  <si>
    <t>3521025811520001</t>
  </si>
  <si>
    <t>63e334ad-d7d3-11ee-ac36-0242ff9ee44d</t>
  </si>
  <si>
    <t>Harto</t>
  </si>
  <si>
    <t>3521140605730001</t>
  </si>
  <si>
    <t>POHKONYAL II</t>
  </si>
  <si>
    <t>63e3461b-d7d3-11ee-ac36-0242ff9ee44d</t>
  </si>
  <si>
    <t>3521140806750001</t>
  </si>
  <si>
    <t>63e38e8f-d7d3-11ee-ac36-0242ff9ee44d</t>
  </si>
  <si>
    <t>Hartono</t>
  </si>
  <si>
    <t>3521070305700001</t>
  </si>
  <si>
    <t>63e359bb-d7d3-11ee-ac36-0242ff9ee44d</t>
  </si>
  <si>
    <t>HARTONO</t>
  </si>
  <si>
    <t>3521021601610001</t>
  </si>
  <si>
    <t>63e38b6e-d7d3-11ee-ac36-0242ff9ee44d</t>
  </si>
  <si>
    <t>Hartoyo</t>
  </si>
  <si>
    <t>3521071703790001</t>
  </si>
  <si>
    <t>63e3a41a-d7d3-11ee-ac36-0242ff9ee44d</t>
  </si>
  <si>
    <t>3521031802680002</t>
  </si>
  <si>
    <t>63e33f97-d7d3-11ee-ac36-0242ff9ee44d</t>
  </si>
  <si>
    <t>HARUN</t>
  </si>
  <si>
    <t>3521061607600003</t>
  </si>
  <si>
    <t>63e39ca8-d7d3-11ee-ac36-0242ff9ee44d</t>
  </si>
  <si>
    <t>HARUN NURROSYID</t>
  </si>
  <si>
    <t>3521132407760001</t>
  </si>
  <si>
    <t>63e3b277-d7d3-11ee-ac36-0242ff9ee44d</t>
  </si>
  <si>
    <t>HARWANTO</t>
  </si>
  <si>
    <t>3521090704750007</t>
  </si>
  <si>
    <t>63e3923f-d7d3-11ee-ac36-0242ff9ee44d</t>
  </si>
  <si>
    <t>Harwanto</t>
  </si>
  <si>
    <t>3521071007850001</t>
  </si>
  <si>
    <t>63e32868-d7d3-11ee-ac36-0242ff9ee44d</t>
  </si>
  <si>
    <t>Harwati</t>
  </si>
  <si>
    <t>3521026703830004</t>
  </si>
  <si>
    <t>63e31f2f-d7d3-11ee-ac36-0242ff9ee44d</t>
  </si>
  <si>
    <t>HARY TOMMY ISTANTO</t>
  </si>
  <si>
    <t>3521011310850002</t>
  </si>
  <si>
    <t>63e31089-d7d3-11ee-ac36-0242ff9ee44d</t>
  </si>
  <si>
    <t>Haryanto</t>
  </si>
  <si>
    <t>3521082804810001</t>
  </si>
  <si>
    <t>63e372e8-d7d3-11ee-ac36-0242ff9ee44d</t>
  </si>
  <si>
    <t>haryati</t>
  </si>
  <si>
    <t>3521155712860001</t>
  </si>
  <si>
    <t>63e3a653-d7d3-11ee-ac36-0242ff9ee44d</t>
  </si>
  <si>
    <t>HARYUDI</t>
  </si>
  <si>
    <t>3521060402830001</t>
  </si>
  <si>
    <t>63e39a0d-d7d3-11ee-ac36-0242ff9ee44d</t>
  </si>
  <si>
    <t>HASAN ABDUL ROHMAN</t>
  </si>
  <si>
    <t>3521152607880004</t>
  </si>
  <si>
    <t>63e3cfa2-d7d3-11ee-ac36-0242ff9ee44d</t>
  </si>
  <si>
    <t>hasby</t>
  </si>
  <si>
    <t>3521100207950001</t>
  </si>
  <si>
    <t>63e3b08f-d7d3-11ee-ac36-0242ff9ee44d</t>
  </si>
  <si>
    <t>Hastoko</t>
  </si>
  <si>
    <t>3521032403780001</t>
  </si>
  <si>
    <t>63e3756b-d7d3-11ee-ac36-0242ff9ee44d</t>
  </si>
  <si>
    <t>Helis Ruswito</t>
  </si>
  <si>
    <t>3521071901850001</t>
  </si>
  <si>
    <t>63e3acf7-d7d3-11ee-ac36-0242ff9ee44d</t>
  </si>
  <si>
    <t>HENDRO P</t>
  </si>
  <si>
    <t>3521042408730003</t>
  </si>
  <si>
    <t>DUSUN KARANGNONGKO BARAT</t>
  </si>
  <si>
    <t>63e31e87-d7d3-11ee-ac36-0242ff9ee44d</t>
  </si>
  <si>
    <t>HENI SETYOWATI</t>
  </si>
  <si>
    <t>3521016107860001</t>
  </si>
  <si>
    <t>PANJEN RT 02 RW 01</t>
  </si>
  <si>
    <t>63e3526d-d7d3-11ee-ac36-0242ff9ee44d</t>
  </si>
  <si>
    <t>HENIS REZAWATI</t>
  </si>
  <si>
    <t>3521065112980001</t>
  </si>
  <si>
    <t>63e32d1d-d7d3-11ee-ac36-0242ff9ee44d</t>
  </si>
  <si>
    <t>Heri</t>
  </si>
  <si>
    <t>3521141510800003</t>
  </si>
  <si>
    <t>63e337e6-d7d3-11ee-ac36-0242ff9ee44d</t>
  </si>
  <si>
    <t>HERI DWI CAHYONO</t>
  </si>
  <si>
    <t>3521022212830002</t>
  </si>
  <si>
    <t>63e38e7a-d7d3-11ee-ac36-0242ff9ee44d</t>
  </si>
  <si>
    <t>Heri Pujianto</t>
  </si>
  <si>
    <t>3521071605850001</t>
  </si>
  <si>
    <t>63e325c9-d7d3-11ee-ac36-0242ff9ee44d</t>
  </si>
  <si>
    <t>Heri Purwanto</t>
  </si>
  <si>
    <t>3521022508730002</t>
  </si>
  <si>
    <t>63e3a0ba-d7d3-11ee-ac36-0242ff9ee44d</t>
  </si>
  <si>
    <t>HERI SISWANTO</t>
  </si>
  <si>
    <t>3521152903850002</t>
  </si>
  <si>
    <t>63e3c156-d7d3-11ee-ac36-0242ff9ee44d</t>
  </si>
  <si>
    <t>HERI WARSITO</t>
  </si>
  <si>
    <t>3521030202750005</t>
  </si>
  <si>
    <t>63e34de8-d7d3-11ee-ac36-0242ff9ee44d</t>
  </si>
  <si>
    <t>HERI WIDYANTO</t>
  </si>
  <si>
    <t>2315468456413213</t>
  </si>
  <si>
    <t>3521021401780001</t>
  </si>
  <si>
    <t>3172021601860021</t>
  </si>
  <si>
    <t>63e3c5a2-d7d3-11ee-ac36-0242ff9ee44d</t>
  </si>
  <si>
    <t>HERRIARTO</t>
  </si>
  <si>
    <t>3174062810810001</t>
  </si>
  <si>
    <t>3521032405790001</t>
  </si>
  <si>
    <t>63e3a039-d7d3-11ee-ac36-0242ff9ee44d</t>
  </si>
  <si>
    <t>Heru Agus B</t>
  </si>
  <si>
    <t>3521030412820002</t>
  </si>
  <si>
    <t>63e3c536-d7d3-11ee-ac36-0242ff9ee44d</t>
  </si>
  <si>
    <t>HERU SANTOSO</t>
  </si>
  <si>
    <t>3521030206780005</t>
  </si>
  <si>
    <t>63e37758-d7d3-11ee-ac36-0242ff9ee44d</t>
  </si>
  <si>
    <t>HERU SETIYONO</t>
  </si>
  <si>
    <t>3521051301690001</t>
  </si>
  <si>
    <t>63e3237b-d7d3-11ee-ac36-0242ff9ee44d</t>
  </si>
  <si>
    <t>Hinari</t>
  </si>
  <si>
    <t>3521143011740001</t>
  </si>
  <si>
    <t>ngompro</t>
  </si>
  <si>
    <t>63e3c9d3-d7d3-11ee-ac36-0242ff9ee44d</t>
  </si>
  <si>
    <t>HINDARTO</t>
  </si>
  <si>
    <t>3521031808800002</t>
  </si>
  <si>
    <t>63e351ef-d7d3-11ee-ac36-0242ff9ee44d</t>
  </si>
  <si>
    <t>HUDA AHSANI</t>
  </si>
  <si>
    <t>3521060512850001</t>
  </si>
  <si>
    <t>63e3d022-d7d3-11ee-ac36-0242ff9ee44d</t>
  </si>
  <si>
    <t>IAN FIRSTIAN ALDHI</t>
  </si>
  <si>
    <t>3578081504920004</t>
  </si>
  <si>
    <t>63e31305-d7d3-11ee-ac36-0242ff9ee44d</t>
  </si>
  <si>
    <t>IDA MUSTIKA</t>
  </si>
  <si>
    <t>3521014506950001</t>
  </si>
  <si>
    <t>BEJEN RT 01 RW 03</t>
  </si>
  <si>
    <t>63e338fb-d7d3-11ee-ac36-0242ff9ee44d</t>
  </si>
  <si>
    <t>Idha Fitri Hariyani</t>
  </si>
  <si>
    <t>3521146206820001</t>
  </si>
  <si>
    <t>NGESREP</t>
  </si>
  <si>
    <t>63e34190-d7d3-11ee-ac36-0242ff9ee44d</t>
  </si>
  <si>
    <t>IHWANUDIN</t>
  </si>
  <si>
    <t>3521032505820002</t>
  </si>
  <si>
    <t>DUWET RT 08 RW 02</t>
  </si>
  <si>
    <t>63e328bb-d7d3-11ee-ac36-0242ff9ee44d</t>
  </si>
  <si>
    <t>Ilaladi Khoifin</t>
  </si>
  <si>
    <t>3311024912890003</t>
  </si>
  <si>
    <t>3521020610740001</t>
  </si>
  <si>
    <t>63e39455-d7d3-11ee-ac36-0242ff9ee44d</t>
  </si>
  <si>
    <t>Ilham</t>
  </si>
  <si>
    <t>3521161902690001</t>
  </si>
  <si>
    <t>63e3293d-d7d3-11ee-ac36-0242ff9ee44d</t>
  </si>
  <si>
    <t>Ilham mufarudin</t>
  </si>
  <si>
    <t>3521180507990002</t>
  </si>
  <si>
    <t>63e3c611-d7d3-11ee-ac36-0242ff9ee44d</t>
  </si>
  <si>
    <t>ILYAS</t>
  </si>
  <si>
    <t>3521031302820001</t>
  </si>
  <si>
    <t>63e3b022-d7d3-11ee-ac36-0242ff9ee44d</t>
  </si>
  <si>
    <t>Imam Ariyo</t>
  </si>
  <si>
    <t>3521032304950001</t>
  </si>
  <si>
    <t>63e328d0-d7d3-11ee-ac36-0242ff9ee44d</t>
  </si>
  <si>
    <t>IMAM MARBAWI</t>
  </si>
  <si>
    <t>3521022104810002</t>
  </si>
  <si>
    <t>63e34533-d7d3-11ee-ac36-0242ff9ee44d</t>
  </si>
  <si>
    <t>INDAH YUNI LESTARI</t>
  </si>
  <si>
    <t>3521015206890004</t>
  </si>
  <si>
    <t>63e32ddc-d7d3-11ee-ac36-0242ff9ee44d</t>
  </si>
  <si>
    <t>Indrawati</t>
  </si>
  <si>
    <t>3521026701940001</t>
  </si>
  <si>
    <t>63e3207e-d7d3-11ee-ac36-0242ff9ee44d</t>
  </si>
  <si>
    <t>Irwanto</t>
  </si>
  <si>
    <t>3521161309960001</t>
  </si>
  <si>
    <t>63e39986-d7d3-11ee-ac36-0242ff9ee44d</t>
  </si>
  <si>
    <t>Isbandi</t>
  </si>
  <si>
    <t>3521070601710002</t>
  </si>
  <si>
    <t>3404077003810018</t>
  </si>
  <si>
    <t>63e3a8b4-d7d3-11ee-ac36-0242ff9ee44d</t>
  </si>
  <si>
    <t>ISMADI</t>
  </si>
  <si>
    <t>3521061510770001</t>
  </si>
  <si>
    <t>63e32093-d7d3-11ee-ac36-0242ff9ee44d</t>
  </si>
  <si>
    <t>Ismadi</t>
  </si>
  <si>
    <t>3521162103610001</t>
  </si>
  <si>
    <t>63e350c1-d7d3-11ee-ac36-0242ff9ee44d</t>
  </si>
  <si>
    <t>3521181510810001</t>
  </si>
  <si>
    <t>KERASKULON 2</t>
  </si>
  <si>
    <t>3507100111930003</t>
  </si>
  <si>
    <t>63e355e9-d7d3-11ee-ac36-0242ff9ee44d</t>
  </si>
  <si>
    <t>ISMANI</t>
  </si>
  <si>
    <t>3521062002710001</t>
  </si>
  <si>
    <t>63e337fc-d7d3-11ee-ac36-0242ff9ee44d</t>
  </si>
  <si>
    <t>ISMANTO</t>
  </si>
  <si>
    <t>3507110707740004</t>
  </si>
  <si>
    <t>3521013011790001</t>
  </si>
  <si>
    <t>Sendang RT3/RW7 TULAKAN</t>
  </si>
  <si>
    <t>63e36588-d7d3-11ee-ac36-0242ff9ee44d</t>
  </si>
  <si>
    <t>Ismiati</t>
  </si>
  <si>
    <t>3521086608860001</t>
  </si>
  <si>
    <t>63e31ac6-d7d3-11ee-ac36-0242ff9ee44d</t>
  </si>
  <si>
    <t>ISNAN FAUZY</t>
  </si>
  <si>
    <t>3521011911880002</t>
  </si>
  <si>
    <t>63e3aeb9-d7d3-11ee-ac36-0242ff9ee44d</t>
  </si>
  <si>
    <t>ISNGADI</t>
  </si>
  <si>
    <t>3521041406710002</t>
  </si>
  <si>
    <t>3511180907750001</t>
  </si>
  <si>
    <t>RT. 04 RW 05 PENTHUKPELEM</t>
  </si>
  <si>
    <t>63e32f58-d7d3-11ee-ac36-0242ff9ee44d</t>
  </si>
  <si>
    <t>ISNI ROMDHONIATI</t>
  </si>
  <si>
    <t>3521015605820004</t>
  </si>
  <si>
    <t>KRAJAN WETAN RT 3 RW 1 KUNIRAN</t>
  </si>
  <si>
    <t>63e389f0-d7d3-11ee-ac36-0242ff9ee44d</t>
  </si>
  <si>
    <t>Isnoto</t>
  </si>
  <si>
    <t>3521072903740001</t>
  </si>
  <si>
    <t>63e33edb-d7d3-11ee-ac36-0242ff9ee44d</t>
  </si>
  <si>
    <t>ISSE</t>
  </si>
  <si>
    <t>3524185204840006</t>
  </si>
  <si>
    <t>KRAJAN RT 2 RW 2 KETANGGUNG</t>
  </si>
  <si>
    <t>63e3b638-d7d3-11ee-ac36-0242ff9ee44d</t>
  </si>
  <si>
    <t>ISTAMAR</t>
  </si>
  <si>
    <t>3521092612580001</t>
  </si>
  <si>
    <t>Mojorejo</t>
  </si>
  <si>
    <t>63e32853-d7d3-11ee-ac36-0242ff9ee44d</t>
  </si>
  <si>
    <t>ISTI SAROH</t>
  </si>
  <si>
    <t>3521024408740002</t>
  </si>
  <si>
    <t>63e3c77a-d7d3-11ee-ac36-0242ff9ee44d</t>
  </si>
  <si>
    <t>ISWAHYUDI</t>
  </si>
  <si>
    <t>3521103011060003</t>
  </si>
  <si>
    <t>63e3b379-d7d3-11ee-ac36-0242ff9ee44d</t>
  </si>
  <si>
    <t>3521091306790004</t>
  </si>
  <si>
    <t>63e33963-d7d3-11ee-ac36-0242ff9ee44d</t>
  </si>
  <si>
    <t>Iswandi</t>
  </si>
  <si>
    <t>dsn. Genggong RT 04 RW 03</t>
  </si>
  <si>
    <t>63e34b94-d7d3-11ee-ac36-0242ff9ee44d</t>
  </si>
  <si>
    <t>IWAN GUSWANTORO</t>
  </si>
  <si>
    <t>3521061208940003</t>
  </si>
  <si>
    <t>63e3434a-d7d3-11ee-ac36-0242ff9ee44d</t>
  </si>
  <si>
    <t>JAILANI</t>
  </si>
  <si>
    <t>3521020312650002</t>
  </si>
  <si>
    <t>63e32df2-d7d3-11ee-ac36-0242ff9ee44d</t>
  </si>
  <si>
    <t>Jaiman</t>
  </si>
  <si>
    <t>3521020812670001</t>
  </si>
  <si>
    <t>63e343b3-d7d3-11ee-ac36-0242ff9ee44d</t>
  </si>
  <si>
    <t>JAIMAN</t>
  </si>
  <si>
    <t>3521021906560002</t>
  </si>
  <si>
    <t>63e39970-d7d3-11ee-ac36-0242ff9ee44d</t>
  </si>
  <si>
    <t>3521071812560003</t>
  </si>
  <si>
    <t>63e30e2d-d7d3-11ee-ac36-0242ff9ee44d</t>
  </si>
  <si>
    <t>Jaimin</t>
  </si>
  <si>
    <t>3521080810600002</t>
  </si>
  <si>
    <t>63e3948f-d7d3-11ee-ac36-0242ff9ee44d</t>
  </si>
  <si>
    <t>3521162601700001</t>
  </si>
  <si>
    <t>63e3150e-d7d3-11ee-ac36-0242ff9ee44d</t>
  </si>
  <si>
    <t>Jainem</t>
  </si>
  <si>
    <t>3521165403590001</t>
  </si>
  <si>
    <t>63e31522-d7d3-11ee-ac36-0242ff9ee44d</t>
  </si>
  <si>
    <t>Jaini</t>
  </si>
  <si>
    <t>3521162103700001</t>
  </si>
  <si>
    <t>63e3995b-d7d3-11ee-ac36-0242ff9ee44d</t>
  </si>
  <si>
    <t>Jali</t>
  </si>
  <si>
    <t>3521070207670002</t>
  </si>
  <si>
    <t>63e3be12-d7d3-11ee-ac36-0242ff9ee44d</t>
  </si>
  <si>
    <t>JAMAL</t>
  </si>
  <si>
    <t>3521094306490001</t>
  </si>
  <si>
    <t>63e35244-d7d3-11ee-ac36-0242ff9ee44d</t>
  </si>
  <si>
    <t>JAMI</t>
  </si>
  <si>
    <t>3521024108620001</t>
  </si>
  <si>
    <t>63e32e70-d7d3-11ee-ac36-0242ff9ee44d</t>
  </si>
  <si>
    <t>jamiatun</t>
  </si>
  <si>
    <t>3521024101690002</t>
  </si>
  <si>
    <t>63e38c16-d7d3-11ee-ac36-0242ff9ee44d</t>
  </si>
  <si>
    <t>Jamiran</t>
  </si>
  <si>
    <t>3521071206760002</t>
  </si>
  <si>
    <t>63e32a9d-d7d3-11ee-ac36-0242ff9ee44d</t>
  </si>
  <si>
    <t>Janem</t>
  </si>
  <si>
    <t>63e332b0-d7d3-11ee-ac36-0242ff9ee44d</t>
  </si>
  <si>
    <t>Jani</t>
  </si>
  <si>
    <t>3519131003930002</t>
  </si>
  <si>
    <t>3521025006650002</t>
  </si>
  <si>
    <t>3520060607850001</t>
  </si>
  <si>
    <t>63e31a5c-d7d3-11ee-ac36-0242ff9ee44d</t>
  </si>
  <si>
    <t>JAPAR</t>
  </si>
  <si>
    <t>3521011904680001</t>
  </si>
  <si>
    <t>63e3c296-d7d3-11ee-ac36-0242ff9ee44d</t>
  </si>
  <si>
    <t>JARI</t>
  </si>
  <si>
    <t>3521100408540003</t>
  </si>
  <si>
    <t>63e32ef0-d7d3-11ee-ac36-0242ff9ee44d</t>
  </si>
  <si>
    <t>Jarman</t>
  </si>
  <si>
    <t>3521021103650004</t>
  </si>
  <si>
    <t>63e33866-d7d3-11ee-ac36-0242ff9ee44d</t>
  </si>
  <si>
    <t>JAROT</t>
  </si>
  <si>
    <t>3521022304870001</t>
  </si>
  <si>
    <t>63e3a948-d7d3-11ee-ac36-0242ff9ee44d</t>
  </si>
  <si>
    <t>JARSI</t>
  </si>
  <si>
    <t>3521060111510001</t>
  </si>
  <si>
    <t>63e3c954-d7d3-11ee-ac36-0242ff9ee44d</t>
  </si>
  <si>
    <t>JARWOTO</t>
  </si>
  <si>
    <t>3520152607820001</t>
  </si>
  <si>
    <t>3521100409670003</t>
  </si>
  <si>
    <t>63e3147d-d7d3-11ee-ac36-0242ff9ee44d</t>
  </si>
  <si>
    <t>Jasman</t>
  </si>
  <si>
    <t>3521160110440001</t>
  </si>
  <si>
    <t>63e33399-d7d3-11ee-ac36-0242ff9ee44d</t>
  </si>
  <si>
    <t>Jasmani</t>
  </si>
  <si>
    <t>3521143006480025</t>
  </si>
  <si>
    <t>63e3a3c7-d7d3-11ee-ac36-0242ff9ee44d</t>
  </si>
  <si>
    <t>Jayadi</t>
  </si>
  <si>
    <t>3521130404690004</t>
  </si>
  <si>
    <t>3521010102570002</t>
  </si>
  <si>
    <t>63e346dd-d7d3-11ee-ac36-0242ff9ee44d</t>
  </si>
  <si>
    <t>JAYADI</t>
  </si>
  <si>
    <t>3521063008660001</t>
  </si>
  <si>
    <t>63e33db8-d7d3-11ee-ac36-0242ff9ee44d</t>
  </si>
  <si>
    <t>3521060101650001</t>
  </si>
  <si>
    <t>63e36b5d-d7d3-11ee-ac36-0242ff9ee44d</t>
  </si>
  <si>
    <t>Jefri Agung</t>
  </si>
  <si>
    <t>3521080811990002</t>
  </si>
  <si>
    <t>Desa Padas</t>
  </si>
  <si>
    <t>63e33724-d7d3-11ee-ac36-0242ff9ee44d</t>
  </si>
  <si>
    <t>JESSIKA FITRIANI</t>
  </si>
  <si>
    <t>3521025605880004</t>
  </si>
  <si>
    <t>63e3aa1f-d7d3-11ee-ac36-0242ff9ee44d</t>
  </si>
  <si>
    <t>JIMAN</t>
  </si>
  <si>
    <t>3521030503710002</t>
  </si>
  <si>
    <t>63e31537-d7d3-11ee-ac36-0242ff9ee44d</t>
  </si>
  <si>
    <t>Jiman</t>
  </si>
  <si>
    <t>3521160111590001</t>
  </si>
  <si>
    <t>63e39f52-d7d3-11ee-ac36-0242ff9ee44d</t>
  </si>
  <si>
    <t>JIMMY SAPUTRA</t>
  </si>
  <si>
    <t>3521010111350001</t>
  </si>
  <si>
    <t>3521042706860002</t>
  </si>
  <si>
    <t>RT. 03 RW. 05 PLAYARAN</t>
  </si>
  <si>
    <t>63e32ac7-d7d3-11ee-ac36-0242ff9ee44d</t>
  </si>
  <si>
    <t>jingun</t>
  </si>
  <si>
    <t>3521023112650011</t>
  </si>
  <si>
    <t>63e37717-d7d3-11ee-ac36-0242ff9ee44d</t>
  </si>
  <si>
    <t>Jiono</t>
  </si>
  <si>
    <t>3521191209800003</t>
  </si>
  <si>
    <t>Gondang</t>
  </si>
  <si>
    <t>63e33540-d7d3-11ee-ac36-0242ff9ee44d</t>
  </si>
  <si>
    <t>Jirmanto</t>
  </si>
  <si>
    <t>3521141901900001</t>
  </si>
  <si>
    <t>Pohkonyal 3</t>
  </si>
  <si>
    <t>63e31254-d7d3-11ee-ac36-0242ff9ee44d</t>
  </si>
  <si>
    <t>JITO WIYONO</t>
  </si>
  <si>
    <t>WONOSARI RT 02/02 DESA WONOSARI KEC. SINE</t>
  </si>
  <si>
    <t>63e37ebc-d7d3-11ee-ac36-0242ff9ee44d</t>
  </si>
  <si>
    <t>JIWOTO</t>
  </si>
  <si>
    <t>3521051508680002</t>
  </si>
  <si>
    <t>63e3a183-d7d3-11ee-ac36-0242ff9ee44d</t>
  </si>
  <si>
    <t>JIYONO</t>
  </si>
  <si>
    <t>3521152510840002</t>
  </si>
  <si>
    <t>63e32328-d7d3-11ee-ac36-0242ff9ee44d</t>
  </si>
  <si>
    <t>jjjjjj</t>
  </si>
  <si>
    <t>3521010302840001</t>
  </si>
  <si>
    <t>nkk</t>
  </si>
  <si>
    <t>63e31a86-d7d3-11ee-ac36-0242ff9ee44d</t>
  </si>
  <si>
    <t>JOKO</t>
  </si>
  <si>
    <t>3521011205840002</t>
  </si>
  <si>
    <t>Klito RT. 03 RW. 02</t>
  </si>
  <si>
    <t>63e33e5f-d7d3-11ee-ac36-0242ff9ee44d</t>
  </si>
  <si>
    <t>3521011007850004</t>
  </si>
  <si>
    <t>63e31144-d7d3-11ee-ac36-0242ff9ee44d</t>
  </si>
  <si>
    <t>Joko Ary Purdianto</t>
  </si>
  <si>
    <t>3521081401880001</t>
  </si>
  <si>
    <t>Dusun Sambiroto I Desa Sambiroto</t>
  </si>
  <si>
    <t>63e3ae79-d7d3-11ee-ac36-0242ff9ee44d</t>
  </si>
  <si>
    <t>JOKO FEBRIANTO</t>
  </si>
  <si>
    <t>3521062402890001</t>
  </si>
  <si>
    <t>DSN SOKO</t>
  </si>
  <si>
    <t>63e33b35-d7d3-11ee-ac36-0242ff9ee44d</t>
  </si>
  <si>
    <t>3521010306710001</t>
  </si>
  <si>
    <t>JOKO HANDOKO</t>
  </si>
  <si>
    <t>3521011507860003</t>
  </si>
  <si>
    <t>GARIT,RT3/1</t>
  </si>
  <si>
    <t>63e3794d-d7d3-11ee-ac36-0242ff9ee44d</t>
  </si>
  <si>
    <t>JOKO LEGOWO</t>
  </si>
  <si>
    <t>3521050802800001</t>
  </si>
  <si>
    <t>63e38d25-d7d3-11ee-ac36-0242ff9ee44d</t>
  </si>
  <si>
    <t>Joko Murdani</t>
  </si>
  <si>
    <t>3521070305870001</t>
  </si>
  <si>
    <t>63e326b5-d7d3-11ee-ac36-0242ff9ee44d</t>
  </si>
  <si>
    <t>JOKO NURYANTO</t>
  </si>
  <si>
    <t>3521021903680001</t>
  </si>
  <si>
    <t>63e3b4bd-d7d3-11ee-ac36-0242ff9ee44d</t>
  </si>
  <si>
    <t>3521022808710004</t>
  </si>
  <si>
    <t>3521010505950007</t>
  </si>
  <si>
    <t>63e31492-d7d3-11ee-ac36-0242ff9ee44d</t>
  </si>
  <si>
    <t>Joko Prasetyo</t>
  </si>
  <si>
    <t>3521160706560001</t>
  </si>
  <si>
    <t>63e3532f-d7d3-11ee-ac36-0242ff9ee44d</t>
  </si>
  <si>
    <t>JOKO PURNOMO</t>
  </si>
  <si>
    <t>3521092011690002</t>
  </si>
  <si>
    <t>Dusun Krawut</t>
  </si>
  <si>
    <t>63e34746-d7d3-11ee-ac36-0242ff9ee44d</t>
  </si>
  <si>
    <t>3521010508840003</t>
  </si>
  <si>
    <t>3521060208780001</t>
  </si>
  <si>
    <t>63e328a5-d7d3-11ee-ac36-0242ff9ee44d</t>
  </si>
  <si>
    <t>Joko Purnomo</t>
  </si>
  <si>
    <t>3521181907780001</t>
  </si>
  <si>
    <t>63e3954b-d7d3-11ee-ac36-0242ff9ee44d</t>
  </si>
  <si>
    <t>Joko Purwanto</t>
  </si>
  <si>
    <t>3521080411770002</t>
  </si>
  <si>
    <t>63e3cc4c-d7d3-11ee-ac36-0242ff9ee44d</t>
  </si>
  <si>
    <t>3521143110750001</t>
  </si>
  <si>
    <t>3521010511800002</t>
  </si>
  <si>
    <t>63e3b10f-d7d3-11ee-ac36-0242ff9ee44d</t>
  </si>
  <si>
    <t>JOKO SANTOSO</t>
  </si>
  <si>
    <t>3521091301730002</t>
  </si>
  <si>
    <t>Dsn. NGUDAL</t>
  </si>
  <si>
    <t>63e39b33-d7d3-11ee-ac36-0242ff9ee44d</t>
  </si>
  <si>
    <t>JOKO SUDARSONO</t>
  </si>
  <si>
    <t>3521062007750001</t>
  </si>
  <si>
    <t>63e31fcc-d7d3-11ee-ac36-0242ff9ee44d</t>
  </si>
  <si>
    <t>3521010512740001</t>
  </si>
  <si>
    <t>JOKO SUSANTO</t>
  </si>
  <si>
    <t>SARIMULYO RT 01 RW 03</t>
  </si>
  <si>
    <t>63e3a4f2-d7d3-11ee-ac36-0242ff9ee44d</t>
  </si>
  <si>
    <t>Joko Susetyo</t>
  </si>
  <si>
    <t>3521131206660001</t>
  </si>
  <si>
    <t>3521010512810001</t>
  </si>
  <si>
    <t>63e36cb3-d7d3-11ee-ac36-0242ff9ee44d</t>
  </si>
  <si>
    <t>JOKO SUTRISNO</t>
  </si>
  <si>
    <t>Genengan, Bringin</t>
  </si>
  <si>
    <t>63e3b411-d7d3-11ee-ac36-0242ff9ee44d</t>
  </si>
  <si>
    <t>JOKO SUYATIN</t>
  </si>
  <si>
    <t>3521090505700001</t>
  </si>
  <si>
    <t>3521010607700003</t>
  </si>
  <si>
    <t>63e31c94-d7d3-11ee-ac36-0242ff9ee44d</t>
  </si>
  <si>
    <t>JOKO TRISILO</t>
  </si>
  <si>
    <t>KRAJAN WETAN RT 1 RW 1 SINE</t>
  </si>
  <si>
    <t>63e3b2f5-d7d3-11ee-ac36-0242ff9ee44d</t>
  </si>
  <si>
    <t>JOKO WARDONO</t>
  </si>
  <si>
    <t>3521010607860001</t>
  </si>
  <si>
    <t>3521090108650003</t>
  </si>
  <si>
    <t>INGASREJO</t>
  </si>
  <si>
    <t>63e315f3-d7d3-11ee-ac36-0242ff9ee44d</t>
  </si>
  <si>
    <t>JOKO WARSITO</t>
  </si>
  <si>
    <t>3521011311700002</t>
  </si>
  <si>
    <t>Girikerto RT.01 RW.02</t>
  </si>
  <si>
    <t>63e3173e-d7d3-11ee-ac36-0242ff9ee44d</t>
  </si>
  <si>
    <t>JOKO WIYONO</t>
  </si>
  <si>
    <t>Ngasem RT.03 RW.04</t>
  </si>
  <si>
    <t>63e3b04e-d7d3-11ee-ac36-0242ff9ee44d</t>
  </si>
  <si>
    <t>Joko. S</t>
  </si>
  <si>
    <t>3521031407650002</t>
  </si>
  <si>
    <t>Dusun Balepanjang Desa Jogorogo Kec. Jogorogo</t>
  </si>
  <si>
    <t>63e3b80a-d7d3-11ee-ac36-0242ff9ee44d</t>
  </si>
  <si>
    <t>JONI PURNOMO</t>
  </si>
  <si>
    <t>3521042907790001</t>
  </si>
  <si>
    <t>DUSUN CAMPUREJO</t>
  </si>
  <si>
    <t>3521010808700002</t>
  </si>
  <si>
    <t>63e35ea9-d7d3-11ee-ac36-0242ff9ee44d</t>
  </si>
  <si>
    <t>Joni Purwono</t>
  </si>
  <si>
    <t>3521021506830005</t>
  </si>
  <si>
    <t>wakah</t>
  </si>
  <si>
    <t>63e3c416-d7d3-11ee-ac36-0242ff9ee44d</t>
  </si>
  <si>
    <t>JONI SULISTYONO</t>
  </si>
  <si>
    <t>3521102805650002</t>
  </si>
  <si>
    <t>63e32fac-d7d3-11ee-ac36-0242ff9ee44d</t>
  </si>
  <si>
    <t>JONI SUMITRO</t>
  </si>
  <si>
    <t>3521011706830001</t>
  </si>
  <si>
    <t>Krajan RT. 02 RW. 01</t>
  </si>
  <si>
    <t>63e320a8-d7d3-11ee-ac36-0242ff9ee44d</t>
  </si>
  <si>
    <t>Joni Suprapto</t>
  </si>
  <si>
    <t>3521161806740001</t>
  </si>
  <si>
    <t>63e385e8-d7d3-11ee-ac36-0242ff9ee44d</t>
  </si>
  <si>
    <t>3521010908910003</t>
  </si>
  <si>
    <t>JONO</t>
  </si>
  <si>
    <t>3521050805700004</t>
  </si>
  <si>
    <t>63e35259-d7d3-11ee-ac36-0242ff9ee44d</t>
  </si>
  <si>
    <t>3521020803700002</t>
  </si>
  <si>
    <t>63e3403f-d7d3-11ee-ac36-0242ff9ee44d</t>
  </si>
  <si>
    <t>jono</t>
  </si>
  <si>
    <t>3521021708600002</t>
  </si>
  <si>
    <t>63e314a6-d7d3-11ee-ac36-0242ff9ee44d</t>
  </si>
  <si>
    <t>Julig Susilo</t>
  </si>
  <si>
    <t>3521161907850001</t>
  </si>
  <si>
    <t>63e3212f-d7d3-11ee-ac36-0242ff9ee44d</t>
  </si>
  <si>
    <t>Jumadi</t>
  </si>
  <si>
    <t>3521011005760001</t>
  </si>
  <si>
    <t>63e372fe-d7d3-11ee-ac36-0242ff9ee44d</t>
  </si>
  <si>
    <t>jumadi</t>
  </si>
  <si>
    <t>3521151508780002</t>
  </si>
  <si>
    <t>63e3823e-d7d3-11ee-ac36-0242ff9ee44d</t>
  </si>
  <si>
    <t>JUMADI</t>
  </si>
  <si>
    <t>3521050403690004</t>
  </si>
  <si>
    <t>63e384a7-d7d3-11ee-ac36-0242ff9ee44d</t>
  </si>
  <si>
    <t>3521160306620002</t>
  </si>
  <si>
    <t>63e3ac79-d7d3-11ee-ac36-0242ff9ee44d</t>
  </si>
  <si>
    <t>3521040308760005</t>
  </si>
  <si>
    <t>DUSUN PLOSO</t>
  </si>
  <si>
    <t>63e3784b-d7d3-11ee-ac36-0242ff9ee44d</t>
  </si>
  <si>
    <t>3521050112210005</t>
  </si>
  <si>
    <t>63e389c5-d7d3-11ee-ac36-0242ff9ee44d</t>
  </si>
  <si>
    <t>3521072405690001</t>
  </si>
  <si>
    <t>63e3430b-d7d3-11ee-ac36-0242ff9ee44d</t>
  </si>
  <si>
    <t>3521011105750001</t>
  </si>
  <si>
    <t>3521172802780003</t>
  </si>
  <si>
    <t>Dusun Bangunrejo Desa Bangunrejo</t>
  </si>
  <si>
    <t>63e30fe2-d7d3-11ee-ac36-0242ff9ee44d</t>
  </si>
  <si>
    <t>3521081505670002</t>
  </si>
  <si>
    <t>63e3342e-d7d3-11ee-ac36-0242ff9ee44d</t>
  </si>
  <si>
    <t>3521020606770003</t>
  </si>
  <si>
    <t>63e37b7c-d7d3-11ee-ac36-0242ff9ee44d</t>
  </si>
  <si>
    <t>3521172301810001</t>
  </si>
  <si>
    <t>Dusun Tremas, Desa Karanganyar</t>
  </si>
  <si>
    <t>63e39ffa-d7d3-11ee-ac36-0242ff9ee44d</t>
  </si>
  <si>
    <t>JUMALI</t>
  </si>
  <si>
    <t>3521041107720007</t>
  </si>
  <si>
    <t>DUSUN GETAS</t>
  </si>
  <si>
    <t>63e35302-d7d3-11ee-ac36-0242ff9ee44d</t>
  </si>
  <si>
    <t>JUMALIK</t>
  </si>
  <si>
    <t>3521061102720001</t>
  </si>
  <si>
    <t>63e30cdf-d7d3-11ee-ac36-0242ff9ee44d</t>
  </si>
  <si>
    <t>Jumani</t>
  </si>
  <si>
    <t>3521082005790002</t>
  </si>
  <si>
    <t>63e3c750-d7d3-11ee-ac36-0242ff9ee44d</t>
  </si>
  <si>
    <t>JUMARI</t>
  </si>
  <si>
    <t>3521102107740001</t>
  </si>
  <si>
    <t>63e3335a-d7d3-11ee-ac36-0242ff9ee44d</t>
  </si>
  <si>
    <t>3521111605490002</t>
  </si>
  <si>
    <t>63e38552-d7d3-11ee-ac36-0242ff9ee44d</t>
  </si>
  <si>
    <t>jumari</t>
  </si>
  <si>
    <t>3521121006550006</t>
  </si>
  <si>
    <t>63e376d7-d7d3-11ee-ac36-0242ff9ee44d</t>
  </si>
  <si>
    <t>Jumarti</t>
  </si>
  <si>
    <t>3521195208890002</t>
  </si>
  <si>
    <t>3521011204700002</t>
  </si>
  <si>
    <t>63e32b30-d7d3-11ee-ac36-0242ff9ee44d</t>
  </si>
  <si>
    <t>Jumirah</t>
  </si>
  <si>
    <t>3521024504360001</t>
  </si>
  <si>
    <t>63e35e66-d7d3-11ee-ac36-0242ff9ee44d</t>
  </si>
  <si>
    <t>Jumiran</t>
  </si>
  <si>
    <t>3521082007740001</t>
  </si>
  <si>
    <t>63e33499-d7d3-11ee-ac36-0242ff9ee44d</t>
  </si>
  <si>
    <t>JUMIYATI</t>
  </si>
  <si>
    <t>3521025011750009</t>
  </si>
  <si>
    <t>63e38592-d7d3-11ee-ac36-0242ff9ee44d</t>
  </si>
  <si>
    <t>JUNAIDI</t>
  </si>
  <si>
    <t>3521120607720002</t>
  </si>
  <si>
    <t>63e37e23-d7d3-11ee-ac36-0242ff9ee44d</t>
  </si>
  <si>
    <t>Junaidi</t>
  </si>
  <si>
    <t>Jaten</t>
  </si>
  <si>
    <t>63e31ea4-d7d3-11ee-ac36-0242ff9ee44d</t>
  </si>
  <si>
    <t>3521013112800023</t>
  </si>
  <si>
    <t>PANJEN RT 01 RW 01</t>
  </si>
  <si>
    <t>63e36f86-d7d3-11ee-ac36-0242ff9ee44d</t>
  </si>
  <si>
    <t>Juwandi</t>
  </si>
  <si>
    <t>3521191506710001</t>
  </si>
  <si>
    <t>63e3896e-d7d3-11ee-ac36-0242ff9ee44d</t>
  </si>
  <si>
    <t>3521071005700001</t>
  </si>
  <si>
    <t>63e3c3a9-d7d3-11ee-ac36-0242ff9ee44d</t>
  </si>
  <si>
    <t>KAARNO</t>
  </si>
  <si>
    <t>3521122507620001</t>
  </si>
  <si>
    <t>63e3331a-d7d3-11ee-ac36-0242ff9ee44d</t>
  </si>
  <si>
    <t>Kabiran</t>
  </si>
  <si>
    <t>3521020306610001</t>
  </si>
  <si>
    <t>63e32968-d7d3-11ee-ac36-0242ff9ee44d</t>
  </si>
  <si>
    <t>Kadam</t>
  </si>
  <si>
    <t>3521022906550001</t>
  </si>
  <si>
    <t>63e37056-d7d3-11ee-ac36-0242ff9ee44d</t>
  </si>
  <si>
    <t>Kadar</t>
  </si>
  <si>
    <t>3521140806540001</t>
  </si>
  <si>
    <t>3521011307790001</t>
  </si>
  <si>
    <t>SAMBIROBYONG</t>
  </si>
  <si>
    <t>63e329c3-d7d3-11ee-ac36-0242ff9ee44d</t>
  </si>
  <si>
    <t>Kadi</t>
  </si>
  <si>
    <t>3521020404640003</t>
  </si>
  <si>
    <t>63e37427-d7d3-11ee-ac36-0242ff9ee44d</t>
  </si>
  <si>
    <t>KADI NURKHOLIS</t>
  </si>
  <si>
    <t>3521050802600002</t>
  </si>
  <si>
    <t>63e31699-d7d3-11ee-ac36-0242ff9ee44d</t>
  </si>
  <si>
    <t>3521011309840001</t>
  </si>
  <si>
    <t>KADIR</t>
  </si>
  <si>
    <t>Nglegok RT.02 RW.03</t>
  </si>
  <si>
    <t>63e3336f-d7d3-11ee-ac36-0242ff9ee44d</t>
  </si>
  <si>
    <t>Kadiran</t>
  </si>
  <si>
    <t>3521020905700001</t>
  </si>
  <si>
    <t>63e312f1-d7d3-11ee-ac36-0242ff9ee44d</t>
  </si>
  <si>
    <t>KADIYANTO</t>
  </si>
  <si>
    <t>3521012103830003</t>
  </si>
  <si>
    <t>KARANG NONGKO RT 01 RW 04</t>
  </si>
  <si>
    <t>63e3a872-d7d3-11ee-ac36-0242ff9ee44d</t>
  </si>
  <si>
    <t>Kaeran</t>
  </si>
  <si>
    <t>3521080210500002</t>
  </si>
  <si>
    <t>63e35281-d7d3-11ee-ac36-0242ff9ee44d</t>
  </si>
  <si>
    <t>KALIDI</t>
  </si>
  <si>
    <t>3521020705640004</t>
  </si>
  <si>
    <t>63e3a0a4-d7d3-11ee-ac36-0242ff9ee44d</t>
  </si>
  <si>
    <t>KAMDI</t>
  </si>
  <si>
    <t>3521040902550001</t>
  </si>
  <si>
    <t>DUSUN TANON</t>
  </si>
  <si>
    <t>63e3b4d2-d7d3-11ee-ac36-0242ff9ee44d</t>
  </si>
  <si>
    <t>kamdo</t>
  </si>
  <si>
    <t>3521120708460001</t>
  </si>
  <si>
    <t>63e383c2-d7d3-11ee-ac36-0242ff9ee44d</t>
  </si>
  <si>
    <t>KAMHAR</t>
  </si>
  <si>
    <t>3521050412500001</t>
  </si>
  <si>
    <t>63e36439-d7d3-11ee-ac36-0242ff9ee44d</t>
  </si>
  <si>
    <t>Kamidi</t>
  </si>
  <si>
    <t>3521080807730003</t>
  </si>
  <si>
    <t>63e34883-d7d3-11ee-ac36-0242ff9ee44d</t>
  </si>
  <si>
    <t>KAMIDI</t>
  </si>
  <si>
    <t>3521061310660001</t>
  </si>
  <si>
    <t>POJOK 3</t>
  </si>
  <si>
    <t>63e31822-d7d3-11ee-ac36-0242ff9ee44d</t>
  </si>
  <si>
    <t>KAMIN</t>
  </si>
  <si>
    <t>SOMBO RT 05 RW 02</t>
  </si>
  <si>
    <t>63e3394e-d7d3-11ee-ac36-0242ff9ee44d</t>
  </si>
  <si>
    <t>Kamirin</t>
  </si>
  <si>
    <t>3521143006710013</t>
  </si>
  <si>
    <t>63e3482e-d7d3-11ee-ac36-0242ff9ee44d</t>
  </si>
  <si>
    <t>KAMTO</t>
  </si>
  <si>
    <t>3521060912650001</t>
  </si>
  <si>
    <t>63e36364-d7d3-11ee-ac36-0242ff9ee44d</t>
  </si>
  <si>
    <t>Kanang Kurniadin</t>
  </si>
  <si>
    <t>3521022202820004</t>
  </si>
  <si>
    <t>63e3762f-d7d3-11ee-ac36-0242ff9ee44d</t>
  </si>
  <si>
    <t>Kaninyo</t>
  </si>
  <si>
    <t>3521191106680001</t>
  </si>
  <si>
    <t>Kedung Jangan</t>
  </si>
  <si>
    <t>63e32145-d7d3-11ee-ac36-0242ff9ee44d</t>
  </si>
  <si>
    <t>Kanthil</t>
  </si>
  <si>
    <t>3521160101560002</t>
  </si>
  <si>
    <t>63e3be9b-d7d3-11ee-ac36-0242ff9ee44d</t>
  </si>
  <si>
    <t>KARBI</t>
  </si>
  <si>
    <t>3521091006550001</t>
  </si>
  <si>
    <t>3521011509710001</t>
  </si>
  <si>
    <t>63e333ae-d7d3-11ee-ac36-0242ff9ee44d</t>
  </si>
  <si>
    <t>KARDI</t>
  </si>
  <si>
    <t>3521023112440003</t>
  </si>
  <si>
    <t>63e30d49-d7d3-11ee-ac36-0242ff9ee44d</t>
  </si>
  <si>
    <t>Karim</t>
  </si>
  <si>
    <t>3521083011690002</t>
  </si>
  <si>
    <t>Dusun Gedangan Desa Kwadungan Lor</t>
  </si>
  <si>
    <t>63e384e8-d7d3-11ee-ac36-0242ff9ee44d</t>
  </si>
  <si>
    <t>3521011512790001</t>
  </si>
  <si>
    <t>Kariman</t>
  </si>
  <si>
    <t>3521163004680003</t>
  </si>
  <si>
    <t>63e39b1e-d7d3-11ee-ac36-0242ff9ee44d</t>
  </si>
  <si>
    <t>Karimin</t>
  </si>
  <si>
    <t>3521070606650003</t>
  </si>
  <si>
    <t>63e3a1c2-d7d3-11ee-ac36-0242ff9ee44d</t>
  </si>
  <si>
    <t>KARINI</t>
  </si>
  <si>
    <t>3521011601750002</t>
  </si>
  <si>
    <t>3521156412870002</t>
  </si>
  <si>
    <t>63e30d32-d7d3-11ee-ac36-0242ff9ee44d</t>
  </si>
  <si>
    <t>Karjito</t>
  </si>
  <si>
    <t>3521080108640001</t>
  </si>
  <si>
    <t>63e3c8d1-d7d3-11ee-ac36-0242ff9ee44d</t>
  </si>
  <si>
    <t>KARJONO</t>
  </si>
  <si>
    <t>3521100209620004</t>
  </si>
  <si>
    <t>63e39169-d7d3-11ee-ac36-0242ff9ee44d</t>
  </si>
  <si>
    <t>Karmaji</t>
  </si>
  <si>
    <t>3521072112770001</t>
  </si>
  <si>
    <t>63e32159-d7d3-11ee-ac36-0242ff9ee44d</t>
  </si>
  <si>
    <t>Karman</t>
  </si>
  <si>
    <t>3521163006620006</t>
  </si>
  <si>
    <t>63e36ed8-d7d3-11ee-ac36-0242ff9ee44d</t>
  </si>
  <si>
    <t>Karmani</t>
  </si>
  <si>
    <t>3521191304780001</t>
  </si>
  <si>
    <t>63e32b71-d7d3-11ee-ac36-0242ff9ee44d</t>
  </si>
  <si>
    <t>Karmi</t>
  </si>
  <si>
    <t>3521024105380001</t>
  </si>
  <si>
    <t>63e385d3-d7d3-11ee-ac36-0242ff9ee44d</t>
  </si>
  <si>
    <t>karmidi</t>
  </si>
  <si>
    <t>3521123112530011</t>
  </si>
  <si>
    <t>63e3853d-d7d3-11ee-ac36-0242ff9ee44d</t>
  </si>
  <si>
    <t>Karmo Simun</t>
  </si>
  <si>
    <t>3521163006450002</t>
  </si>
  <si>
    <t>63e34e67-d7d3-11ee-ac36-0242ff9ee44d</t>
  </si>
  <si>
    <t>Karmuji</t>
  </si>
  <si>
    <t>3521110610680001</t>
  </si>
  <si>
    <t>63e33418-d7d3-11ee-ac36-0242ff9ee44d</t>
  </si>
  <si>
    <t>KARNI</t>
  </si>
  <si>
    <t>3521021904650001</t>
  </si>
  <si>
    <t>63e3b062-d7d3-11ee-ac36-0242ff9ee44d</t>
  </si>
  <si>
    <t>3521091911720001</t>
  </si>
  <si>
    <t>Dsn Pangkur</t>
  </si>
  <si>
    <t>63e3216e-d7d3-11ee-ac36-0242ff9ee44d</t>
  </si>
  <si>
    <t>Karni</t>
  </si>
  <si>
    <t>3521164211570001</t>
  </si>
  <si>
    <t>63e3776e-d7d3-11ee-ac36-0242ff9ee44d</t>
  </si>
  <si>
    <t>3521051107690001</t>
  </si>
  <si>
    <t>3521012003740001</t>
  </si>
  <si>
    <t>63e30f3a-d7d3-11ee-ac36-0242ff9ee44d</t>
  </si>
  <si>
    <t>Karni Siswawijaya</t>
  </si>
  <si>
    <t>3521012009720001</t>
  </si>
  <si>
    <t>3521081901540003</t>
  </si>
  <si>
    <t>63e32e46-d7d3-11ee-ac36-0242ff9ee44d</t>
  </si>
  <si>
    <t>KARNI WIANTO</t>
  </si>
  <si>
    <t>3521023003750001</t>
  </si>
  <si>
    <t>63e32927-d7d3-11ee-ac36-0242ff9ee44d</t>
  </si>
  <si>
    <t>KARNITO</t>
  </si>
  <si>
    <t>3521020605770001</t>
  </si>
  <si>
    <t>63e32a08-d7d3-11ee-ac36-0242ff9ee44d</t>
  </si>
  <si>
    <t>Karno</t>
  </si>
  <si>
    <t>3521022811720001</t>
  </si>
  <si>
    <t>63e32a32-d7d3-11ee-ac36-0242ff9ee44d</t>
  </si>
  <si>
    <t>3521012205720001</t>
  </si>
  <si>
    <t>3521020509700001</t>
  </si>
  <si>
    <t>63e33484-d7d3-11ee-ac36-0242ff9ee44d</t>
  </si>
  <si>
    <t>KARSIANTO</t>
  </si>
  <si>
    <t>3521020303730002</t>
  </si>
  <si>
    <t>63e31184-d7d3-11ee-ac36-0242ff9ee44d</t>
  </si>
  <si>
    <t>Karsidi</t>
  </si>
  <si>
    <t>3521081105660002</t>
  </si>
  <si>
    <t>63e3aaa3-d7d3-11ee-ac36-0242ff9ee44d</t>
  </si>
  <si>
    <t>KARSUN</t>
  </si>
  <si>
    <t>3521012206750001</t>
  </si>
  <si>
    <t>3521041516200002</t>
  </si>
  <si>
    <t>63e3448a-d7d3-11ee-ac36-0242ff9ee44d</t>
  </si>
  <si>
    <t>KARTINI</t>
  </si>
  <si>
    <t>3521064702830001</t>
  </si>
  <si>
    <t>63e31286-d7d3-11ee-ac36-0242ff9ee44d</t>
  </si>
  <si>
    <t>KARTO WAGIMIN</t>
  </si>
  <si>
    <t>NGADILUWIH RT 03/03 DESA WONOSARI KEC. SINE</t>
  </si>
  <si>
    <t>63e38bac-d7d3-11ee-ac36-0242ff9ee44d</t>
  </si>
  <si>
    <t>Kartono</t>
  </si>
  <si>
    <t>3521071907730004</t>
  </si>
  <si>
    <t>63e337d2-d7d3-11ee-ac36-0242ff9ee44d</t>
  </si>
  <si>
    <t>Karyadi</t>
  </si>
  <si>
    <t>6208010105720001</t>
  </si>
  <si>
    <t>63e33459-d7d3-11ee-ac36-0242ff9ee44d</t>
  </si>
  <si>
    <t>KARYANTO</t>
  </si>
  <si>
    <t>3521060808770004</t>
  </si>
  <si>
    <t>Dsn. DINDEN II Desa. DINDEN</t>
  </si>
  <si>
    <t>3521012301820002</t>
  </si>
  <si>
    <t>63e38669-d7d3-11ee-ac36-0242ff9ee44d</t>
  </si>
  <si>
    <t>karyanto</t>
  </si>
  <si>
    <t>3521122901710001</t>
  </si>
  <si>
    <t>63e35f11-d7d3-11ee-ac36-0242ff9ee44d</t>
  </si>
  <si>
    <t>Karyatin</t>
  </si>
  <si>
    <t>3521020404730001</t>
  </si>
  <si>
    <t>63e38aac-d7d3-11ee-ac36-0242ff9ee44d</t>
  </si>
  <si>
    <t>3521012308690001</t>
  </si>
  <si>
    <t>Kasbolah</t>
  </si>
  <si>
    <t>3521073012630007</t>
  </si>
  <si>
    <t>63e32911-d7d3-11ee-ac36-0242ff9ee44d</t>
  </si>
  <si>
    <t>Kasdi</t>
  </si>
  <si>
    <t>3521012308810002</t>
  </si>
  <si>
    <t>3521022907680001</t>
  </si>
  <si>
    <t>63e37088-d7d3-11ee-ac36-0242ff9ee44d</t>
  </si>
  <si>
    <t>KASDI</t>
  </si>
  <si>
    <t>3521152112720001</t>
  </si>
  <si>
    <t>RT 01 RW 06 DSN KROMPOL</t>
  </si>
  <si>
    <t>63e390ff-d7d3-11ee-ac36-0242ff9ee44d</t>
  </si>
  <si>
    <t>Kasdi Eko Winarno</t>
  </si>
  <si>
    <t>3521070708630003</t>
  </si>
  <si>
    <t>63e33763-d7d3-11ee-ac36-0242ff9ee44d</t>
  </si>
  <si>
    <t>KASIDI</t>
  </si>
  <si>
    <t>3521021010660004</t>
  </si>
  <si>
    <t>63e34100-d7d3-11ee-ac36-0242ff9ee44d</t>
  </si>
  <si>
    <t>KASIHATI</t>
  </si>
  <si>
    <t>3521024612800003</t>
  </si>
  <si>
    <t>63e3154b-d7d3-11ee-ac36-0242ff9ee44d</t>
  </si>
  <si>
    <t>Kasipan</t>
  </si>
  <si>
    <t>3521160903630002</t>
  </si>
  <si>
    <t>63e326f4-d7d3-11ee-ac36-0242ff9ee44d</t>
  </si>
  <si>
    <t>Kasiran</t>
  </si>
  <si>
    <t>3521140709570001</t>
  </si>
  <si>
    <t>dsn gerung</t>
  </si>
  <si>
    <t>63e385fc-d7d3-11ee-ac36-0242ff9ee44d</t>
  </si>
  <si>
    <t>KASIRAN</t>
  </si>
  <si>
    <t>3521052109520003</t>
  </si>
  <si>
    <t>63e372bf-d7d3-11ee-ac36-0242ff9ee44d</t>
  </si>
  <si>
    <t>Kasiyem</t>
  </si>
  <si>
    <t>3521194112530003</t>
  </si>
  <si>
    <t>Tarub</t>
  </si>
  <si>
    <t>63e352d6-d7d3-11ee-ac36-0242ff9ee44d</t>
  </si>
  <si>
    <t>KASIYONO</t>
  </si>
  <si>
    <t>3521061704660001</t>
  </si>
  <si>
    <t>63e31c7f-d7d3-11ee-ac36-0242ff9ee44d</t>
  </si>
  <si>
    <t>KASMANTO</t>
  </si>
  <si>
    <t>KRAJAN WETAN RT 4 RW 4 SINE</t>
  </si>
  <si>
    <t>63e3bcae-d7d3-11ee-ac36-0242ff9ee44d</t>
  </si>
  <si>
    <t>Kasmi</t>
  </si>
  <si>
    <t>3521167112500004</t>
  </si>
  <si>
    <t>63e337a7-d7d3-11ee-ac36-0242ff9ee44d</t>
  </si>
  <si>
    <t>KASMI</t>
  </si>
  <si>
    <t>3521025606550004</t>
  </si>
  <si>
    <t>63e37701-d7d3-11ee-ac36-0242ff9ee44d</t>
  </si>
  <si>
    <t>Kasmin</t>
  </si>
  <si>
    <t>3521190501560001</t>
  </si>
  <si>
    <t>63e3417b-d7d3-11ee-ac36-0242ff9ee44d</t>
  </si>
  <si>
    <t>KASMINAH</t>
  </si>
  <si>
    <t>3521024202580002</t>
  </si>
  <si>
    <t>63e31560-d7d3-11ee-ac36-0242ff9ee44d</t>
  </si>
  <si>
    <t>Kasni</t>
  </si>
  <si>
    <t>3521165902500001</t>
  </si>
  <si>
    <t>63e34054-d7d3-11ee-ac36-0242ff9ee44d</t>
  </si>
  <si>
    <t>KASNU</t>
  </si>
  <si>
    <t>3521012708790001</t>
  </si>
  <si>
    <t>3521110810700004</t>
  </si>
  <si>
    <t>63e30bf3-d7d3-11ee-ac36-0242ff9ee44d</t>
  </si>
  <si>
    <t>Kastono</t>
  </si>
  <si>
    <t>3521012708870001</t>
  </si>
  <si>
    <t>3521080108600003</t>
  </si>
  <si>
    <t>Dusun Padas II Desa Padas</t>
  </si>
  <si>
    <t>63e31074-d7d3-11ee-ac36-0242ff9ee44d</t>
  </si>
  <si>
    <t>Kaswadi</t>
  </si>
  <si>
    <t>3521080203700001</t>
  </si>
  <si>
    <t>63e32183-d7d3-11ee-ac36-0242ff9ee44d</t>
  </si>
  <si>
    <t>Katiman</t>
  </si>
  <si>
    <t>3521163006640007</t>
  </si>
  <si>
    <t>63e385a7-d7d3-11ee-ac36-0242ff9ee44d</t>
  </si>
  <si>
    <t>3521160204540001</t>
  </si>
  <si>
    <t>63e32197-d7d3-11ee-ac36-0242ff9ee44d</t>
  </si>
  <si>
    <t>Katimin</t>
  </si>
  <si>
    <t>3521161909720002</t>
  </si>
  <si>
    <t>63e397f7-d7d3-11ee-ac36-0242ff9ee44d</t>
  </si>
  <si>
    <t>Katirah</t>
  </si>
  <si>
    <t>3521117006680003</t>
  </si>
  <si>
    <t>63e367e1-d7d3-11ee-ac36-0242ff9ee44d</t>
  </si>
  <si>
    <t>Katon Yuwono</t>
  </si>
  <si>
    <t>3521081903710002</t>
  </si>
  <si>
    <t>Dusun Tungkulrejo I &amp; II</t>
  </si>
  <si>
    <t>63e398b3-d7d3-11ee-ac36-0242ff9ee44d</t>
  </si>
  <si>
    <t>Kawirin</t>
  </si>
  <si>
    <t>3521073006630036</t>
  </si>
  <si>
    <t>3521013112600033</t>
  </si>
  <si>
    <t>63e362bf-d7d3-11ee-ac36-0242ff9ee44d</t>
  </si>
  <si>
    <t>Kawito</t>
  </si>
  <si>
    <t>3521083112630053</t>
  </si>
  <si>
    <t>Dusun Oto-oto Desa Tambakromo</t>
  </si>
  <si>
    <t>63e33287-d7d3-11ee-ac36-0242ff9ee44d</t>
  </si>
  <si>
    <t>KEMIS WIBOWO</t>
  </si>
  <si>
    <t>3521021005750003</t>
  </si>
  <si>
    <t>63e39836-d7d3-11ee-ac36-0242ff9ee44d</t>
  </si>
  <si>
    <t>Kenang</t>
  </si>
  <si>
    <t>3521112310650001</t>
  </si>
  <si>
    <t>63e348af-d7d3-11ee-ac36-0242ff9ee44d</t>
  </si>
  <si>
    <t>KHOIRONI</t>
  </si>
  <si>
    <t>3521112304780001</t>
  </si>
  <si>
    <t>63e3cff7-d7d3-11ee-ac36-0242ff9ee44d</t>
  </si>
  <si>
    <t>Khoirul Anam</t>
  </si>
  <si>
    <t>3521014108990002</t>
  </si>
  <si>
    <t>3521081303980001</t>
  </si>
  <si>
    <t>63e34607-d7d3-11ee-ac36-0242ff9ee44d</t>
  </si>
  <si>
    <t>KHOIRUL ANWAR</t>
  </si>
  <si>
    <t>3521014109840002</t>
  </si>
  <si>
    <t>3521062806800001</t>
  </si>
  <si>
    <t>63e31574-d7d3-11ee-ac36-0242ff9ee44d</t>
  </si>
  <si>
    <t>Khoirul Anwar</t>
  </si>
  <si>
    <t>3521160108730003</t>
  </si>
  <si>
    <t>63e3c927-d7d3-11ee-ac36-0242ff9ee44d</t>
  </si>
  <si>
    <t>3521014305940001</t>
  </si>
  <si>
    <t>3521101003710005</t>
  </si>
  <si>
    <t>63e3b4e7-d7d3-11ee-ac36-0242ff9ee44d</t>
  </si>
  <si>
    <t>KHOIRUL MASHUDA</t>
  </si>
  <si>
    <t>3521122610850001</t>
  </si>
  <si>
    <t>63e3c764-d7d3-11ee-ac36-0242ff9ee44d</t>
  </si>
  <si>
    <t>KHOIRUL MUKMININ</t>
  </si>
  <si>
    <t>3521102404790001</t>
  </si>
  <si>
    <t>63e39efb-d7d3-11ee-ac36-0242ff9ee44d</t>
  </si>
  <si>
    <t>KHOIRUL SHOLEH</t>
  </si>
  <si>
    <t>3521132408630002</t>
  </si>
  <si>
    <t>63e3c1e0-d7d3-11ee-ac36-0242ff9ee44d</t>
  </si>
  <si>
    <t>KHOIRUL SHOLIKIN</t>
  </si>
  <si>
    <t>3521101303800002</t>
  </si>
  <si>
    <t>63e35b5c-d7d3-11ee-ac36-0242ff9ee44d</t>
  </si>
  <si>
    <t>KHOIRUS SODIQ A</t>
  </si>
  <si>
    <t>3521015407790003</t>
  </si>
  <si>
    <t>3521031606780001</t>
  </si>
  <si>
    <t>Dusun Ngijo Desa Macanan Kec. Jogorogo</t>
  </si>
  <si>
    <t>63e34ca9-d7d3-11ee-ac36-0242ff9ee44d</t>
  </si>
  <si>
    <t>Khomarudin</t>
  </si>
  <si>
    <t>3521023006680008</t>
  </si>
  <si>
    <t>63e3c3be-d7d3-11ee-ac36-0242ff9ee44d</t>
  </si>
  <si>
    <t>KIMUN</t>
  </si>
  <si>
    <t>3521015502840005</t>
  </si>
  <si>
    <t>3521122504720001</t>
  </si>
  <si>
    <t>63e345c5-d7d3-11ee-ac36-0242ff9ee44d</t>
  </si>
  <si>
    <t>Kisro</t>
  </si>
  <si>
    <t>3521141103660002</t>
  </si>
  <si>
    <t>63e3314c-d7d3-11ee-ac36-0242ff9ee44d</t>
  </si>
  <si>
    <t>KOHAR</t>
  </si>
  <si>
    <t>3521015804880001</t>
  </si>
  <si>
    <t>3521060710710002</t>
  </si>
  <si>
    <t>63e3ad79-d7d3-11ee-ac36-0242ff9ee44d</t>
  </si>
  <si>
    <t>KOKOK WIBOWO</t>
  </si>
  <si>
    <t>3521042903940001</t>
  </si>
  <si>
    <t>RT. 07 RW.03 SAMBI</t>
  </si>
  <si>
    <t>63e381c1-d7d3-11ee-ac36-0242ff9ee44d</t>
  </si>
  <si>
    <t>KOMARI</t>
  </si>
  <si>
    <t>3521016608810001</t>
  </si>
  <si>
    <t>3521053003650001</t>
  </si>
  <si>
    <t>63e3413d-d7d3-11ee-ac36-0242ff9ee44d</t>
  </si>
  <si>
    <t>Komarudin</t>
  </si>
  <si>
    <t>3521142303700001</t>
  </si>
  <si>
    <t>63e3aa77-d7d3-11ee-ac36-0242ff9ee44d</t>
  </si>
  <si>
    <t>3521020101600005</t>
  </si>
  <si>
    <t>KOMARUDIN</t>
  </si>
  <si>
    <t>3521041306600004</t>
  </si>
  <si>
    <t>Dusun Bedingin</t>
  </si>
  <si>
    <t>63e391bc-d7d3-11ee-ac36-0242ff9ee44d</t>
  </si>
  <si>
    <t>Konipan</t>
  </si>
  <si>
    <t>3521071001710002</t>
  </si>
  <si>
    <t>3521020104760001</t>
  </si>
  <si>
    <t>Desa Campurasri</t>
  </si>
  <si>
    <t>63e31875-d7d3-11ee-ac36-0242ff9ee44d</t>
  </si>
  <si>
    <t>KRISTIONO</t>
  </si>
  <si>
    <t>PENDOWO RT 10 / 02</t>
  </si>
  <si>
    <t>63e39f11-d7d3-11ee-ac36-0242ff9ee44d</t>
  </si>
  <si>
    <t>3521020107650019</t>
  </si>
  <si>
    <t>KUN MASROKATIN</t>
  </si>
  <si>
    <t>3521046611840001</t>
  </si>
  <si>
    <t>63e3435e-d7d3-11ee-ac36-0242ff9ee44d</t>
  </si>
  <si>
    <t>Kuslan</t>
  </si>
  <si>
    <t>3521141111750001</t>
  </si>
  <si>
    <t>63e36f71-d7d3-11ee-ac36-0242ff9ee44d</t>
  </si>
  <si>
    <t>3521190903650002</t>
  </si>
  <si>
    <t>Banjar</t>
  </si>
  <si>
    <t>63e36f9c-d7d3-11ee-ac36-0242ff9ee44d</t>
  </si>
  <si>
    <t>3521141211750002</t>
  </si>
  <si>
    <t>3521020110530001</t>
  </si>
  <si>
    <t>63e32891-d7d3-11ee-ac36-0242ff9ee44d</t>
  </si>
  <si>
    <t>KUSMINI</t>
  </si>
  <si>
    <t>3521026507670001</t>
  </si>
  <si>
    <t>63e394a4-d7d3-11ee-ac36-0242ff9ee44d</t>
  </si>
  <si>
    <t>Kusnadi</t>
  </si>
  <si>
    <t>3521161210670001</t>
  </si>
  <si>
    <t>3521020110640005</t>
  </si>
  <si>
    <t>63e31716-d7d3-11ee-ac36-0242ff9ee44d</t>
  </si>
  <si>
    <t>Kusnan</t>
  </si>
  <si>
    <t>3521190906650002</t>
  </si>
  <si>
    <t>3521020111560001</t>
  </si>
  <si>
    <t>Tawun III</t>
  </si>
  <si>
    <t>63e30db2-d7d3-11ee-ac36-0242ff9ee44d</t>
  </si>
  <si>
    <t>3521082708700004</t>
  </si>
  <si>
    <t>Dusun Kiteran Desa Kwadungan Lor</t>
  </si>
  <si>
    <t>63e30d1d-d7d3-11ee-ac36-0242ff9ee44d</t>
  </si>
  <si>
    <t>Kusni</t>
  </si>
  <si>
    <t>3521082805700002</t>
  </si>
  <si>
    <t>63e39115-d7d3-11ee-ac36-0242ff9ee44d</t>
  </si>
  <si>
    <t>Kusno</t>
  </si>
  <si>
    <t>3521020111600002</t>
  </si>
  <si>
    <t>3521071007540001</t>
  </si>
  <si>
    <t>63e30c30-d7d3-11ee-ac36-0242ff9ee44d</t>
  </si>
  <si>
    <t>Kuswanto</t>
  </si>
  <si>
    <t>3521081303650001</t>
  </si>
  <si>
    <t>3521020112550002</t>
  </si>
  <si>
    <t>Dusun kerso Desa Pacing</t>
  </si>
  <si>
    <t>63e3c1c8-d7d3-11ee-ac36-0242ff9ee44d</t>
  </si>
  <si>
    <t>LAMAN</t>
  </si>
  <si>
    <t>3521121203780001</t>
  </si>
  <si>
    <t>63e3248d-d7d3-11ee-ac36-0242ff9ee44d</t>
  </si>
  <si>
    <t>3521020112630001</t>
  </si>
  <si>
    <t>Lamidi</t>
  </si>
  <si>
    <t>3521142409850001</t>
  </si>
  <si>
    <t>63e37605-d7d3-11ee-ac36-0242ff9ee44d</t>
  </si>
  <si>
    <t>3521020112680003</t>
  </si>
  <si>
    <t>LAMIDI</t>
  </si>
  <si>
    <t>3521050307530001</t>
  </si>
  <si>
    <t>63e39a8b-d7d3-11ee-ac36-0242ff9ee44d</t>
  </si>
  <si>
    <t>3521071110670003</t>
  </si>
  <si>
    <t>3521020112790005</t>
  </si>
  <si>
    <t>63e370f5-d7d3-11ee-ac36-0242ff9ee44d</t>
  </si>
  <si>
    <t>3521020201600002</t>
  </si>
  <si>
    <t>3521150504760002</t>
  </si>
  <si>
    <t>63e30f64-d7d3-11ee-ac36-0242ff9ee44d</t>
  </si>
  <si>
    <t>Lamidjan</t>
  </si>
  <si>
    <t>3521083005580002</t>
  </si>
  <si>
    <t>63e36f5c-d7d3-11ee-ac36-0242ff9ee44d</t>
  </si>
  <si>
    <t>Lamijan</t>
  </si>
  <si>
    <t>3521020202670003</t>
  </si>
  <si>
    <t>3521190506860004</t>
  </si>
  <si>
    <t>63e3bef9-d7d3-11ee-ac36-0242ff9ee44d</t>
  </si>
  <si>
    <t>LAMIN</t>
  </si>
  <si>
    <t>3521092508580003</t>
  </si>
  <si>
    <t>63e33403-d7d3-11ee-ac36-0242ff9ee44d</t>
  </si>
  <si>
    <t>Lamin Jayangulama</t>
  </si>
  <si>
    <t>3521140110420006</t>
  </si>
  <si>
    <t>POHKONYAL 1</t>
  </si>
  <si>
    <t>63e373ce-d7d3-11ee-ac36-0242ff9ee44d</t>
  </si>
  <si>
    <t>Lamiran</t>
  </si>
  <si>
    <t>3521192306640001</t>
  </si>
  <si>
    <t>Grenjeng</t>
  </si>
  <si>
    <t>63e39a23-d7d3-11ee-ac36-0242ff9ee44d</t>
  </si>
  <si>
    <t>LAMIRAN</t>
  </si>
  <si>
    <t>3521041912800001</t>
  </si>
  <si>
    <t>RT. 01 RW. 02 TOWO</t>
  </si>
  <si>
    <t>63e341e4-d7d3-11ee-ac36-0242ff9ee44d</t>
  </si>
  <si>
    <t>LAMIYEM</t>
  </si>
  <si>
    <t>3521024502610001</t>
  </si>
  <si>
    <t>63e31d8e-d7d3-11ee-ac36-0242ff9ee44d</t>
  </si>
  <si>
    <t>Lamto</t>
  </si>
  <si>
    <t>3521190509780001</t>
  </si>
  <si>
    <t>63e369f3-d7d3-11ee-ac36-0242ff9ee44d</t>
  </si>
  <si>
    <t>3521020207800004</t>
  </si>
  <si>
    <t>Langgeng</t>
  </si>
  <si>
    <t>3521121505800004</t>
  </si>
  <si>
    <t>kerjo</t>
  </si>
  <si>
    <t>63e39521-d7d3-11ee-ac36-0242ff9ee44d</t>
  </si>
  <si>
    <t>Langgeng Prayitno</t>
  </si>
  <si>
    <t>3521081507790006</t>
  </si>
  <si>
    <t>Dusun Bolo II Desa Sambiroto</t>
  </si>
  <si>
    <t>63e3c3d3-d7d3-11ee-ac36-0242ff9ee44d</t>
  </si>
  <si>
    <t>LANJAR</t>
  </si>
  <si>
    <t>3521020208800005</t>
  </si>
  <si>
    <t>3521122802650001</t>
  </si>
  <si>
    <t>63e38808-d7d3-11ee-ac36-0242ff9ee44d</t>
  </si>
  <si>
    <t>Lantip</t>
  </si>
  <si>
    <t>3521071304730002</t>
  </si>
  <si>
    <t>63e30a97-d7d3-11ee-ac36-0242ff9ee44d</t>
  </si>
  <si>
    <t>LASIM</t>
  </si>
  <si>
    <t>3521081409720001</t>
  </si>
  <si>
    <t>RT 001 RW 006 DESA TUNGKULREJO KECAMATAN PADAS</t>
  </si>
  <si>
    <t>63e3b5a6-d7d3-11ee-ac36-0242ff9ee44d</t>
  </si>
  <si>
    <t>LASIMAN</t>
  </si>
  <si>
    <t>3521101603760007</t>
  </si>
  <si>
    <t>63e334c2-d7d3-11ee-ac36-0242ff9ee44d</t>
  </si>
  <si>
    <t>LASIMIN</t>
  </si>
  <si>
    <t>3521061108590001</t>
  </si>
  <si>
    <t>3521020211660003</t>
  </si>
  <si>
    <t>63e38ed0-d7d3-11ee-ac36-0242ff9ee44d</t>
  </si>
  <si>
    <t>Lasimun</t>
  </si>
  <si>
    <t>3521071105670001</t>
  </si>
  <si>
    <t>63e36811-d7d3-11ee-ac36-0242ff9ee44d</t>
  </si>
  <si>
    <t>3521081205770001</t>
  </si>
  <si>
    <t>3521020301510002</t>
  </si>
  <si>
    <t>63e3bee2-d7d3-11ee-ac36-0242ff9ee44d</t>
  </si>
  <si>
    <t>Lasiyem</t>
  </si>
  <si>
    <t>3521165103380001</t>
  </si>
  <si>
    <t>63e3233d-d7d3-11ee-ac36-0242ff9ee44d</t>
  </si>
  <si>
    <t>Lasmiatun</t>
  </si>
  <si>
    <t>3521144207700001</t>
  </si>
  <si>
    <t>63e31836-d7d3-11ee-ac36-0242ff9ee44d</t>
  </si>
  <si>
    <t>LASMIJO</t>
  </si>
  <si>
    <t>KESUMOREJO RT 08/02</t>
  </si>
  <si>
    <t>63e334d7-d7d3-11ee-ac36-0242ff9ee44d</t>
  </si>
  <si>
    <t>LASMINI</t>
  </si>
  <si>
    <t>3521024208870001</t>
  </si>
  <si>
    <t>63e39b49-d7d3-11ee-ac36-0242ff9ee44d</t>
  </si>
  <si>
    <t>3521154410830002</t>
  </si>
  <si>
    <t>63e338e6-d7d3-11ee-ac36-0242ff9ee44d</t>
  </si>
  <si>
    <t>3521024508710005</t>
  </si>
  <si>
    <t>63e340ea-d7d3-11ee-ac36-0242ff9ee44d</t>
  </si>
  <si>
    <t>Lasno</t>
  </si>
  <si>
    <t>3521020304440003</t>
  </si>
  <si>
    <t>3521171204850001</t>
  </si>
  <si>
    <t>Dusun Jenggrik RT.03/RW.01 Desa Bangunrejo</t>
  </si>
  <si>
    <t>63e394b9-d7d3-11ee-ac36-0242ff9ee44d</t>
  </si>
  <si>
    <t>Lasono</t>
  </si>
  <si>
    <t>3521161102690002</t>
  </si>
  <si>
    <t>63e3a8c9-d7d3-11ee-ac36-0242ff9ee44d</t>
  </si>
  <si>
    <t>LATRININGSIH</t>
  </si>
  <si>
    <t>3521064908860001</t>
  </si>
  <si>
    <t>63e34000-d7d3-11ee-ac36-0242ff9ee44d</t>
  </si>
  <si>
    <t>LEDUNG SUKONO</t>
  </si>
  <si>
    <t>3521062410620001</t>
  </si>
  <si>
    <t>63e36987-d7d3-11ee-ac36-0242ff9ee44d</t>
  </si>
  <si>
    <t>Legianto</t>
  </si>
  <si>
    <t>3521080307700001</t>
  </si>
  <si>
    <t>63e39213-d7d3-11ee-ac36-0242ff9ee44d</t>
  </si>
  <si>
    <t>Lilik Sugiarti</t>
  </si>
  <si>
    <t>3521074909760001</t>
  </si>
  <si>
    <t>63e31d50-d7d3-11ee-ac36-0242ff9ee44d</t>
  </si>
  <si>
    <t>LINA DWI PUAS TUTIK</t>
  </si>
  <si>
    <t>Duwet RT 01 RW 04 Sumberejo</t>
  </si>
  <si>
    <t>63e36414-d7d3-11ee-ac36-0242ff9ee44d</t>
  </si>
  <si>
    <t>Linda Puspitasari</t>
  </si>
  <si>
    <t>3521035004960001</t>
  </si>
  <si>
    <t>63e37ee8-d7d3-11ee-ac36-0242ff9ee44d</t>
  </si>
  <si>
    <t>LINGGA DEVIANA BELA</t>
  </si>
  <si>
    <t>3521126210980002</t>
  </si>
  <si>
    <t>63e3b678-d7d3-11ee-ac36-0242ff9ee44d</t>
  </si>
  <si>
    <t>Listiyo</t>
  </si>
  <si>
    <t>3521093101690002</t>
  </si>
  <si>
    <t>63e338d0-d7d3-11ee-ac36-0242ff9ee44d</t>
  </si>
  <si>
    <t>LISTIYORINI</t>
  </si>
  <si>
    <t>3521020306650001</t>
  </si>
  <si>
    <t>Tulakan Kulon RT 01/09</t>
  </si>
  <si>
    <t>63e337bd-d7d3-11ee-ac36-0242ff9ee44d</t>
  </si>
  <si>
    <t>LISTYO SUPRAPTO</t>
  </si>
  <si>
    <t>3521021104620001</t>
  </si>
  <si>
    <t>63e3a973-d7d3-11ee-ac36-0242ff9ee44d</t>
  </si>
  <si>
    <t>LUKMAN KARIM</t>
  </si>
  <si>
    <t>3521020307310001</t>
  </si>
  <si>
    <t>3521040506790004</t>
  </si>
  <si>
    <t>63e31b82-d7d3-11ee-ac36-0242ff9ee44d</t>
  </si>
  <si>
    <t>LULUK SUNARTI</t>
  </si>
  <si>
    <t>Krajan Wetan RT 03 RW 01 Sine</t>
  </si>
  <si>
    <t>63e3489a-d7d3-11ee-ac36-0242ff9ee44d</t>
  </si>
  <si>
    <t>LUSIANA ARIE SUSANTI</t>
  </si>
  <si>
    <t>3521020307500003</t>
  </si>
  <si>
    <t>3521067108870001</t>
  </si>
  <si>
    <t>63e3cb19-d7d3-11ee-ac36-0242ff9ee44d</t>
  </si>
  <si>
    <t>Lutfiah</t>
  </si>
  <si>
    <t>63e3c2d7-d7d3-11ee-ac36-0242ff9ee44d</t>
  </si>
  <si>
    <t>M Tarto</t>
  </si>
  <si>
    <t>3521020307610001</t>
  </si>
  <si>
    <t>3521121001780006</t>
  </si>
  <si>
    <t>63e3c868-d7d3-11ee-ac36-0242ff9ee44d</t>
  </si>
  <si>
    <t>M ZAINURI</t>
  </si>
  <si>
    <t>3521100601650002</t>
  </si>
  <si>
    <t>63e3ab8f-d7d3-11ee-ac36-0242ff9ee44d</t>
  </si>
  <si>
    <t>M. KHOIRI</t>
  </si>
  <si>
    <t>3521040409650003</t>
  </si>
  <si>
    <t>Dusun Kepuh</t>
  </si>
  <si>
    <t>63e36a09-d7d3-11ee-ac36-0242ff9ee44d</t>
  </si>
  <si>
    <t>M. Zainudin</t>
  </si>
  <si>
    <t>3521121209580002</t>
  </si>
  <si>
    <t>mloso</t>
  </si>
  <si>
    <t>63e3aef8-d7d3-11ee-ac36-0242ff9ee44d</t>
  </si>
  <si>
    <t>MA'SUM</t>
  </si>
  <si>
    <t>3521040711660001</t>
  </si>
  <si>
    <t>3521020310510002</t>
  </si>
  <si>
    <t>RT. 04 RW. 05 PENTHUKPELEM</t>
  </si>
  <si>
    <t>63e3a99d-d7d3-11ee-ac36-0242ff9ee44d</t>
  </si>
  <si>
    <t>Machfud</t>
  </si>
  <si>
    <t>3521130503640002</t>
  </si>
  <si>
    <t>63e398f1-d7d3-11ee-ac36-0242ff9ee44d</t>
  </si>
  <si>
    <t>Madi</t>
  </si>
  <si>
    <t>3521073112660014</t>
  </si>
  <si>
    <t>63e3ce6a-d7d3-11ee-ac36-0242ff9ee44d</t>
  </si>
  <si>
    <t>Madi utomo</t>
  </si>
  <si>
    <t>3521052505860002</t>
  </si>
  <si>
    <t>63e3cc62-d7d3-11ee-ac36-0242ff9ee44d</t>
  </si>
  <si>
    <t>63e39b60-d7d3-11ee-ac36-0242ff9ee44d</t>
  </si>
  <si>
    <t>MADIYONO</t>
  </si>
  <si>
    <t>3521020312690002</t>
  </si>
  <si>
    <t>3521062401770001</t>
  </si>
  <si>
    <t>63e3593b-d7d3-11ee-ac36-0242ff9ee44d</t>
  </si>
  <si>
    <t>MAGHFUR ALIF</t>
  </si>
  <si>
    <t>3521031606860005</t>
  </si>
  <si>
    <t>DUSUN JUMOG DESA MACANAN KEC. JOGOROGO</t>
  </si>
  <si>
    <t>63e3ae24-d7d3-11ee-ac36-0242ff9ee44d</t>
  </si>
  <si>
    <t>MAHMUDA</t>
  </si>
  <si>
    <t>3521020403680002</t>
  </si>
  <si>
    <t>3521040905770001</t>
  </si>
  <si>
    <t>RT. 03 RW. 02 JETAK</t>
  </si>
  <si>
    <t>63e33812-d7d3-11ee-ac36-0242ff9ee44d</t>
  </si>
  <si>
    <t>MAKNO</t>
  </si>
  <si>
    <t>63e3b7f5-d7d3-11ee-ac36-0242ff9ee44d</t>
  </si>
  <si>
    <t>MAKSUM</t>
  </si>
  <si>
    <t>3521040610710001</t>
  </si>
  <si>
    <t>63e3428e-d7d3-11ee-ac36-0242ff9ee44d</t>
  </si>
  <si>
    <t>MAMIK SUTARMI</t>
  </si>
  <si>
    <t>3521024507510005</t>
  </si>
  <si>
    <t>63e34db9-d7d3-11ee-ac36-0242ff9ee44d</t>
  </si>
  <si>
    <t>Mardi</t>
  </si>
  <si>
    <t>3521110402620003</t>
  </si>
  <si>
    <t>63e32e06-d7d3-11ee-ac36-0242ff9ee44d</t>
  </si>
  <si>
    <t>MARDI</t>
  </si>
  <si>
    <t>3521170203510001</t>
  </si>
  <si>
    <t>63e32e84-d7d3-11ee-ac36-0242ff9ee44d</t>
  </si>
  <si>
    <t>63e316ae-d7d3-11ee-ac36-0242ff9ee44d</t>
  </si>
  <si>
    <t>3521191804670001</t>
  </si>
  <si>
    <t>Beton, Tawun</t>
  </si>
  <si>
    <t>63e3131a-d7d3-11ee-ac36-0242ff9ee44d</t>
  </si>
  <si>
    <t>MARDIYANTO</t>
  </si>
  <si>
    <t>BEJEN RT 02 RW 03 PANDANSARI</t>
  </si>
  <si>
    <t>63e328e5-d7d3-11ee-ac36-0242ff9ee44d</t>
  </si>
  <si>
    <t>MARDIYONO</t>
  </si>
  <si>
    <t>3521020504830003</t>
  </si>
  <si>
    <t>63e3abf8-d7d3-11ee-ac36-0242ff9ee44d</t>
  </si>
  <si>
    <t>MARGO SETIO UTOMO</t>
  </si>
  <si>
    <t>3521061603870001</t>
  </si>
  <si>
    <t>63e33851-d7d3-11ee-ac36-0242ff9ee44d</t>
  </si>
  <si>
    <t>MARGONO</t>
  </si>
  <si>
    <t>3521020405700002</t>
  </si>
  <si>
    <t>63e3c36a-d7d3-11ee-ac36-0242ff9ee44d</t>
  </si>
  <si>
    <t>MARINEM</t>
  </si>
  <si>
    <t>3521126205770002</t>
  </si>
  <si>
    <t>63e3c45f-d7d3-11ee-ac36-0242ff9ee44d</t>
  </si>
  <si>
    <t>MARIONO</t>
  </si>
  <si>
    <t>3521102104740002</t>
  </si>
  <si>
    <t>63e3af7f-d7d3-11ee-ac36-0242ff9ee44d</t>
  </si>
  <si>
    <t>3521020406710002</t>
  </si>
  <si>
    <t>Mariyadi</t>
  </si>
  <si>
    <t>3521130111820001</t>
  </si>
  <si>
    <t>63e3ada3-d7d3-11ee-ac36-0242ff9ee44d</t>
  </si>
  <si>
    <t>MARIYAM</t>
  </si>
  <si>
    <t>3521046308710001</t>
  </si>
  <si>
    <t>RT. 02 RW. 03 SAMBI</t>
  </si>
  <si>
    <t>63e35877-d7d3-11ee-ac36-0242ff9ee44d</t>
  </si>
  <si>
    <t>MARIYANTO</t>
  </si>
  <si>
    <t>3521061310770001</t>
  </si>
  <si>
    <t>63e39db4-d7d3-11ee-ac36-0242ff9ee44d</t>
  </si>
  <si>
    <t>Mariyo</t>
  </si>
  <si>
    <t>3521130101720005</t>
  </si>
  <si>
    <t>63e37efd-d7d3-11ee-ac36-0242ff9ee44d</t>
  </si>
  <si>
    <t>MARIYUN</t>
  </si>
  <si>
    <t>3521051504650002</t>
  </si>
  <si>
    <t>63e3a8de-d7d3-11ee-ac36-0242ff9ee44d</t>
  </si>
  <si>
    <t>MARJITO</t>
  </si>
  <si>
    <t>3521061602720002</t>
  </si>
  <si>
    <t>3521020409600003</t>
  </si>
  <si>
    <t>63e39bba-d7d3-11ee-ac36-0242ff9ee44d</t>
  </si>
  <si>
    <t>MARJOKO</t>
  </si>
  <si>
    <t>3521153103900001</t>
  </si>
  <si>
    <t>63e3b74b-d7d3-11ee-ac36-0242ff9ee44d</t>
  </si>
  <si>
    <t>MARKAM</t>
  </si>
  <si>
    <t>3521040202680002</t>
  </si>
  <si>
    <t>DUSUN MALANG</t>
  </si>
  <si>
    <t>63e38c40-d7d3-11ee-ac36-0242ff9ee44d</t>
  </si>
  <si>
    <t>3521020409620001</t>
  </si>
  <si>
    <t>Marmin</t>
  </si>
  <si>
    <t>3521071004810002</t>
  </si>
  <si>
    <t>63e39193-d7d3-11ee-ac36-0242ff9ee44d</t>
  </si>
  <si>
    <t>Marmin Prasetyo</t>
  </si>
  <si>
    <t>3521070406680008</t>
  </si>
  <si>
    <t>63e38832-d7d3-11ee-ac36-0242ff9ee44d</t>
  </si>
  <si>
    <t>Marsidik</t>
  </si>
  <si>
    <t>3521020412620003</t>
  </si>
  <si>
    <t>3521071503790001</t>
  </si>
  <si>
    <t>63e310dc-d7d3-11ee-ac36-0242ff9ee44d</t>
  </si>
  <si>
    <t>Marsono</t>
  </si>
  <si>
    <t>3521080604800004</t>
  </si>
  <si>
    <t>63e325a1-d7d3-11ee-ac36-0242ff9ee44d</t>
  </si>
  <si>
    <t>marsono</t>
  </si>
  <si>
    <t>mangkujayan</t>
  </si>
  <si>
    <t>63e3132f-d7d3-11ee-ac36-0242ff9ee44d</t>
  </si>
  <si>
    <t>MARSONO SUKAR</t>
  </si>
  <si>
    <t>63e37d66-d7d3-11ee-ac36-0242ff9ee44d</t>
  </si>
  <si>
    <t>MARSUDI</t>
  </si>
  <si>
    <t>3521051109700001</t>
  </si>
  <si>
    <t>63e354f8-d7d3-11ee-ac36-0242ff9ee44d</t>
  </si>
  <si>
    <t>Marwan</t>
  </si>
  <si>
    <t>3521082906750001</t>
  </si>
  <si>
    <t>Dusun Brangkal Desa Banjaransari</t>
  </si>
  <si>
    <t>63e3727f-d7d3-11ee-ac36-0242ff9ee44d</t>
  </si>
  <si>
    <t>Marwoto</t>
  </si>
  <si>
    <t>3521020501750001</t>
  </si>
  <si>
    <t>3521190312770001</t>
  </si>
  <si>
    <t>63e3122a-d7d3-11ee-ac36-0242ff9ee44d</t>
  </si>
  <si>
    <t>Maryadi</t>
  </si>
  <si>
    <t>3521081212600006</t>
  </si>
  <si>
    <t>63e33091-d7d3-11ee-ac36-0242ff9ee44d</t>
  </si>
  <si>
    <t>MARYANTO</t>
  </si>
  <si>
    <t>3521020503650001</t>
  </si>
  <si>
    <t>3521111505700009</t>
  </si>
  <si>
    <t>63e37517-d7d3-11ee-ac36-0242ff9ee44d</t>
  </si>
  <si>
    <t>Maryoko</t>
  </si>
  <si>
    <t>3521192611880001</t>
  </si>
  <si>
    <t>Wening</t>
  </si>
  <si>
    <t>63e3b38e-d7d3-11ee-ac36-0242ff9ee44d</t>
  </si>
  <si>
    <t>MARYONO</t>
  </si>
  <si>
    <t>3521091512710001</t>
  </si>
  <si>
    <t>3521020504650002</t>
  </si>
  <si>
    <t>63e39dc9-d7d3-11ee-ac36-0242ff9ee44d</t>
  </si>
  <si>
    <t>MASDUKI</t>
  </si>
  <si>
    <t>3521041008700001</t>
  </si>
  <si>
    <t>RT. 01 RW. 06 NGIJO</t>
  </si>
  <si>
    <t>63e3c691-d7d3-11ee-ac36-0242ff9ee44d</t>
  </si>
  <si>
    <t>3521100708670002</t>
  </si>
  <si>
    <t>63e39c93-d7d3-11ee-ac36-0242ff9ee44d</t>
  </si>
  <si>
    <t>MASITHOH</t>
  </si>
  <si>
    <t>3521131007850001</t>
  </si>
  <si>
    <t>63e34905-d7d3-11ee-ac36-0242ff9ee44d</t>
  </si>
  <si>
    <t>MASKOM</t>
  </si>
  <si>
    <t>3521062406780001</t>
  </si>
  <si>
    <t>63e32677-d7d3-11ee-ac36-0242ff9ee44d</t>
  </si>
  <si>
    <t>Masngud</t>
  </si>
  <si>
    <t>3521180708470002</t>
  </si>
  <si>
    <t>Siwalan</t>
  </si>
  <si>
    <t>3521020506740002</t>
  </si>
  <si>
    <t>63e31ec2-d7d3-11ee-ac36-0242ff9ee44d</t>
  </si>
  <si>
    <t>Mawardi Rofiq</t>
  </si>
  <si>
    <t>3521190805720001</t>
  </si>
  <si>
    <t>Kasreman 1</t>
  </si>
  <si>
    <t>63e36143-d7d3-11ee-ac36-0242ff9ee44d</t>
  </si>
  <si>
    <t>Maya Kurniawati</t>
  </si>
  <si>
    <t>3521024406840001</t>
  </si>
  <si>
    <t>63e39d02-d7d3-11ee-ac36-0242ff9ee44d</t>
  </si>
  <si>
    <t>Melinda Wahyuning Jannah</t>
  </si>
  <si>
    <t>3521136505830002</t>
  </si>
  <si>
    <t>63e3700a-d7d3-11ee-ac36-0242ff9ee44d</t>
  </si>
  <si>
    <t>Mijan</t>
  </si>
  <si>
    <t>3521192305690002</t>
  </si>
  <si>
    <t>63e38d0f-d7d3-11ee-ac36-0242ff9ee44d</t>
  </si>
  <si>
    <t>MINARSIH</t>
  </si>
  <si>
    <t>3521156003780001</t>
  </si>
  <si>
    <t>63e39be6-d7d3-11ee-ac36-0242ff9ee44d</t>
  </si>
  <si>
    <t>MINARTO</t>
  </si>
  <si>
    <t>3521041505700003</t>
  </si>
  <si>
    <t>RT. 08 RW. 01 PATALAN</t>
  </si>
  <si>
    <t>63e36d9d-d7d3-11ee-ac36-0242ff9ee44d</t>
  </si>
  <si>
    <t>3521020510530002</t>
  </si>
  <si>
    <t>Mirun</t>
  </si>
  <si>
    <t>3521192805760002</t>
  </si>
  <si>
    <t>Cangakan I</t>
  </si>
  <si>
    <t>63e36032-d7d3-11ee-ac36-0242ff9ee44d</t>
  </si>
  <si>
    <t>Misbakhul munir</t>
  </si>
  <si>
    <t>Walikukun wetan Desa Walikukun</t>
  </si>
  <si>
    <t>63e3bf27-d7d3-11ee-ac36-0242ff9ee44d</t>
  </si>
  <si>
    <t>MISJIANTO</t>
  </si>
  <si>
    <t>3521020510630001</t>
  </si>
  <si>
    <t>3521094104760002</t>
  </si>
  <si>
    <t>63e3b0ce-d7d3-11ee-ac36-0242ff9ee44d</t>
  </si>
  <si>
    <t>MISKAT</t>
  </si>
  <si>
    <t>3521090809650002</t>
  </si>
  <si>
    <t>Dsn. NGANDONG</t>
  </si>
  <si>
    <t>63e394cf-d7d3-11ee-ac36-0242ff9ee44d</t>
  </si>
  <si>
    <t>Misnan</t>
  </si>
  <si>
    <t>3521162512630001</t>
  </si>
  <si>
    <t>63e32b1b-d7d3-11ee-ac36-0242ff9ee44d</t>
  </si>
  <si>
    <t>MISNANTO</t>
  </si>
  <si>
    <t>3521060303720001</t>
  </si>
  <si>
    <t>Dsn. Dinden III, DS. Dinden</t>
  </si>
  <si>
    <t>63e394e3-d7d3-11ee-ac36-0242ff9ee44d</t>
  </si>
  <si>
    <t>Misri</t>
  </si>
  <si>
    <t>3521165202550002</t>
  </si>
  <si>
    <t>63e32a5e-d7d3-11ee-ac36-0242ff9ee44d</t>
  </si>
  <si>
    <t>MJ. Margi Mitro</t>
  </si>
  <si>
    <t>3521170307500005</t>
  </si>
  <si>
    <t>Dusun Nglegok, Pandean</t>
  </si>
  <si>
    <t>63e32351-d7d3-11ee-ac36-0242ff9ee44d</t>
  </si>
  <si>
    <t>Moh Roqib</t>
  </si>
  <si>
    <t>3521142004830003</t>
  </si>
  <si>
    <t>63e392ea-d7d3-11ee-ac36-0242ff9ee44d</t>
  </si>
  <si>
    <t>MOH. ALI</t>
  </si>
  <si>
    <t>3521151812730002</t>
  </si>
  <si>
    <t>63e3c711-d7d3-11ee-ac36-0242ff9ee44d</t>
  </si>
  <si>
    <t>MOH. SIBAWEH</t>
  </si>
  <si>
    <t>3521102807640002</t>
  </si>
  <si>
    <t>63e3a2c1-d7d3-11ee-ac36-0242ff9ee44d</t>
  </si>
  <si>
    <t>MOHAMMAD ASHURI</t>
  </si>
  <si>
    <t>3521132510800004</t>
  </si>
  <si>
    <t>63e31729-d7d3-11ee-ac36-0242ff9ee44d</t>
  </si>
  <si>
    <t>MU ALIM</t>
  </si>
  <si>
    <t>PONDOK 2/5 HARGOSARI</t>
  </si>
  <si>
    <t>63e36b87-d7d3-11ee-ac36-0242ff9ee44d</t>
  </si>
  <si>
    <t>Mu'anam</t>
  </si>
  <si>
    <t>3521020605670001</t>
  </si>
  <si>
    <t>3521082105900001</t>
  </si>
  <si>
    <t>63e3cedf-d7d3-11ee-ac36-0242ff9ee44d</t>
  </si>
  <si>
    <t>Muadi</t>
  </si>
  <si>
    <t>63e34449-d7d3-11ee-ac36-0242ff9ee44d</t>
  </si>
  <si>
    <t>Mucharrom</t>
  </si>
  <si>
    <t>3521141905490001</t>
  </si>
  <si>
    <t>63e3ad8f-d7d3-11ee-ac36-0242ff9ee44d</t>
  </si>
  <si>
    <t>Muchtar</t>
  </si>
  <si>
    <t>3521031563850001</t>
  </si>
  <si>
    <t>63e3aaf8-d7d3-11ee-ac36-0242ff9ee44d</t>
  </si>
  <si>
    <t>MUCHYAR</t>
  </si>
  <si>
    <t>3521040403150001</t>
  </si>
  <si>
    <t>63e3c73a-d7d3-11ee-ac36-0242ff9ee44d</t>
  </si>
  <si>
    <t>MUGIYANTO</t>
  </si>
  <si>
    <t>3521100810810004</t>
  </si>
  <si>
    <t>63e3a1ec-d7d3-11ee-ac36-0242ff9ee44d</t>
  </si>
  <si>
    <t>3521150110840002</t>
  </si>
  <si>
    <t>63e30d9d-d7d3-11ee-ac36-0242ff9ee44d</t>
  </si>
  <si>
    <t>Mugiyono</t>
  </si>
  <si>
    <t>3521081202630001</t>
  </si>
  <si>
    <t>63e35c66-d7d3-11ee-ac36-0242ff9ee44d</t>
  </si>
  <si>
    <t>MUH AGUS PURWANTO</t>
  </si>
  <si>
    <t>3521061806800001</t>
  </si>
  <si>
    <t>JENANGAN 2</t>
  </si>
  <si>
    <t>63e3a9de-d7d3-11ee-ac36-0242ff9ee44d</t>
  </si>
  <si>
    <t>MUH MUSTOFA BASUKI AL SUKIDI</t>
  </si>
  <si>
    <t>3521132208580002</t>
  </si>
  <si>
    <t>63e33890-d7d3-11ee-ac36-0242ff9ee44d</t>
  </si>
  <si>
    <t>MUH NURYANTO</t>
  </si>
  <si>
    <t>3521021912770004</t>
  </si>
  <si>
    <t>63e344b4-d7d3-11ee-ac36-0242ff9ee44d</t>
  </si>
  <si>
    <t>Muh Samhadi</t>
  </si>
  <si>
    <t>3521141305670001</t>
  </si>
  <si>
    <t>63e38453-d7d3-11ee-ac36-0242ff9ee44d</t>
  </si>
  <si>
    <t>3521020610710001</t>
  </si>
  <si>
    <t>Muhadi Suryono</t>
  </si>
  <si>
    <t>3521121005780007</t>
  </si>
  <si>
    <t>Kedung Prahu</t>
  </si>
  <si>
    <t>63e31cd1-d7d3-11ee-ac36-0242ff9ee44d</t>
  </si>
  <si>
    <t>MUHAMAD SAMAN HUDI</t>
  </si>
  <si>
    <t>JETAK RT. 02 RW. 03</t>
  </si>
  <si>
    <t>63e339b8-d7d3-11ee-ac36-0242ff9ee44d</t>
  </si>
  <si>
    <t>MUHAMMAD ARAFIQ</t>
  </si>
  <si>
    <t>TULAKAN RT1/RW4</t>
  </si>
  <si>
    <t>63e34771-d7d3-11ee-ac36-0242ff9ee44d</t>
  </si>
  <si>
    <t>MUHAMMAD HAMIM</t>
  </si>
  <si>
    <t>3521111407760002</t>
  </si>
  <si>
    <t>63e35d54-d7d3-11ee-ac36-0242ff9ee44d</t>
  </si>
  <si>
    <t>MUHAMMAD ILHAM M</t>
  </si>
  <si>
    <t>3521031504940002</t>
  </si>
  <si>
    <t>Dusun Sanan Desa Macanan Kec. Jogorogo</t>
  </si>
  <si>
    <t>63e37a79-d7d3-11ee-ac36-0242ff9ee44d</t>
  </si>
  <si>
    <t>Muhammad Sodiq</t>
  </si>
  <si>
    <t>3521171706050013</t>
  </si>
  <si>
    <t>63e3a0d0-d7d3-11ee-ac36-0242ff9ee44d</t>
  </si>
  <si>
    <t>Muhdiono</t>
  </si>
  <si>
    <t>3521132902720001</t>
  </si>
  <si>
    <t>63e3b364-d7d3-11ee-ac36-0242ff9ee44d</t>
  </si>
  <si>
    <t>MUHSIN EFENDI</t>
  </si>
  <si>
    <t>63e37a64-d7d3-11ee-ac36-0242ff9ee44d</t>
  </si>
  <si>
    <t>MUHTAROM</t>
  </si>
  <si>
    <t>3521020709840001</t>
  </si>
  <si>
    <t>3521050711610001</t>
  </si>
  <si>
    <t>63e3568d-d7d3-11ee-ac36-0242ff9ee44d</t>
  </si>
  <si>
    <t>Muji Hariyono</t>
  </si>
  <si>
    <t>3521080101710006</t>
  </si>
  <si>
    <t>Dusun Banjar I Desa Banjaransari</t>
  </si>
  <si>
    <t>63e3479b-d7d3-11ee-ac36-0242ff9ee44d</t>
  </si>
  <si>
    <t>MUJIATI</t>
  </si>
  <si>
    <t>3521020802660001</t>
  </si>
  <si>
    <t>3521115605780001</t>
  </si>
  <si>
    <t>63e35444-d7d3-11ee-ac36-0242ff9ee44d</t>
  </si>
  <si>
    <t>MUJIONO</t>
  </si>
  <si>
    <t>3521062302740001</t>
  </si>
  <si>
    <t>63e3c5cd-d7d3-11ee-ac36-0242ff9ee44d</t>
  </si>
  <si>
    <t>3521031505690001</t>
  </si>
  <si>
    <t>63e37c52-d7d3-11ee-ac36-0242ff9ee44d</t>
  </si>
  <si>
    <t>3521020803680001</t>
  </si>
  <si>
    <t>Mujiono</t>
  </si>
  <si>
    <t>3521173012650002</t>
  </si>
  <si>
    <t>Dusun Bedug Desa Sriwedari</t>
  </si>
  <si>
    <t>63e366ee-d7d3-11ee-ac36-0242ff9ee44d</t>
  </si>
  <si>
    <t>Mukharom</t>
  </si>
  <si>
    <t>63e310b2-d7d3-11ee-ac36-0242ff9ee44d</t>
  </si>
  <si>
    <t>Muladiana</t>
  </si>
  <si>
    <t>3521081105710001</t>
  </si>
  <si>
    <t>63e38655-d7d3-11ee-ac36-0242ff9ee44d</t>
  </si>
  <si>
    <t>mulyadi</t>
  </si>
  <si>
    <t>3521121110540001</t>
  </si>
  <si>
    <t>pojok</t>
  </si>
  <si>
    <t>63e3797a-d7d3-11ee-ac36-0242ff9ee44d</t>
  </si>
  <si>
    <t>MULYANI</t>
  </si>
  <si>
    <t>3521052606600001</t>
  </si>
  <si>
    <t>63e33a61-d7d3-11ee-ac36-0242ff9ee44d</t>
  </si>
  <si>
    <t>MULYANTO</t>
  </si>
  <si>
    <t>Cabeyan. RT2/RW6</t>
  </si>
  <si>
    <t>63e3ad0c-d7d3-11ee-ac36-0242ff9ee44d</t>
  </si>
  <si>
    <t>MULYO UTOMO</t>
  </si>
  <si>
    <t>3521040507650008</t>
  </si>
  <si>
    <t>63e349f0-d7d3-11ee-ac36-0242ff9ee44d</t>
  </si>
  <si>
    <t>MULYONO</t>
  </si>
  <si>
    <t>3521062604730001</t>
  </si>
  <si>
    <t>63e31753-d7d3-11ee-ac36-0242ff9ee44d</t>
  </si>
  <si>
    <t>3521020808780005</t>
  </si>
  <si>
    <t>Ngasem RT.04 RW.04</t>
  </si>
  <si>
    <t>63e34a85-d7d3-11ee-ac36-0242ff9ee44d</t>
  </si>
  <si>
    <t>3521061010720003</t>
  </si>
  <si>
    <t>63e346f1-d7d3-11ee-ac36-0242ff9ee44d</t>
  </si>
  <si>
    <t>3521020810550003</t>
  </si>
  <si>
    <t>3521061510759995</t>
  </si>
  <si>
    <t>63e394f7-d7d3-11ee-ac36-0242ff9ee44d</t>
  </si>
  <si>
    <t>Mulyono</t>
  </si>
  <si>
    <t>3521161104700003</t>
  </si>
  <si>
    <t>63e31f63-d7d3-11ee-ac36-0242ff9ee44d</t>
  </si>
  <si>
    <t>Munahar</t>
  </si>
  <si>
    <t>3521190512680001</t>
  </si>
  <si>
    <t>Kasreman 2</t>
  </si>
  <si>
    <t>63e30bca-d7d3-11ee-ac36-0242ff9ee44d</t>
  </si>
  <si>
    <t>Munawar</t>
  </si>
  <si>
    <t>3521083112650063</t>
  </si>
  <si>
    <t>63e32ed9-d7d3-11ee-ac36-0242ff9ee44d</t>
  </si>
  <si>
    <t>Muriyem</t>
  </si>
  <si>
    <t>3521025409540001</t>
  </si>
  <si>
    <t>63e34092-d7d3-11ee-ac36-0242ff9ee44d</t>
  </si>
  <si>
    <t>MURYANTI</t>
  </si>
  <si>
    <t>3521115206720009</t>
  </si>
  <si>
    <t>63e3b1a1-d7d3-11ee-ac36-0242ff9ee44d</t>
  </si>
  <si>
    <t>MURYANTO</t>
  </si>
  <si>
    <t>3521092010760002</t>
  </si>
  <si>
    <t>Dsn. KARANGTENGAH</t>
  </si>
  <si>
    <t>63e31d6f-d7d3-11ee-ac36-0242ff9ee44d</t>
  </si>
  <si>
    <t>Musdi Mustofa</t>
  </si>
  <si>
    <t>3521193112710004</t>
  </si>
  <si>
    <t>63e35b1f-d7d3-11ee-ac36-0242ff9ee44d</t>
  </si>
  <si>
    <t>MUSLIM</t>
  </si>
  <si>
    <t>3521030707840002</t>
  </si>
  <si>
    <t>63e33ac9-d7d3-11ee-ac36-0242ff9ee44d</t>
  </si>
  <si>
    <t>Mustakhim</t>
  </si>
  <si>
    <t>3521020910660002</t>
  </si>
  <si>
    <t>63e352ac-d7d3-11ee-ac36-0242ff9ee44d</t>
  </si>
  <si>
    <t>MUSTAKIM</t>
  </si>
  <si>
    <t>3521021402970002</t>
  </si>
  <si>
    <t>63e35e44-d7d3-11ee-ac36-0242ff9ee44d</t>
  </si>
  <si>
    <t>MUSTAQIM</t>
  </si>
  <si>
    <t>63e31a71-d7d3-11ee-ac36-0242ff9ee44d</t>
  </si>
  <si>
    <t>3521021001580004</t>
  </si>
  <si>
    <t>MUSTOFA</t>
  </si>
  <si>
    <t>Klito RT. 01 RW. 02</t>
  </si>
  <si>
    <t>63e3cf76-d7d3-11ee-ac36-0242ff9ee44d</t>
  </si>
  <si>
    <t>mustofa fahmi</t>
  </si>
  <si>
    <t>3522222003980001</t>
  </si>
  <si>
    <t>63e3c50b-d7d3-11ee-ac36-0242ff9ee44d</t>
  </si>
  <si>
    <t>NANANG PRASETYO</t>
  </si>
  <si>
    <t>3521031401920002</t>
  </si>
  <si>
    <t>63e3c6e6-d7d3-11ee-ac36-0242ff9ee44d</t>
  </si>
  <si>
    <t>NARDI</t>
  </si>
  <si>
    <t>3521101301810003</t>
  </si>
  <si>
    <t>63e31f77-d7d3-11ee-ac36-0242ff9ee44d</t>
  </si>
  <si>
    <t>Narjito</t>
  </si>
  <si>
    <t>3521192510740001</t>
  </si>
  <si>
    <t>63e3c1f6-d7d3-11ee-ac36-0242ff9ee44d</t>
  </si>
  <si>
    <t>NARNO</t>
  </si>
  <si>
    <t>3521021003770001</t>
  </si>
  <si>
    <t>3521120401820002</t>
  </si>
  <si>
    <t>63e36aca-d7d3-11ee-ac36-0242ff9ee44d</t>
  </si>
  <si>
    <t>Narto</t>
  </si>
  <si>
    <t>3521083112790014</t>
  </si>
  <si>
    <t>63e34c95-d7d3-11ee-ac36-0242ff9ee44d</t>
  </si>
  <si>
    <t>3521113112460001</t>
  </si>
  <si>
    <t>63e30d5d-d7d3-11ee-ac36-0242ff9ee44d</t>
  </si>
  <si>
    <t>Nasir S</t>
  </si>
  <si>
    <t>3521080202600001</t>
  </si>
  <si>
    <t>63e3ade4-d7d3-11ee-ac36-0242ff9ee44d</t>
  </si>
  <si>
    <t>NELI MEGASARI</t>
  </si>
  <si>
    <t>3521046102820001</t>
  </si>
  <si>
    <t>RT. 02 RW.01 SIMO</t>
  </si>
  <si>
    <t>63e3a1d7-d7d3-11ee-ac36-0242ff9ee44d</t>
  </si>
  <si>
    <t>3521021004740002</t>
  </si>
  <si>
    <t>Ngadi Hariyadi</t>
  </si>
  <si>
    <t>3521131708810006</t>
  </si>
  <si>
    <t>63e33595-d7d3-11ee-ac36-0242ff9ee44d</t>
  </si>
  <si>
    <t>NGADIMAN</t>
  </si>
  <si>
    <t>3521022801710002</t>
  </si>
  <si>
    <t>63e3184b-d7d3-11ee-ac36-0242ff9ee44d</t>
  </si>
  <si>
    <t>NGADIYANTO</t>
  </si>
  <si>
    <t>KESUMOREJO RT 07/02</t>
  </si>
  <si>
    <t>63e32f1a-d7d3-11ee-ac36-0242ff9ee44d</t>
  </si>
  <si>
    <t>Ngatimin</t>
  </si>
  <si>
    <t>63e33613-d7d3-11ee-ac36-0242ff9ee44d</t>
  </si>
  <si>
    <t>NGATMINI</t>
  </si>
  <si>
    <t>3521026210780002</t>
  </si>
  <si>
    <t>63e38a05-d7d3-11ee-ac36-0242ff9ee44d</t>
  </si>
  <si>
    <t>Noto</t>
  </si>
  <si>
    <t>3521072310710001</t>
  </si>
  <si>
    <t>63e38e26-d7d3-11ee-ac36-0242ff9ee44d</t>
  </si>
  <si>
    <t>3521021007810007</t>
  </si>
  <si>
    <t>3521070711710002</t>
  </si>
  <si>
    <t>Desa Rejuno</t>
  </si>
  <si>
    <t>63e31d26-d7d3-11ee-ac36-0242ff9ee44d</t>
  </si>
  <si>
    <t>3521190110620001</t>
  </si>
  <si>
    <t>63e30cc9-d7d3-11ee-ac36-0242ff9ee44d</t>
  </si>
  <si>
    <t>Nugroho Noto Susanto</t>
  </si>
  <si>
    <t>3521021008600004</t>
  </si>
  <si>
    <t>3521083011860001</t>
  </si>
  <si>
    <t>Dusun Ngablak Desa Pacing</t>
  </si>
  <si>
    <t>63e33666-d7d3-11ee-ac36-0242ff9ee44d</t>
  </si>
  <si>
    <t>NUR ARIFIN HIDAYAT</t>
  </si>
  <si>
    <t>3521021909920002</t>
  </si>
  <si>
    <t>63e3c4f5-d7d3-11ee-ac36-0242ff9ee44d</t>
  </si>
  <si>
    <t>NUR ARIYADI</t>
  </si>
  <si>
    <t>3521021009470001</t>
  </si>
  <si>
    <t>3521031705880001</t>
  </si>
  <si>
    <t>63e3535c-d7d3-11ee-ac36-0242ff9ee44d</t>
  </si>
  <si>
    <t>NUR HARIANTO</t>
  </si>
  <si>
    <t>3521063105880002</t>
  </si>
  <si>
    <t>63e315b5-d7d3-11ee-ac36-0242ff9ee44d</t>
  </si>
  <si>
    <t>Nur Puji Astuti</t>
  </si>
  <si>
    <t>3521195407920001</t>
  </si>
  <si>
    <t>Prayungan, Cangakan</t>
  </si>
  <si>
    <t>63e3b8f5-d7d3-11ee-ac36-0242ff9ee44d</t>
  </si>
  <si>
    <t>NUR RAMELAN</t>
  </si>
  <si>
    <t>3521041205680003</t>
  </si>
  <si>
    <t>DUSUN NGADIPIRO</t>
  </si>
  <si>
    <t>63e3c54b-d7d3-11ee-ac36-0242ff9ee44d</t>
  </si>
  <si>
    <t>NUR ROCHMAN</t>
  </si>
  <si>
    <t>3521031006820003</t>
  </si>
  <si>
    <t>63e39f90-d7d3-11ee-ac36-0242ff9ee44d</t>
  </si>
  <si>
    <t>Nur Rohman</t>
  </si>
  <si>
    <t>3521132706840002</t>
  </si>
  <si>
    <t>2f505f7e-17f8-43b5-9a73-f6e487d3d43d</t>
  </si>
  <si>
    <t>NUR ROHMAN</t>
  </si>
  <si>
    <t>3521042010730003</t>
  </si>
  <si>
    <t>Dusun Jatisari RT.02 RW.06</t>
  </si>
  <si>
    <t>63e31def-d7d3-11ee-ac36-0242ff9ee44d</t>
  </si>
  <si>
    <t>NUR TOHARI</t>
  </si>
  <si>
    <t>63e3a257-d7d3-11ee-ac36-0242ff9ee44d</t>
  </si>
  <si>
    <t>Nur Wahid</t>
  </si>
  <si>
    <t>3521031111770004</t>
  </si>
  <si>
    <t>Dusun Kembangsore Desa Talang Kec. Jogorogo</t>
  </si>
  <si>
    <t>63e3a26c-d7d3-11ee-ac36-0242ff9ee44d</t>
  </si>
  <si>
    <t>Nur Wahyudi</t>
  </si>
  <si>
    <t>3521032909800001</t>
  </si>
  <si>
    <t>63e3aa35-d7d3-11ee-ac36-0242ff9ee44d</t>
  </si>
  <si>
    <t>NURHADI</t>
  </si>
  <si>
    <t>3521042412800001</t>
  </si>
  <si>
    <t>63e34944-d7d3-11ee-ac36-0242ff9ee44d</t>
  </si>
  <si>
    <t>NURI</t>
  </si>
  <si>
    <t>3521060610510001</t>
  </si>
  <si>
    <t>63e33501-d7d3-11ee-ac36-0242ff9ee44d</t>
  </si>
  <si>
    <t>Nurkaniman</t>
  </si>
  <si>
    <t>3521140412710001</t>
  </si>
  <si>
    <t>63e39e8f-d7d3-11ee-ac36-0242ff9ee44d</t>
  </si>
  <si>
    <t>Nurmanto</t>
  </si>
  <si>
    <t>3521130808690001</t>
  </si>
  <si>
    <t>63e30c08-d7d3-11ee-ac36-0242ff9ee44d</t>
  </si>
  <si>
    <t>3521082508660001</t>
  </si>
  <si>
    <t>63e33385-d7d3-11ee-ac36-0242ff9ee44d</t>
  </si>
  <si>
    <t>NUROHMAN</t>
  </si>
  <si>
    <t>3521110301570001</t>
  </si>
  <si>
    <t>63e39aa1-d7d3-11ee-ac36-0242ff9ee44d</t>
  </si>
  <si>
    <t>NURSOJO</t>
  </si>
  <si>
    <t>3521040711500002</t>
  </si>
  <si>
    <t>RT. 05 RW. 03 JATIREJO</t>
  </si>
  <si>
    <t>3521021111560001</t>
  </si>
  <si>
    <t>63e31926-d7d3-11ee-ac36-0242ff9ee44d</t>
  </si>
  <si>
    <t>NURUL MARJULI</t>
  </si>
  <si>
    <t>KRAJAN RT 02/01</t>
  </si>
  <si>
    <t>63e338bb-d7d3-11ee-ac36-0242ff9ee44d</t>
  </si>
  <si>
    <t>3521021507860001</t>
  </si>
  <si>
    <t>63e3310e-d7d3-11ee-ac36-0242ff9ee44d</t>
  </si>
  <si>
    <t>Plosokerep RT. 02 RW. 04</t>
  </si>
  <si>
    <t>63e392ff-d7d3-11ee-ac36-0242ff9ee44d</t>
  </si>
  <si>
    <t>NYAMIN</t>
  </si>
  <si>
    <t>3521151410770001</t>
  </si>
  <si>
    <t>63e3512b-d7d3-11ee-ac36-0242ff9ee44d</t>
  </si>
  <si>
    <t>NYONO SLAMET WINARTO</t>
  </si>
  <si>
    <t>3521062311880001</t>
  </si>
  <si>
    <t>63e3cfcd-d7d3-11ee-ac36-0242ff9ee44d</t>
  </si>
  <si>
    <t>Oko setiawan</t>
  </si>
  <si>
    <t>3521150103890001</t>
  </si>
  <si>
    <t>63e3a66d-d7d3-11ee-ac36-0242ff9ee44d</t>
  </si>
  <si>
    <t>PAGI</t>
  </si>
  <si>
    <t>3521060406540003</t>
  </si>
  <si>
    <t>63e32f44-d7d3-11ee-ac36-0242ff9ee44d</t>
  </si>
  <si>
    <t>paidi</t>
  </si>
  <si>
    <t>63e3303c-d7d3-11ee-ac36-0242ff9ee44d</t>
  </si>
  <si>
    <t>3521021204720002</t>
  </si>
  <si>
    <t>PAIDIANTO</t>
  </si>
  <si>
    <t>3521022003700002</t>
  </si>
  <si>
    <t>63e34dfe-d7d3-11ee-ac36-0242ff9ee44d</t>
  </si>
  <si>
    <t>PAIMIN</t>
  </si>
  <si>
    <t>3521110306430001</t>
  </si>
  <si>
    <t>63e37e4e-d7d3-11ee-ac36-0242ff9ee44d</t>
  </si>
  <si>
    <t>Paimin Tambah</t>
  </si>
  <si>
    <t>3521121103530002</t>
  </si>
  <si>
    <t>Kedung prawan</t>
  </si>
  <si>
    <t>63e3549a-d7d3-11ee-ac36-0242ff9ee44d</t>
  </si>
  <si>
    <t>PAMUJI</t>
  </si>
  <si>
    <t>3521092607860002</t>
  </si>
  <si>
    <t>63e39a38-d7d3-11ee-ac36-0242ff9ee44d</t>
  </si>
  <si>
    <t>Pangat</t>
  </si>
  <si>
    <t>3521070205530001</t>
  </si>
  <si>
    <t>63e33910-d7d3-11ee-ac36-0242ff9ee44d</t>
  </si>
  <si>
    <t>PANGKY PURWANTO</t>
  </si>
  <si>
    <t>63e37121-d7d3-11ee-ac36-0242ff9ee44d</t>
  </si>
  <si>
    <t>PANIKEM</t>
  </si>
  <si>
    <t>3521155010710001</t>
  </si>
  <si>
    <t>63e32312-d7d3-11ee-ac36-0242ff9ee44d</t>
  </si>
  <si>
    <t>Paninyo</t>
  </si>
  <si>
    <t>3521141404830001</t>
  </si>
  <si>
    <t>dsn pilang</t>
  </si>
  <si>
    <t>63e399b3-d7d3-11ee-ac36-0242ff9ee44d</t>
  </si>
  <si>
    <t>Paniran</t>
  </si>
  <si>
    <t>3521021209700001</t>
  </si>
  <si>
    <t>3521072110660001</t>
  </si>
  <si>
    <t>63e3475b-d7d3-11ee-ac36-0242ff9ee44d</t>
  </si>
  <si>
    <t>PANIRIN</t>
  </si>
  <si>
    <t>3521111807520002</t>
  </si>
  <si>
    <t>63e3a6d9-d7d3-11ee-ac36-0242ff9ee44d</t>
  </si>
  <si>
    <t>PANIYO</t>
  </si>
  <si>
    <t>3521060304650002</t>
  </si>
  <si>
    <t>Dsn Dinden II, Desa Dinden</t>
  </si>
  <si>
    <t>63e3c197-d7d3-11ee-ac36-0242ff9ee44d</t>
  </si>
  <si>
    <t>PANJI BUDI</t>
  </si>
  <si>
    <t>3521032611960002</t>
  </si>
  <si>
    <t>63e399cf-d7d3-11ee-ac36-0242ff9ee44d</t>
  </si>
  <si>
    <t>Pardi</t>
  </si>
  <si>
    <t>3521021212490001</t>
  </si>
  <si>
    <t>3521072605790002</t>
  </si>
  <si>
    <t>63e38611-d7d3-11ee-ac36-0242ff9ee44d</t>
  </si>
  <si>
    <t>PARDI</t>
  </si>
  <si>
    <t>3521053006480015</t>
  </si>
  <si>
    <t>63e35c21-d7d3-11ee-ac36-0242ff9ee44d</t>
  </si>
  <si>
    <t>63e3714c-d7d3-11ee-ac36-0242ff9ee44d</t>
  </si>
  <si>
    <t>3521150904730001</t>
  </si>
  <si>
    <t>63e3943f-d7d3-11ee-ac36-0242ff9ee44d</t>
  </si>
  <si>
    <t>PARIDI</t>
  </si>
  <si>
    <t>3521150705710001</t>
  </si>
  <si>
    <t>63e3a5df-d7d3-11ee-ac36-0242ff9ee44d</t>
  </si>
  <si>
    <t>Parin</t>
  </si>
  <si>
    <t>3521032004630004</t>
  </si>
  <si>
    <t>63e3b124-d7d3-11ee-ac36-0242ff9ee44d</t>
  </si>
  <si>
    <t>PARJI</t>
  </si>
  <si>
    <t>3521091208820007</t>
  </si>
  <si>
    <t>Dsn. GANDU</t>
  </si>
  <si>
    <t>63e391a7-d7d3-11ee-ac36-0242ff9ee44d</t>
  </si>
  <si>
    <t>Parji</t>
  </si>
  <si>
    <t>3521071605830005</t>
  </si>
  <si>
    <t>63e32e5b-d7d3-11ee-ac36-0242ff9ee44d</t>
  </si>
  <si>
    <t>Parjo</t>
  </si>
  <si>
    <t>3521140607590001</t>
  </si>
  <si>
    <t>63e34375-d7d3-11ee-ac36-0242ff9ee44d</t>
  </si>
  <si>
    <t>PARMAN</t>
  </si>
  <si>
    <t>3521142302670001</t>
  </si>
  <si>
    <t>63e3871a-d7d3-11ee-ac36-0242ff9ee44d</t>
  </si>
  <si>
    <t>Parman</t>
  </si>
  <si>
    <t>3521122509750002</t>
  </si>
  <si>
    <t>walikukun</t>
  </si>
  <si>
    <t>63e36a8b-d7d3-11ee-ac36-0242ff9ee44d</t>
  </si>
  <si>
    <t>3521122803670002</t>
  </si>
  <si>
    <t>Tanon</t>
  </si>
  <si>
    <t>63e38730-d7d3-11ee-ac36-0242ff9ee44d</t>
  </si>
  <si>
    <t>parmi</t>
  </si>
  <si>
    <t>63e34970-d7d3-11ee-ac36-0242ff9ee44d</t>
  </si>
  <si>
    <t>PARMIN</t>
  </si>
  <si>
    <t>3521060601780002</t>
  </si>
  <si>
    <t>63e37580-d7d3-11ee-ac36-0242ff9ee44d</t>
  </si>
  <si>
    <t>3521050805450001</t>
  </si>
  <si>
    <t>63e37211-d7d3-11ee-ac36-0242ff9ee44d</t>
  </si>
  <si>
    <t>Parmin</t>
  </si>
  <si>
    <t>3521140403720001</t>
  </si>
  <si>
    <t>63e34af0-d7d3-11ee-ac36-0242ff9ee44d</t>
  </si>
  <si>
    <t>3521060208650002</t>
  </si>
  <si>
    <t>63e34efb-d7d3-11ee-ac36-0242ff9ee44d</t>
  </si>
  <si>
    <t>3521170606710003</t>
  </si>
  <si>
    <t>63e31398-d7d3-11ee-ac36-0242ff9ee44d</t>
  </si>
  <si>
    <t>PARMONO</t>
  </si>
  <si>
    <t>PANDAN RT 04 RW 02</t>
  </si>
  <si>
    <t>63e38746-d7d3-11ee-ac36-0242ff9ee44d</t>
  </si>
  <si>
    <t>Parni</t>
  </si>
  <si>
    <t>3521121507770006</t>
  </si>
  <si>
    <t>wa</t>
  </si>
  <si>
    <t>63e3363d-d7d3-11ee-ac36-0242ff9ee44d</t>
  </si>
  <si>
    <t>3521141212620006</t>
  </si>
  <si>
    <t>63e316d7-d7d3-11ee-ac36-0242ff9ee44d</t>
  </si>
  <si>
    <t>Parno</t>
  </si>
  <si>
    <t>3521190904570002</t>
  </si>
  <si>
    <t>63e3545a-d7d3-11ee-ac36-0242ff9ee44d</t>
  </si>
  <si>
    <t>PARNO</t>
  </si>
  <si>
    <t>3521090406680003</t>
  </si>
  <si>
    <t>Dusun Depok</t>
  </si>
  <si>
    <t>63e34a59-d7d3-11ee-ac36-0242ff9ee44d</t>
  </si>
  <si>
    <t>PARNO RUBIANTO</t>
  </si>
  <si>
    <t>3521092612690001</t>
  </si>
  <si>
    <t>Dsn Sidomulyo</t>
  </si>
  <si>
    <t>63e35d99-d7d3-11ee-ac36-0242ff9ee44d</t>
  </si>
  <si>
    <t>PARTO DIHARJO SIDIK</t>
  </si>
  <si>
    <t>63e3b3e5-d7d3-11ee-ac36-0242ff9ee44d</t>
  </si>
  <si>
    <t>Partono</t>
  </si>
  <si>
    <t>3521092505520001</t>
  </si>
  <si>
    <t>Jrubong Utara</t>
  </si>
  <si>
    <t>63e326df-d7d3-11ee-ac36-0242ff9ee44d</t>
  </si>
  <si>
    <t>3521172706610001</t>
  </si>
  <si>
    <t>63e30def-d7d3-11ee-ac36-0242ff9ee44d</t>
  </si>
  <si>
    <t>3521082905720001</t>
  </si>
  <si>
    <t>Dusun Sukowiyono I Desa Sukowiyono</t>
  </si>
  <si>
    <t>63e37a11-d7d3-11ee-ac36-0242ff9ee44d</t>
  </si>
  <si>
    <t>Parwoko</t>
  </si>
  <si>
    <t>3521170403650002</t>
  </si>
  <si>
    <t>Dusun Bendo, Desa Karanganyar</t>
  </si>
  <si>
    <t>63e387f2-d7d3-11ee-ac36-0242ff9ee44d</t>
  </si>
  <si>
    <t>3521021404680002</t>
  </si>
  <si>
    <t>Paryono</t>
  </si>
  <si>
    <t>3521071710790003</t>
  </si>
  <si>
    <t>63e34263-d7d3-11ee-ac36-0242ff9ee44d</t>
  </si>
  <si>
    <t>3521173112640003</t>
  </si>
  <si>
    <t>63e33da3-d7d3-11ee-ac36-0242ff9ee44d</t>
  </si>
  <si>
    <t>3521150112680003</t>
  </si>
  <si>
    <t>63e3b552-d7d3-11ee-ac36-0242ff9ee44d</t>
  </si>
  <si>
    <t>PARYUDI</t>
  </si>
  <si>
    <t>3521100306670002</t>
  </si>
  <si>
    <t>63e34ed0-d7d3-11ee-ac36-0242ff9ee44d</t>
  </si>
  <si>
    <t>PATMO WIYONO</t>
  </si>
  <si>
    <t>3521173011620001</t>
  </si>
  <si>
    <t>63e3bf3e-d7d3-11ee-ac36-0242ff9ee44d</t>
  </si>
  <si>
    <t>POEDJIONO</t>
  </si>
  <si>
    <t>3521091509410001</t>
  </si>
  <si>
    <t>63e37786-d7d3-11ee-ac36-0242ff9ee44d</t>
  </si>
  <si>
    <t>3521021408830001</t>
  </si>
  <si>
    <t>3521050105680001</t>
  </si>
  <si>
    <t>63e3bf6b-d7d3-11ee-ac36-0242ff9ee44d</t>
  </si>
  <si>
    <t>POMO</t>
  </si>
  <si>
    <t>3521094703630001</t>
  </si>
  <si>
    <t>63e365d6-d7d3-11ee-ac36-0242ff9ee44d</t>
  </si>
  <si>
    <t>Pradana Dykdhya Wahana</t>
  </si>
  <si>
    <t>3521021410770001</t>
  </si>
  <si>
    <t>3521022912910001</t>
  </si>
  <si>
    <t>63e343de-d7d3-11ee-ac36-0242ff9ee44d</t>
  </si>
  <si>
    <t>Prapto</t>
  </si>
  <si>
    <t>3521141209790003</t>
  </si>
  <si>
    <t>63e30ba0-d7d3-11ee-ac36-0242ff9ee44d</t>
  </si>
  <si>
    <t>Praptomo</t>
  </si>
  <si>
    <t>3521081006720003</t>
  </si>
  <si>
    <t>63e343f4-d7d3-11ee-ac36-0242ff9ee44d</t>
  </si>
  <si>
    <t>Prasowo</t>
  </si>
  <si>
    <t>3521171006710001</t>
  </si>
  <si>
    <t>Dusun Takteng Desa Bangunrejo</t>
  </si>
  <si>
    <t>63e32d08-d7d3-11ee-ac36-0242ff9ee44d</t>
  </si>
  <si>
    <t>PRASTYO BUDI UTOMO</t>
  </si>
  <si>
    <t>3521171703800001</t>
  </si>
  <si>
    <t>63e3471c-d7d3-11ee-ac36-0242ff9ee44d</t>
  </si>
  <si>
    <t>PRAWATI</t>
  </si>
  <si>
    <t>3521116704690001</t>
  </si>
  <si>
    <t>63e3c521-d7d3-11ee-ac36-0242ff9ee44d</t>
  </si>
  <si>
    <t>PRAYITNO</t>
  </si>
  <si>
    <t>3521030904840002</t>
  </si>
  <si>
    <t>Dusun Dungkul Desa Dawung Kec. Jogorogo</t>
  </si>
  <si>
    <t>63e3c83d-d7d3-11ee-ac36-0242ff9ee44d</t>
  </si>
  <si>
    <t>PRIYADI</t>
  </si>
  <si>
    <t>3521103112710015</t>
  </si>
  <si>
    <t>63e35a3b-d7d3-11ee-ac36-0242ff9ee44d</t>
  </si>
  <si>
    <t>PRIYANTO</t>
  </si>
  <si>
    <t>3521021511760001</t>
  </si>
  <si>
    <t>3521031001780002</t>
  </si>
  <si>
    <t>63e330a6-d7d3-11ee-ac36-0242ff9ee44d</t>
  </si>
  <si>
    <t>Priyanto</t>
  </si>
  <si>
    <t>3521141708770001</t>
  </si>
  <si>
    <t>63e34fb2-d7d3-11ee-ac36-0242ff9ee44d</t>
  </si>
  <si>
    <t>PRIYO WASONO</t>
  </si>
  <si>
    <t>63e3b6cd-d7d3-11ee-ac36-0242ff9ee44d</t>
  </si>
  <si>
    <t>Priyono</t>
  </si>
  <si>
    <t>3521092004790002</t>
  </si>
  <si>
    <t>Brangol</t>
  </si>
  <si>
    <t>63e35cad-d7d3-11ee-ac36-0242ff9ee44d</t>
  </si>
  <si>
    <t>PUGUH HASTO U</t>
  </si>
  <si>
    <t>3521031805930003</t>
  </si>
  <si>
    <t>63e33b4a-d7d3-11ee-ac36-0242ff9ee44d</t>
  </si>
  <si>
    <t>PUJI ASTUTIK</t>
  </si>
  <si>
    <t>3521024907750002</t>
  </si>
  <si>
    <t>63e3ae64-d7d3-11ee-ac36-0242ff9ee44d</t>
  </si>
  <si>
    <t>PUJI BAGIO</t>
  </si>
  <si>
    <t>3521042607680001</t>
  </si>
  <si>
    <t>RT. 02 RW 02 TEGALSARI</t>
  </si>
  <si>
    <t>63e36c04-d7d3-11ee-ac36-0242ff9ee44d</t>
  </si>
  <si>
    <t>Puji Suwiknyo</t>
  </si>
  <si>
    <t>63e34166-d7d3-11ee-ac36-0242ff9ee44d</t>
  </si>
  <si>
    <t>PUJIANTO</t>
  </si>
  <si>
    <t>63e3743e-d7d3-11ee-ac36-0242ff9ee44d</t>
  </si>
  <si>
    <t>Pujianto</t>
  </si>
  <si>
    <t>3521190105780002</t>
  </si>
  <si>
    <t>63e33b74-d7d3-11ee-ac36-0242ff9ee44d</t>
  </si>
  <si>
    <t>3521022104920001</t>
  </si>
  <si>
    <t>63e39946-d7d3-11ee-ac36-0242ff9ee44d</t>
  </si>
  <si>
    <t>Pujiatmiko</t>
  </si>
  <si>
    <t>3521070107800014</t>
  </si>
  <si>
    <t>63e3c854-d7d3-11ee-ac36-0242ff9ee44d</t>
  </si>
  <si>
    <t>PUJIYANTO</t>
  </si>
  <si>
    <t>3521100910850001</t>
  </si>
  <si>
    <t>63e330f9-d7d3-11ee-ac36-0242ff9ee44d</t>
  </si>
  <si>
    <t>PURBO SETYAWAN</t>
  </si>
  <si>
    <t>3521062705810001</t>
  </si>
  <si>
    <t>63e37bd2-d7d3-11ee-ac36-0242ff9ee44d</t>
  </si>
  <si>
    <t>Purmoko</t>
  </si>
  <si>
    <t>3521172807540001</t>
  </si>
  <si>
    <t>Dusun Sobo, Desa Sriwedari</t>
  </si>
  <si>
    <t>63e367b3-d7d3-11ee-ac36-0242ff9ee44d</t>
  </si>
  <si>
    <t>Purnomo</t>
  </si>
  <si>
    <t>3521082308840001</t>
  </si>
  <si>
    <t>63e35184-d7d3-11ee-ac36-0242ff9ee44d</t>
  </si>
  <si>
    <t>PURNOMO</t>
  </si>
  <si>
    <t>3521062402770002</t>
  </si>
  <si>
    <t>63e3afa0-d7d3-11ee-ac36-0242ff9ee44d</t>
  </si>
  <si>
    <t>Purnomo Ahmad Nur Humaidi</t>
  </si>
  <si>
    <t>3521132502770001</t>
  </si>
  <si>
    <t>63e3bf94-d7d3-11ee-ac36-0242ff9ee44d</t>
  </si>
  <si>
    <t>PURWADI</t>
  </si>
  <si>
    <t>3521091305620001</t>
  </si>
  <si>
    <t>63e31767-d7d3-11ee-ac36-0242ff9ee44d</t>
  </si>
  <si>
    <t>3521191303840001</t>
  </si>
  <si>
    <t>63e39314-d7d3-11ee-ac36-0242ff9ee44d</t>
  </si>
  <si>
    <t>3521151906710003</t>
  </si>
  <si>
    <t>63e3bfc0-d7d3-11ee-ac36-0242ff9ee44d</t>
  </si>
  <si>
    <t>PURWANI</t>
  </si>
  <si>
    <t>3521095805620002</t>
  </si>
  <si>
    <t>63e35ced-d7d3-11ee-ac36-0242ff9ee44d</t>
  </si>
  <si>
    <t>Purwanita</t>
  </si>
  <si>
    <t>3521086908640001</t>
  </si>
  <si>
    <t>Dusun Krawut Desa Bendo</t>
  </si>
  <si>
    <t>63e34fdc-d7d3-11ee-ac36-0242ff9ee44d</t>
  </si>
  <si>
    <t>PURWANTINI</t>
  </si>
  <si>
    <t>3521027001840001</t>
  </si>
  <si>
    <t>63e357e2-d7d3-11ee-ac36-0242ff9ee44d</t>
  </si>
  <si>
    <t>PURWANTO</t>
  </si>
  <si>
    <t>63e352c1-d7d3-11ee-ac36-0242ff9ee44d</t>
  </si>
  <si>
    <t>Purwanto</t>
  </si>
  <si>
    <t>3521090601810002</t>
  </si>
  <si>
    <t>63e33bf3-d7d3-11ee-ac36-0242ff9ee44d</t>
  </si>
  <si>
    <t>63e39393-d7d3-11ee-ac36-0242ff9ee44d</t>
  </si>
  <si>
    <t>3521151208750002</t>
  </si>
  <si>
    <t>63e387b1-d7d3-11ee-ac36-0242ff9ee44d</t>
  </si>
  <si>
    <t>3521070805850002</t>
  </si>
  <si>
    <t>63e36dc7-d7d3-11ee-ac36-0242ff9ee44d</t>
  </si>
  <si>
    <t>3521190308760001</t>
  </si>
  <si>
    <t>Cangakan II</t>
  </si>
  <si>
    <t>63e36d87-d7d3-11ee-ac36-0242ff9ee44d</t>
  </si>
  <si>
    <t>3521021712620001</t>
  </si>
  <si>
    <t>Purwanto Hadi</t>
  </si>
  <si>
    <t>3521190905730001</t>
  </si>
  <si>
    <t>63e315a0-d7d3-11ee-ac36-0242ff9ee44d</t>
  </si>
  <si>
    <t>Purwanto Wahyu Nugroho</t>
  </si>
  <si>
    <t>3521190601780001</t>
  </si>
  <si>
    <t>63e33cbe-d7d3-11ee-ac36-0242ff9ee44d</t>
  </si>
  <si>
    <t>Purwati</t>
  </si>
  <si>
    <t>3521021808830002</t>
  </si>
  <si>
    <t>3521025011790001</t>
  </si>
  <si>
    <t>63e37228-d7d3-11ee-ac36-0242ff9ee44d</t>
  </si>
  <si>
    <t>Purwito</t>
  </si>
  <si>
    <t>3521190210670001</t>
  </si>
  <si>
    <t>Pucung</t>
  </si>
  <si>
    <t>63e398c7-d7d3-11ee-ac36-0242ff9ee44d</t>
  </si>
  <si>
    <t>Purwo Susilo</t>
  </si>
  <si>
    <t>3521070505750001</t>
  </si>
  <si>
    <t>3521021809420001</t>
  </si>
  <si>
    <t>63e393a8-d7d3-11ee-ac36-0242ff9ee44d</t>
  </si>
  <si>
    <t>Puryanti</t>
  </si>
  <si>
    <t>3521154101790005</t>
  </si>
  <si>
    <t>63e33d78-d7d3-11ee-ac36-0242ff9ee44d</t>
  </si>
  <si>
    <t>Puryanto</t>
  </si>
  <si>
    <t>63e3899b-d7d3-11ee-ac36-0242ff9ee44d</t>
  </si>
  <si>
    <t>Puryono</t>
  </si>
  <si>
    <t>3521071004650004</t>
  </si>
  <si>
    <t>63e347cd-d7d3-11ee-ac36-0242ff9ee44d</t>
  </si>
  <si>
    <t>PUSPITA SARI HANDAYANI</t>
  </si>
  <si>
    <t>3521065509950001</t>
  </si>
  <si>
    <t>63e38f3a-d7d3-11ee-ac36-0242ff9ee44d</t>
  </si>
  <si>
    <t>Putri Galuh Meilena</t>
  </si>
  <si>
    <t>3521096005900003</t>
  </si>
  <si>
    <t>63e37d7b-d7d3-11ee-ac36-0242ff9ee44d</t>
  </si>
  <si>
    <t>PUTUT BUDI SANTOSO</t>
  </si>
  <si>
    <t>3521051010710002</t>
  </si>
  <si>
    <t>63e359fb-d7d3-11ee-ac36-0242ff9ee44d</t>
  </si>
  <si>
    <t>PUTUT JARWONO</t>
  </si>
  <si>
    <t>3521061105790002</t>
  </si>
  <si>
    <t>63e3645d-d7d3-11ee-ac36-0242ff9ee44d</t>
  </si>
  <si>
    <t>Radikan</t>
  </si>
  <si>
    <t>3521080904680002</t>
  </si>
  <si>
    <t>3521021905580001</t>
  </si>
  <si>
    <t>63e3aff8-d7d3-11ee-ac36-0242ff9ee44d</t>
  </si>
  <si>
    <t>Radiono</t>
  </si>
  <si>
    <t>3521131507670001</t>
  </si>
  <si>
    <t>63e390ab-d7d3-11ee-ac36-0242ff9ee44d</t>
  </si>
  <si>
    <t>Rahmat Gutomo</t>
  </si>
  <si>
    <t>3521072702970002</t>
  </si>
  <si>
    <t>63e31ffa-d7d3-11ee-ac36-0242ff9ee44d</t>
  </si>
  <si>
    <t>Rajiman</t>
  </si>
  <si>
    <t>3521162010880001</t>
  </si>
  <si>
    <t>63e32bb7-d7d3-11ee-ac36-0242ff9ee44d</t>
  </si>
  <si>
    <t>Rajimin</t>
  </si>
  <si>
    <t>3521170306790001</t>
  </si>
  <si>
    <t>63e35e01-d7d3-11ee-ac36-0242ff9ee44d</t>
  </si>
  <si>
    <t>Rajiun</t>
  </si>
  <si>
    <t>3521082804720001</t>
  </si>
  <si>
    <t>63e326ca-d7d3-11ee-ac36-0242ff9ee44d</t>
  </si>
  <si>
    <t>Rakidi</t>
  </si>
  <si>
    <t>3521143112650016</t>
  </si>
  <si>
    <t>63e37cd2-d7d3-11ee-ac36-0242ff9ee44d</t>
  </si>
  <si>
    <t>Rakijan</t>
  </si>
  <si>
    <t>3521172004680001</t>
  </si>
  <si>
    <t>Dusun Dukuhan, Desa Gembol</t>
  </si>
  <si>
    <t>63e34433-d7d3-11ee-ac36-0242ff9ee44d</t>
  </si>
  <si>
    <t>Rakiman</t>
  </si>
  <si>
    <t>3521141705630001</t>
  </si>
  <si>
    <t>63e3881d-d7d3-11ee-ac36-0242ff9ee44d</t>
  </si>
  <si>
    <t>Rakino</t>
  </si>
  <si>
    <t>3521070210700001</t>
  </si>
  <si>
    <t>63e38ee5-d7d3-11ee-ac36-0242ff9ee44d</t>
  </si>
  <si>
    <t>3521021910600001</t>
  </si>
  <si>
    <t>3521072810580002</t>
  </si>
  <si>
    <t>63e39bfb-d7d3-11ee-ac36-0242ff9ee44d</t>
  </si>
  <si>
    <t>RAMBU</t>
  </si>
  <si>
    <t>3521151205820001</t>
  </si>
  <si>
    <t>63e3bfeb-d7d3-11ee-ac36-0242ff9ee44d</t>
  </si>
  <si>
    <t>RAMELAN</t>
  </si>
  <si>
    <t>3521102105690003</t>
  </si>
  <si>
    <t>63e34670-d7d3-11ee-ac36-0242ff9ee44d</t>
  </si>
  <si>
    <t>Ramidi</t>
  </si>
  <si>
    <t>3521140705780002</t>
  </si>
  <si>
    <t>63e35ad5-d7d3-11ee-ac36-0242ff9ee44d</t>
  </si>
  <si>
    <t>Rasimin</t>
  </si>
  <si>
    <t>3521080203540001</t>
  </si>
  <si>
    <t>Dusun Ngepeh Desa Bendo</t>
  </si>
  <si>
    <t>63e388ee-d7d3-11ee-ac36-0242ff9ee44d</t>
  </si>
  <si>
    <t>Rasmanto</t>
  </si>
  <si>
    <t>3521070704620002</t>
  </si>
  <si>
    <t>63e3629c-d7d3-11ee-ac36-0242ff9ee44d</t>
  </si>
  <si>
    <t>Ratno</t>
  </si>
  <si>
    <t>63e35406-d7d3-11ee-ac36-0242ff9ee44d</t>
  </si>
  <si>
    <t>RAWIYUN</t>
  </si>
  <si>
    <t>3521091904670001</t>
  </si>
  <si>
    <t>Dusun Waruk</t>
  </si>
  <si>
    <t>63e38a83-d7d3-11ee-ac36-0242ff9ee44d</t>
  </si>
  <si>
    <t>Rawuh</t>
  </si>
  <si>
    <t>3521071506700001</t>
  </si>
  <si>
    <t>63e3badd-d7d3-11ee-ac36-0242ff9ee44d</t>
  </si>
  <si>
    <t>REBO</t>
  </si>
  <si>
    <t>3521121205730005</t>
  </si>
  <si>
    <t>63e373b9-d7d3-11ee-ac36-0242ff9ee44d</t>
  </si>
  <si>
    <t>Rebo</t>
  </si>
  <si>
    <t>3521191304560001</t>
  </si>
  <si>
    <t>cad5269d-d479-43c5-8283-b146f8b57837</t>
  </si>
  <si>
    <t>Reganyak</t>
  </si>
  <si>
    <t>3432431241232132</t>
  </si>
  <si>
    <t>63e36ff2-d7d3-11ee-ac36-0242ff9ee44d</t>
  </si>
  <si>
    <t>Rembang</t>
  </si>
  <si>
    <t>3521140606710002</t>
  </si>
  <si>
    <t>BALONGCAPANG</t>
  </si>
  <si>
    <t>63e3c560-d7d3-11ee-ac36-0242ff9ee44d</t>
  </si>
  <si>
    <t>REO PUTRA</t>
  </si>
  <si>
    <t>Dusun Sumyangan Desa Tanjungsari Kec. Jogorogo</t>
  </si>
  <si>
    <t>63e393bc-d7d3-11ee-ac36-0242ff9ee44d</t>
  </si>
  <si>
    <t>Ridwan Riyanto</t>
  </si>
  <si>
    <t>3521150706910002</t>
  </si>
  <si>
    <t>63e3875b-d7d3-11ee-ac36-0242ff9ee44d</t>
  </si>
  <si>
    <t>rifai</t>
  </si>
  <si>
    <t>3521122604670001</t>
  </si>
  <si>
    <t>63e33f6d-d7d3-11ee-ac36-0242ff9ee44d</t>
  </si>
  <si>
    <t>RIMAN</t>
  </si>
  <si>
    <t>3521022009650001</t>
  </si>
  <si>
    <t>3521110801550001</t>
  </si>
  <si>
    <t>63e383ac-d7d3-11ee-ac36-0242ff9ee44d</t>
  </si>
  <si>
    <t>Rino Muhamad Saiful</t>
  </si>
  <si>
    <t>3521163004990001</t>
  </si>
  <si>
    <t>63e3ab0e-d7d3-11ee-ac36-0242ff9ee44d</t>
  </si>
  <si>
    <t>RISDIANTO</t>
  </si>
  <si>
    <t>3521040703710002</t>
  </si>
  <si>
    <t>Dusun Gayam</t>
  </si>
  <si>
    <t>63e35204-d7d3-11ee-ac36-0242ff9ee44d</t>
  </si>
  <si>
    <t>RISTA ANDRIANA</t>
  </si>
  <si>
    <t>3521065709840001</t>
  </si>
  <si>
    <t>63e3ad37-d7d3-11ee-ac36-0242ff9ee44d</t>
  </si>
  <si>
    <t>Ristanti. S</t>
  </si>
  <si>
    <t>3521035809950004</t>
  </si>
  <si>
    <t>63e3baf1-d7d3-11ee-ac36-0242ff9ee44d</t>
  </si>
  <si>
    <t>RISTIANI</t>
  </si>
  <si>
    <t>3521125306640001</t>
  </si>
  <si>
    <t>63e33925-d7d3-11ee-ac36-0242ff9ee44d</t>
  </si>
  <si>
    <t>RIYADI</t>
  </si>
  <si>
    <t>3521022104720004</t>
  </si>
  <si>
    <t>63e3c813-d7d3-11ee-ac36-0242ff9ee44d</t>
  </si>
  <si>
    <t>3521102412670001</t>
  </si>
  <si>
    <t>63e3c6d1-d7d3-11ee-ac36-0242ff9ee44d</t>
  </si>
  <si>
    <t>3521102409760001</t>
  </si>
  <si>
    <t>63e3ac8f-d7d3-11ee-ac36-0242ff9ee44d</t>
  </si>
  <si>
    <t>Riyani</t>
  </si>
  <si>
    <t>63e38fab-d7d3-11ee-ac36-0242ff9ee44d</t>
  </si>
  <si>
    <t>Riyanto</t>
  </si>
  <si>
    <t>3521073105810002</t>
  </si>
  <si>
    <t>63e3bb06-d7d3-11ee-ac36-0242ff9ee44d</t>
  </si>
  <si>
    <t>3521123006770011</t>
  </si>
  <si>
    <t>63e37326-d7d3-11ee-ac36-0242ff9ee44d</t>
  </si>
  <si>
    <t>riyem</t>
  </si>
  <si>
    <t>3521155406780001</t>
  </si>
  <si>
    <t>63e38770-d7d3-11ee-ac36-0242ff9ee44d</t>
  </si>
  <si>
    <t>rochmad</t>
  </si>
  <si>
    <t>3521120703530001</t>
  </si>
  <si>
    <t>63e3867e-d7d3-11ee-ac36-0242ff9ee44d</t>
  </si>
  <si>
    <t>Rochmad santoso</t>
  </si>
  <si>
    <t>3521122007680002</t>
  </si>
  <si>
    <t>63e39d75-d7d3-11ee-ac36-0242ff9ee44d</t>
  </si>
  <si>
    <t>Rochmadi</t>
  </si>
  <si>
    <t>3521132601490001</t>
  </si>
  <si>
    <t>63e3194f-d7d3-11ee-ac36-0242ff9ee44d</t>
  </si>
  <si>
    <t>ROFI' SITI MU'ALIFAH</t>
  </si>
  <si>
    <t>63e336d0-d7d3-11ee-ac36-0242ff9ee44d</t>
  </si>
  <si>
    <t>ROFIK</t>
  </si>
  <si>
    <t>3521022203580002</t>
  </si>
  <si>
    <t>3521066812800001</t>
  </si>
  <si>
    <t>63e3c5e5-d7d3-11ee-ac36-0242ff9ee44d</t>
  </si>
  <si>
    <t>ROFIQ</t>
  </si>
  <si>
    <t>3521031009690005</t>
  </si>
  <si>
    <t>63e36711-d7d3-11ee-ac36-0242ff9ee44d</t>
  </si>
  <si>
    <t>Rogib</t>
  </si>
  <si>
    <t>3521120301580001</t>
  </si>
  <si>
    <t>Sukorejo</t>
  </si>
  <si>
    <t>63e35821-d7d3-11ee-ac36-0242ff9ee44d</t>
  </si>
  <si>
    <t>3521022204500001</t>
  </si>
  <si>
    <t>ROHANI</t>
  </si>
  <si>
    <t>63e37836-d7d3-11ee-ac36-0242ff9ee44d</t>
  </si>
  <si>
    <t>ROHMAD</t>
  </si>
  <si>
    <t>3521052098670001</t>
  </si>
  <si>
    <t>63e30b76-d7d3-11ee-ac36-0242ff9ee44d</t>
  </si>
  <si>
    <t>Rohman</t>
  </si>
  <si>
    <t>3521082009700003</t>
  </si>
  <si>
    <t>63e3b527-d7d3-11ee-ac36-0242ff9ee44d</t>
  </si>
  <si>
    <t>ROHMAT NUGROHO</t>
  </si>
  <si>
    <t>3521120901970004</t>
  </si>
  <si>
    <t>63e38785-d7d3-11ee-ac36-0242ff9ee44d</t>
  </si>
  <si>
    <t>Roni adi</t>
  </si>
  <si>
    <t>3521121012730005</t>
  </si>
  <si>
    <t>63e3b623-d7d3-11ee-ac36-0242ff9ee44d</t>
  </si>
  <si>
    <t>RONY WIJAYA</t>
  </si>
  <si>
    <t>3521092912750001</t>
  </si>
  <si>
    <t>63e3ac64-d7d3-11ee-ac36-0242ff9ee44d</t>
  </si>
  <si>
    <t>ROSIANA DEWI</t>
  </si>
  <si>
    <t>3521064902920001</t>
  </si>
  <si>
    <t>63e35836-d7d3-11ee-ac36-0242ff9ee44d</t>
  </si>
  <si>
    <t>ROSIDI</t>
  </si>
  <si>
    <t>63e39fe4-d7d3-11ee-ac36-0242ff9ee44d</t>
  </si>
  <si>
    <t>Rosit Fatoni</t>
  </si>
  <si>
    <t>3521031309910001</t>
  </si>
  <si>
    <t>63e393d1-d7d3-11ee-ac36-0242ff9ee44d</t>
  </si>
  <si>
    <t>Roswoto</t>
  </si>
  <si>
    <t>3521151303900003</t>
  </si>
  <si>
    <t>63e318a6-d7d3-11ee-ac36-0242ff9ee44d</t>
  </si>
  <si>
    <t>RUDIK HARYANTO</t>
  </si>
  <si>
    <t>KAJAN RT 03/01</t>
  </si>
  <si>
    <t>63e3c355-d7d3-11ee-ac36-0242ff9ee44d</t>
  </si>
  <si>
    <t>RUDIYANTO</t>
  </si>
  <si>
    <t>3521102409870003</t>
  </si>
  <si>
    <t>63e318d0-d7d3-11ee-ac36-0242ff9ee44d</t>
  </si>
  <si>
    <t>RUJIK SUJARYO</t>
  </si>
  <si>
    <t>KAJAN RT 11/01</t>
  </si>
  <si>
    <t>63e38c55-d7d3-11ee-ac36-0242ff9ee44d</t>
  </si>
  <si>
    <t>Rujito</t>
  </si>
  <si>
    <t>3521070408710002</t>
  </si>
  <si>
    <t>63e38f50-d7d3-11ee-ac36-0242ff9ee44d</t>
  </si>
  <si>
    <t>Rukiman</t>
  </si>
  <si>
    <t>3521073006590033</t>
  </si>
  <si>
    <t>63e3c000-d7d3-11ee-ac36-0242ff9ee44d</t>
  </si>
  <si>
    <t>Rukinah</t>
  </si>
  <si>
    <t>3521167112350001</t>
  </si>
  <si>
    <t>63e313ac-d7d3-11ee-ac36-0242ff9ee44d</t>
  </si>
  <si>
    <t>RULLY DWI CAHYANTO</t>
  </si>
  <si>
    <t>Banjaran RT.05 RW.01</t>
  </si>
  <si>
    <t>63e33fc1-d7d3-11ee-ac36-0242ff9ee44d</t>
  </si>
  <si>
    <t>RUMINI</t>
  </si>
  <si>
    <t>NGEMPLAK RT3/RW3</t>
  </si>
  <si>
    <t>63e33d8d-d7d3-11ee-ac36-0242ff9ee44d</t>
  </si>
  <si>
    <t>RURUH INDRIANA DAMAYANTI</t>
  </si>
  <si>
    <t>3521025001800001</t>
  </si>
  <si>
    <t>63e35aa9-d7d3-11ee-ac36-0242ff9ee44d</t>
  </si>
  <si>
    <t>Rusdianto</t>
  </si>
  <si>
    <t>3521080307690004</t>
  </si>
  <si>
    <t>63e313c2-d7d3-11ee-ac36-0242ff9ee44d</t>
  </si>
  <si>
    <t>RUSLAN</t>
  </si>
  <si>
    <t>Banjaran RT.02 RW.01</t>
  </si>
  <si>
    <t>63e32ffe-d7d3-11ee-ac36-0242ff9ee44d</t>
  </si>
  <si>
    <t>RUSLAN ARIF</t>
  </si>
  <si>
    <t>63e3aea4-d7d3-11ee-ac36-0242ff9ee44d</t>
  </si>
  <si>
    <t>RUSLAN JAILANI</t>
  </si>
  <si>
    <t>3521040805710001</t>
  </si>
  <si>
    <t>RT. 02 RW. 06 JATISARI</t>
  </si>
  <si>
    <t>63e3b5bb-d7d3-11ee-ac36-0242ff9ee44d</t>
  </si>
  <si>
    <t>Rusmin</t>
  </si>
  <si>
    <t>3521160107720007</t>
  </si>
  <si>
    <t>Grojokan Desa Kalang Kecamatan Pitu</t>
  </si>
  <si>
    <t>63e313d6-d7d3-11ee-ac36-0242ff9ee44d</t>
  </si>
  <si>
    <t>RUSMIN</t>
  </si>
  <si>
    <t>3521022306800002</t>
  </si>
  <si>
    <t>Banjaran RT.03 RW.01</t>
  </si>
  <si>
    <t>63e36e98-d7d3-11ee-ac36-0242ff9ee44d</t>
  </si>
  <si>
    <t>3521190208780001</t>
  </si>
  <si>
    <t>Kiyonten</t>
  </si>
  <si>
    <t>63e34ff1-d7d3-11ee-ac36-0242ff9ee44d</t>
  </si>
  <si>
    <t>RUSMINI</t>
  </si>
  <si>
    <t>3521024909760001</t>
  </si>
  <si>
    <t>63e370b3-d7d3-11ee-ac36-0242ff9ee44d</t>
  </si>
  <si>
    <t>Ruswanto</t>
  </si>
  <si>
    <t>3521142504730001</t>
  </si>
  <si>
    <t>63e38a1b-d7d3-11ee-ac36-0242ff9ee44d</t>
  </si>
  <si>
    <t>Sabar</t>
  </si>
  <si>
    <t>3521070702720001</t>
  </si>
  <si>
    <t>63e390ea-d7d3-11ee-ac36-0242ff9ee44d</t>
  </si>
  <si>
    <t>Sabariyanto</t>
  </si>
  <si>
    <t>3521070912740005</t>
  </si>
  <si>
    <t>63e31036-d7d3-11ee-ac36-0242ff9ee44d</t>
  </si>
  <si>
    <t>Sadik</t>
  </si>
  <si>
    <t>3521081412590001</t>
  </si>
  <si>
    <t>Dusun Mugu Raya Desa kedungprahu</t>
  </si>
  <si>
    <t>63e35005-d7d3-11ee-ac36-0242ff9ee44d</t>
  </si>
  <si>
    <t>SADIMIN</t>
  </si>
  <si>
    <t>3521022706700002</t>
  </si>
  <si>
    <t>63e3b179-d7d3-11ee-ac36-0242ff9ee44d</t>
  </si>
  <si>
    <t>SADIR WIDODO</t>
  </si>
  <si>
    <t>3521091204740004</t>
  </si>
  <si>
    <t>Dsn. PRANDON</t>
  </si>
  <si>
    <t>63e3a6c3-d7d3-11ee-ac36-0242ff9ee44d</t>
  </si>
  <si>
    <t>SADIRAN</t>
  </si>
  <si>
    <t>3521060507700002</t>
  </si>
  <si>
    <t>63e387dc-d7d3-11ee-ac36-0242ff9ee44d</t>
  </si>
  <si>
    <t>Sadiran</t>
  </si>
  <si>
    <t>3521071507650001</t>
  </si>
  <si>
    <t>63e30efc-d7d3-11ee-ac36-0242ff9ee44d</t>
  </si>
  <si>
    <t>Sadirun</t>
  </si>
  <si>
    <t>3521080301580002</t>
  </si>
  <si>
    <t>63e3502f-d7d3-11ee-ac36-0242ff9ee44d</t>
  </si>
  <si>
    <t>SADIYEM</t>
  </si>
  <si>
    <t>3521026505600001</t>
  </si>
  <si>
    <t>63e3584b-d7d3-11ee-ac36-0242ff9ee44d</t>
  </si>
  <si>
    <t>SADIYO</t>
  </si>
  <si>
    <t>63e37255-d7d3-11ee-ac36-0242ff9ee44d</t>
  </si>
  <si>
    <t>Saeno Dwi Atmojo</t>
  </si>
  <si>
    <t>3521140602650002</t>
  </si>
  <si>
    <t>63e328fc-d7d3-11ee-ac36-0242ff9ee44d</t>
  </si>
  <si>
    <t>Saeran</t>
  </si>
  <si>
    <t>3521180808700001</t>
  </si>
  <si>
    <t>Bangsal</t>
  </si>
  <si>
    <t>63e36a49-d7d3-11ee-ac36-0242ff9ee44d</t>
  </si>
  <si>
    <t>Sagiyanto</t>
  </si>
  <si>
    <t>3521121805520001</t>
  </si>
  <si>
    <t>Sidolaju</t>
  </si>
  <si>
    <t>63e37bbd-d7d3-11ee-ac36-0242ff9ee44d</t>
  </si>
  <si>
    <t>Saidi</t>
  </si>
  <si>
    <t>3521170102560002</t>
  </si>
  <si>
    <t>63e35f7d-d7d3-11ee-ac36-0242ff9ee44d</t>
  </si>
  <si>
    <t>3521081209790001</t>
  </si>
  <si>
    <t>63e35043-d7d3-11ee-ac36-0242ff9ee44d</t>
  </si>
  <si>
    <t>SAIDI</t>
  </si>
  <si>
    <t>3521023112620033</t>
  </si>
  <si>
    <t>63e37f53-d7d3-11ee-ac36-0242ff9ee44d</t>
  </si>
  <si>
    <t>SAIFUDDIN</t>
  </si>
  <si>
    <t>3521123110840004</t>
  </si>
  <si>
    <t>3521022611760002</t>
  </si>
  <si>
    <t>63e30b09-d7d3-11ee-ac36-0242ff9ee44d</t>
  </si>
  <si>
    <t>SAIFUDIN</t>
  </si>
  <si>
    <t>3521041603710001</t>
  </si>
  <si>
    <t>Dusun Wonokerto RT. 03 RW. 01</t>
  </si>
  <si>
    <t>3521022701670001</t>
  </si>
  <si>
    <t>63e31fb7-d7d3-11ee-ac36-0242ff9ee44d</t>
  </si>
  <si>
    <t>SAIFUL ANWAR</t>
  </si>
  <si>
    <t>63e38254-d7d3-11ee-ac36-0242ff9ee44d</t>
  </si>
  <si>
    <t>SAIMAN</t>
  </si>
  <si>
    <t>3521053107670001</t>
  </si>
  <si>
    <t>63e34c28-d7d3-11ee-ac36-0242ff9ee44d</t>
  </si>
  <si>
    <t>3521090509670002</t>
  </si>
  <si>
    <t>Dsn Desan  RT 001  RW 011</t>
  </si>
  <si>
    <t>63e38dfb-d7d3-11ee-ac36-0242ff9ee44d</t>
  </si>
  <si>
    <t>Saimun</t>
  </si>
  <si>
    <t>3521070110680003</t>
  </si>
  <si>
    <t>63e3aacd-d7d3-11ee-ac36-0242ff9ee44d</t>
  </si>
  <si>
    <t>SAINU</t>
  </si>
  <si>
    <t>3521040105830002</t>
  </si>
  <si>
    <t>63e38aec-d7d3-11ee-ac36-0242ff9ee44d</t>
  </si>
  <si>
    <t>Sajak</t>
  </si>
  <si>
    <t>3521070803690002</t>
  </si>
  <si>
    <t>63e3b57c-d7d3-11ee-ac36-0242ff9ee44d</t>
  </si>
  <si>
    <t>Saji</t>
  </si>
  <si>
    <t>3521160104680001</t>
  </si>
  <si>
    <t>Nglebur Desa Kalang Kecamatan Pitu</t>
  </si>
  <si>
    <t>63e3104b-d7d3-11ee-ac36-0242ff9ee44d</t>
  </si>
  <si>
    <t>3521081009650002</t>
  </si>
  <si>
    <t>63e3746c-d7d3-11ee-ac36-0242ff9ee44d</t>
  </si>
  <si>
    <t>3521022708720001</t>
  </si>
  <si>
    <t>Salam</t>
  </si>
  <si>
    <t>3521191704770002</t>
  </si>
  <si>
    <t>63e3c3e8-d7d3-11ee-ac36-0242ff9ee44d</t>
  </si>
  <si>
    <t>SALI</t>
  </si>
  <si>
    <t>3521103101700002</t>
  </si>
  <si>
    <t>63e310f0-d7d3-11ee-ac36-0242ff9ee44d</t>
  </si>
  <si>
    <t>Sali</t>
  </si>
  <si>
    <t>3521080510710001</t>
  </si>
  <si>
    <t>63e33232-d7d3-11ee-ac36-0242ff9ee44d</t>
  </si>
  <si>
    <t>SALI RAHARJO</t>
  </si>
  <si>
    <t>63e3bf7f-d7d3-11ee-ac36-0242ff9ee44d</t>
  </si>
  <si>
    <t>Salim</t>
  </si>
  <si>
    <t>3521163112550003</t>
  </si>
  <si>
    <t>63e38b96-d7d3-11ee-ac36-0242ff9ee44d</t>
  </si>
  <si>
    <t>Salim Mustakim</t>
  </si>
  <si>
    <t>3521071207780001</t>
  </si>
  <si>
    <t>63e31b04-d7d3-11ee-ac36-0242ff9ee44d</t>
  </si>
  <si>
    <t>Samanhudi</t>
  </si>
  <si>
    <t>3521190711710001</t>
  </si>
  <si>
    <t>Gempolowo</t>
  </si>
  <si>
    <t>63e3588e-d7d3-11ee-ac36-0242ff9ee44d</t>
  </si>
  <si>
    <t>SAMIDI</t>
  </si>
  <si>
    <t>63e38196-d7d3-11ee-ac36-0242ff9ee44d</t>
  </si>
  <si>
    <t>3521022903760001</t>
  </si>
  <si>
    <t>3521051007670002</t>
  </si>
  <si>
    <t>63e321ac-d7d3-11ee-ac36-0242ff9ee44d</t>
  </si>
  <si>
    <t>Samidin</t>
  </si>
  <si>
    <t>3521163006580031</t>
  </si>
  <si>
    <t>63e31201-d7d3-11ee-ac36-0242ff9ee44d</t>
  </si>
  <si>
    <t>Samidjan</t>
  </si>
  <si>
    <t>3521081911480001</t>
  </si>
  <si>
    <t>63e371d0-d7d3-11ee-ac36-0242ff9ee44d</t>
  </si>
  <si>
    <t>Samilan</t>
  </si>
  <si>
    <t>3521142811630001</t>
  </si>
  <si>
    <t>63e3554f-d7d3-11ee-ac36-0242ff9ee44d</t>
  </si>
  <si>
    <t>Samin</t>
  </si>
  <si>
    <t>3521081609690003</t>
  </si>
  <si>
    <t>Dusun Barahan Desa Banjaransari</t>
  </si>
  <si>
    <t>63e317ce-d7d3-11ee-ac36-0242ff9ee44d</t>
  </si>
  <si>
    <t>Samingun</t>
  </si>
  <si>
    <t>3521190407430002</t>
  </si>
  <si>
    <t>63e315ca-d7d3-11ee-ac36-0242ff9ee44d</t>
  </si>
  <si>
    <t>3521190801670001</t>
  </si>
  <si>
    <t>63e35a68-d7d3-11ee-ac36-0242ff9ee44d</t>
  </si>
  <si>
    <t>Samino</t>
  </si>
  <si>
    <t>3521080401700003</t>
  </si>
  <si>
    <t>63e31ada-d7d3-11ee-ac36-0242ff9ee44d</t>
  </si>
  <si>
    <t>Sampan</t>
  </si>
  <si>
    <t>3521192302650001</t>
  </si>
  <si>
    <t>63e3a0e7-d7d3-11ee-ac36-0242ff9ee44d</t>
  </si>
  <si>
    <t>SAMSI</t>
  </si>
  <si>
    <t>3521041412700002</t>
  </si>
  <si>
    <t>DUSUN WIJIL</t>
  </si>
  <si>
    <t>63e30ff7-d7d3-11ee-ac36-0242ff9ee44d</t>
  </si>
  <si>
    <t>Samsikin</t>
  </si>
  <si>
    <t>3521082012670001</t>
  </si>
  <si>
    <t>63e3b43b-d7d3-11ee-ac36-0242ff9ee44d</t>
  </si>
  <si>
    <t>Samsirin</t>
  </si>
  <si>
    <t>3521120708660002</t>
  </si>
  <si>
    <t>63e37964-d7d3-11ee-ac36-0242ff9ee44d</t>
  </si>
  <si>
    <t>SAMSU</t>
  </si>
  <si>
    <t>3521050108590004</t>
  </si>
  <si>
    <t>63e341cf-d7d3-11ee-ac36-0242ff9ee44d</t>
  </si>
  <si>
    <t>3521141609690002</t>
  </si>
  <si>
    <t>63e339a3-d7d3-11ee-ac36-0242ff9ee44d</t>
  </si>
  <si>
    <t>SAMSUDIN</t>
  </si>
  <si>
    <t>63e3c7be-d7d3-11ee-ac36-0242ff9ee44d</t>
  </si>
  <si>
    <t>3521101107610001</t>
  </si>
  <si>
    <t>63e362df-d7d3-11ee-ac36-0242ff9ee44d</t>
  </si>
  <si>
    <t>Samsul Muarifin</t>
  </si>
  <si>
    <t>3521023012780001</t>
  </si>
  <si>
    <t>63e3c08a-d7d3-11ee-ac36-0242ff9ee44d</t>
  </si>
  <si>
    <t>SAMUJI</t>
  </si>
  <si>
    <t>3521100706760005</t>
  </si>
  <si>
    <t>63e30d09-d7d3-11ee-ac36-0242ff9ee44d</t>
  </si>
  <si>
    <t>Saniman</t>
  </si>
  <si>
    <t>3521023112440018</t>
  </si>
  <si>
    <t>3521082003690002</t>
  </si>
  <si>
    <t>63e3b5d0-d7d3-11ee-ac36-0242ff9ee44d</t>
  </si>
  <si>
    <t>Sanimin</t>
  </si>
  <si>
    <t>3521160107650014</t>
  </si>
  <si>
    <t>63e39054-d7d3-11ee-ac36-0242ff9ee44d</t>
  </si>
  <si>
    <t>Santoso</t>
  </si>
  <si>
    <t>3521072906660001</t>
  </si>
  <si>
    <t>63e3b7e0-d7d3-11ee-ac36-0242ff9ee44d</t>
  </si>
  <si>
    <t>SANTOSO</t>
  </si>
  <si>
    <t>3521042604680002</t>
  </si>
  <si>
    <t>63e37d12-d7d3-11ee-ac36-0242ff9ee44d</t>
  </si>
  <si>
    <t>3521170502790001</t>
  </si>
  <si>
    <t>Dusun Teteng, Desa Gembol</t>
  </si>
  <si>
    <t>63e339cc-d7d3-11ee-ac36-0242ff9ee44d</t>
  </si>
  <si>
    <t>3521023112620013</t>
  </si>
  <si>
    <t>63e32390-d7d3-11ee-ac36-0242ff9ee44d</t>
  </si>
  <si>
    <t>3521111603700003</t>
  </si>
  <si>
    <t>63e339f7-d7d3-11ee-ac36-0242ff9ee44d</t>
  </si>
  <si>
    <t>SAPARDI</t>
  </si>
  <si>
    <t>63e36a76-d7d3-11ee-ac36-0242ff9ee44d</t>
  </si>
  <si>
    <t>Sapari</t>
  </si>
  <si>
    <t>3521120101650009</t>
  </si>
  <si>
    <t>63e32fc0-d7d3-11ee-ac36-0242ff9ee44d</t>
  </si>
  <si>
    <t>SARBUDI</t>
  </si>
  <si>
    <t>63e3a698-d7d3-11ee-ac36-0242ff9ee44d</t>
  </si>
  <si>
    <t>SARDI</t>
  </si>
  <si>
    <t>3521023112700011</t>
  </si>
  <si>
    <t>3521060101610002</t>
  </si>
  <si>
    <t>63e3a3dc-d7d3-11ee-ac36-0242ff9ee44d</t>
  </si>
  <si>
    <t>Sarengat</t>
  </si>
  <si>
    <t>3521032601610001</t>
  </si>
  <si>
    <t>63e30d87-d7d3-11ee-ac36-0242ff9ee44d</t>
  </si>
  <si>
    <t>Sarimin</t>
  </si>
  <si>
    <t>3521082207620001</t>
  </si>
  <si>
    <t>3521024101550001</t>
  </si>
  <si>
    <t>63e3b53d-d7d3-11ee-ac36-0242ff9ee44d</t>
  </si>
  <si>
    <t>Sarini</t>
  </si>
  <si>
    <t>3521096801770001</t>
  </si>
  <si>
    <t>63e35c00-d7d3-11ee-ac36-0242ff9ee44d</t>
  </si>
  <si>
    <t>Sariningsih</t>
  </si>
  <si>
    <t>3521084801690002</t>
  </si>
  <si>
    <t>63e37351-d7d3-11ee-ac36-0242ff9ee44d</t>
  </si>
  <si>
    <t>sarinten</t>
  </si>
  <si>
    <t>3521155911840003</t>
  </si>
  <si>
    <t>63e3180c-d7d3-11ee-ac36-0242ff9ee44d</t>
  </si>
  <si>
    <t>SARIYANTO</t>
  </si>
  <si>
    <t>63e3710a-d7d3-11ee-ac36-0242ff9ee44d</t>
  </si>
  <si>
    <t>Sarjono</t>
  </si>
  <si>
    <t>3521142508690002</t>
  </si>
  <si>
    <t>PANGKUR</t>
  </si>
  <si>
    <t>63e3832b-d7d3-11ee-ac36-0242ff9ee44d</t>
  </si>
  <si>
    <t>SARNIHADI</t>
  </si>
  <si>
    <t>3521051110550001</t>
  </si>
  <si>
    <t>63e34b3e-d7d3-11ee-ac36-0242ff9ee44d</t>
  </si>
  <si>
    <t>Sarno</t>
  </si>
  <si>
    <t>3521090307700001</t>
  </si>
  <si>
    <t>Dsn Plosorejo</t>
  </si>
  <si>
    <t>63e3950c-d7d3-11ee-ac36-0242ff9ee44d</t>
  </si>
  <si>
    <t>3521081505790003</t>
  </si>
  <si>
    <t>Dusun Bolo I Desa Sambiroto</t>
  </si>
  <si>
    <t>63e36640-d7d3-11ee-ac36-0242ff9ee44d</t>
  </si>
  <si>
    <t>3521082006570003</t>
  </si>
  <si>
    <t>63e355a7-d7d3-11ee-ac36-0242ff9ee44d</t>
  </si>
  <si>
    <t>Saroso</t>
  </si>
  <si>
    <t>3521080704740002</t>
  </si>
  <si>
    <t>Dusun Banjar II Desa Banjaransari</t>
  </si>
  <si>
    <t>63e38ebb-d7d3-11ee-ac36-0242ff9ee44d</t>
  </si>
  <si>
    <t>Sarpan</t>
  </si>
  <si>
    <t>3521070704790004</t>
  </si>
  <si>
    <t>3521024212820004</t>
  </si>
  <si>
    <t>63e3516e-d7d3-11ee-ac36-0242ff9ee44d</t>
  </si>
  <si>
    <t>SARSAM W</t>
  </si>
  <si>
    <t>3521030110740006</t>
  </si>
  <si>
    <t>Dusun Duren Desa Jaten Kec. Jogorogo</t>
  </si>
  <si>
    <t>63e33b20-d7d3-11ee-ac36-0242ff9ee44d</t>
  </si>
  <si>
    <t>SARWOKO</t>
  </si>
  <si>
    <t>63e388c4-d7d3-11ee-ac36-0242ff9ee44d</t>
  </si>
  <si>
    <t>Sarwono</t>
  </si>
  <si>
    <t>3521071212820002</t>
  </si>
  <si>
    <t>63e38cfb-d7d3-11ee-ac36-0242ff9ee44d</t>
  </si>
  <si>
    <t>3521071906880001</t>
  </si>
  <si>
    <t>63e331df-d7d3-11ee-ac36-0242ff9ee44d</t>
  </si>
  <si>
    <t>SASTRO SADI</t>
  </si>
  <si>
    <t>63e38903-d7d3-11ee-ac36-0242ff9ee44d</t>
  </si>
  <si>
    <t>Sayid</t>
  </si>
  <si>
    <t>3521073006530024</t>
  </si>
  <si>
    <t>63e375c3-d7d3-11ee-ac36-0242ff9ee44d</t>
  </si>
  <si>
    <t>Seni</t>
  </si>
  <si>
    <t>3521191901740001</t>
  </si>
  <si>
    <t>63e34114-d7d3-11ee-ac36-0242ff9ee44d</t>
  </si>
  <si>
    <t>SETIADI</t>
  </si>
  <si>
    <t>3521111307800002</t>
  </si>
  <si>
    <t>63e35b9c-d7d3-11ee-ac36-0242ff9ee44d</t>
  </si>
  <si>
    <t>SETIYADI</t>
  </si>
  <si>
    <t>3521061705660001</t>
  </si>
  <si>
    <t>63e36d1d-d7d3-11ee-ac36-0242ff9ee44d</t>
  </si>
  <si>
    <t>SETIYONO</t>
  </si>
  <si>
    <t>3521151608800002</t>
  </si>
  <si>
    <t>Dero Bringin</t>
  </si>
  <si>
    <t>63e3b776-d7d3-11ee-ac36-0242ff9ee44d</t>
  </si>
  <si>
    <t>SETIYONO DWI KARTIKO</t>
  </si>
  <si>
    <t>3521024604390003</t>
  </si>
  <si>
    <t>3521151501850003</t>
  </si>
  <si>
    <t>63e3718b-d7d3-11ee-ac36-0242ff9ee44d</t>
  </si>
  <si>
    <t>Setu Mustofa</t>
  </si>
  <si>
    <t>3521141604650002</t>
  </si>
  <si>
    <t>63e354b4-d7d3-11ee-ac36-0242ff9ee44d</t>
  </si>
  <si>
    <t>SETU SETIADI</t>
  </si>
  <si>
    <t>3521092308580002</t>
  </si>
  <si>
    <t>Dsn. SADANG</t>
  </si>
  <si>
    <t>63e34707-d7d3-11ee-ac36-0242ff9ee44d</t>
  </si>
  <si>
    <t>SETYA KARTI</t>
  </si>
  <si>
    <t>3521116707790005</t>
  </si>
  <si>
    <t>63e37ca6-d7d3-11ee-ac36-0242ff9ee44d</t>
  </si>
  <si>
    <t>Setyono</t>
  </si>
  <si>
    <t>3521171606530002</t>
  </si>
  <si>
    <t>63e3bb46-d7d3-11ee-ac36-0242ff9ee44d</t>
  </si>
  <si>
    <t>SHINTA CANDRA</t>
  </si>
  <si>
    <t>3521035905910001</t>
  </si>
  <si>
    <t>63e33bc7-d7d3-11ee-ac36-0242ff9ee44d</t>
  </si>
  <si>
    <t>SHOLEH HUDA</t>
  </si>
  <si>
    <t>3521062410550002</t>
  </si>
  <si>
    <t>63e36771-d7d3-11ee-ac36-0242ff9ee44d</t>
  </si>
  <si>
    <t>Sholichin</t>
  </si>
  <si>
    <t>3521080302690002</t>
  </si>
  <si>
    <t>63e3b722-d7d3-11ee-ac36-0242ff9ee44d</t>
  </si>
  <si>
    <t>SHUMIRAN</t>
  </si>
  <si>
    <t>3521043012830003</t>
  </si>
  <si>
    <t>63e37137-d7d3-11ee-ac36-0242ff9ee44d</t>
  </si>
  <si>
    <t>Sidi</t>
  </si>
  <si>
    <t>3521142908720001</t>
  </si>
  <si>
    <t>WARUKTENGAH</t>
  </si>
  <si>
    <t>63e36af6-d7d3-11ee-ac36-0242ff9ee44d</t>
  </si>
  <si>
    <t>Sidianto</t>
  </si>
  <si>
    <t>63e39ae0-d7d3-11ee-ac36-0242ff9ee44d</t>
  </si>
  <si>
    <t>Sidiono</t>
  </si>
  <si>
    <t>63e3afb7-d7d3-11ee-ac36-0242ff9ee44d</t>
  </si>
  <si>
    <t>Sido Haryanto</t>
  </si>
  <si>
    <t>3521132812700001</t>
  </si>
  <si>
    <t>63e34a30-d7d3-11ee-ac36-0242ff9ee44d</t>
  </si>
  <si>
    <t>SIGIT KURNIAWAN</t>
  </si>
  <si>
    <t>3521060211810001</t>
  </si>
  <si>
    <t>Dsn. Boto Ds. Purwoasri</t>
  </si>
  <si>
    <t>63e30ea8-d7d3-11ee-ac36-0242ff9ee44d</t>
  </si>
  <si>
    <t>Sigit Tri Budi Santoso</t>
  </si>
  <si>
    <t>3521080904620002</t>
  </si>
  <si>
    <t>3521025006540001</t>
  </si>
  <si>
    <t>Dusun Sukowiyono IV Desa Sukowiyono</t>
  </si>
  <si>
    <t>63e358e4-d7d3-11ee-ac36-0242ff9ee44d</t>
  </si>
  <si>
    <t>SIMAN</t>
  </si>
  <si>
    <t>63e36eae-d7d3-11ee-ac36-0242ff9ee44d</t>
  </si>
  <si>
    <t>Sipan</t>
  </si>
  <si>
    <t>3521191012740001</t>
  </si>
  <si>
    <t>63e3b4fc-d7d3-11ee-ac36-0242ff9ee44d</t>
  </si>
  <si>
    <t>Siramiati</t>
  </si>
  <si>
    <t>3521025011400002</t>
  </si>
  <si>
    <t>63e371e6-d7d3-11ee-ac36-0242ff9ee44d</t>
  </si>
  <si>
    <t>Siran</t>
  </si>
  <si>
    <t>3521191103550001</t>
  </si>
  <si>
    <t>63e33cdb-d7d3-11ee-ac36-0242ff9ee44d</t>
  </si>
  <si>
    <t>SIRENG</t>
  </si>
  <si>
    <t>63e398dc-d7d3-11ee-ac36-0242ff9ee44d</t>
  </si>
  <si>
    <t>Siswadi</t>
  </si>
  <si>
    <t>3521073006630035</t>
  </si>
  <si>
    <t>63e3aab8-d7d3-11ee-ac36-0242ff9ee44d</t>
  </si>
  <si>
    <t>SISWANTO</t>
  </si>
  <si>
    <t>3521025107520001</t>
  </si>
  <si>
    <t>3521040203670002</t>
  </si>
  <si>
    <t>63e31dad-d7d3-11ee-ac36-0242ff9ee44d</t>
  </si>
  <si>
    <t>Tempel RT.03 RW.01</t>
  </si>
  <si>
    <t>63e343c8-d7d3-11ee-ac36-0242ff9ee44d</t>
  </si>
  <si>
    <t>3521140807730001</t>
  </si>
  <si>
    <t>63e35f58-d7d3-11ee-ac36-0242ff9ee44d</t>
  </si>
  <si>
    <t>3521121204740005</t>
  </si>
  <si>
    <t>Dusun Getas Desa Walikukun</t>
  </si>
  <si>
    <t>63e392c0-d7d3-11ee-ac36-0242ff9ee44d</t>
  </si>
  <si>
    <t>Siswo Wiyono</t>
  </si>
  <si>
    <t>3521073006480064</t>
  </si>
  <si>
    <t>63e36c9e-d7d3-11ee-ac36-0242ff9ee44d</t>
  </si>
  <si>
    <t>SISWOKO</t>
  </si>
  <si>
    <t>3521151608750002</t>
  </si>
  <si>
    <t>63e321bf-d7d3-11ee-ac36-0242ff9ee44d</t>
  </si>
  <si>
    <t>Siswoyo</t>
  </si>
  <si>
    <t>3521160901750001</t>
  </si>
  <si>
    <t>63e3bf11-d7d3-11ee-ac36-0242ff9ee44d</t>
  </si>
  <si>
    <t>Siti Chasanah</t>
  </si>
  <si>
    <t>3521166804860001</t>
  </si>
  <si>
    <t>63e3737b-d7d3-11ee-ac36-0242ff9ee44d</t>
  </si>
  <si>
    <t>siti fatimah</t>
  </si>
  <si>
    <t>3521154411880001</t>
  </si>
  <si>
    <t>63e393e8-d7d3-11ee-ac36-0242ff9ee44d</t>
  </si>
  <si>
    <t>Siti Lailatul Khodar</t>
  </si>
  <si>
    <t>3521156306870002</t>
  </si>
  <si>
    <t>63e345a1-d7d3-11ee-ac36-0242ff9ee44d</t>
  </si>
  <si>
    <t>Siti Ngaisah</t>
  </si>
  <si>
    <t>3521144708620002</t>
  </si>
  <si>
    <t>63e37022-d7d3-11ee-ac36-0242ff9ee44d</t>
  </si>
  <si>
    <t>Siti Ningsih</t>
  </si>
  <si>
    <t>3521145703760001</t>
  </si>
  <si>
    <t>63e354e1-d7d3-11ee-ac36-0242ff9ee44d</t>
  </si>
  <si>
    <t>Slamet</t>
  </si>
  <si>
    <t>63e348d9-d7d3-11ee-ac36-0242ff9ee44d</t>
  </si>
  <si>
    <t>SLAMET</t>
  </si>
  <si>
    <t>3521026002680001</t>
  </si>
  <si>
    <t>3521110606770004</t>
  </si>
  <si>
    <t>63e335ea-d7d3-11ee-ac36-0242ff9ee44d</t>
  </si>
  <si>
    <t>SLAMET ARIYADI</t>
  </si>
  <si>
    <t>3521061711710001</t>
  </si>
  <si>
    <t>63e358f9-d7d3-11ee-ac36-0242ff9ee44d</t>
  </si>
  <si>
    <t>SLAMET MULYONO</t>
  </si>
  <si>
    <t>63e385bd-d7d3-11ee-ac36-0242ff9ee44d</t>
  </si>
  <si>
    <t>SLAMET RIYADI</t>
  </si>
  <si>
    <t>3521050802770002</t>
  </si>
  <si>
    <t>63e32f82-d7d3-11ee-ac36-0242ff9ee44d</t>
  </si>
  <si>
    <t>SLAMET SUYANTO</t>
  </si>
  <si>
    <t>63e39c68-d7d3-11ee-ac36-0242ff9ee44d</t>
  </si>
  <si>
    <t>Sobirin</t>
  </si>
  <si>
    <t>3521130701770001</t>
  </si>
  <si>
    <t>63e38357-d7d3-11ee-ac36-0242ff9ee44d</t>
  </si>
  <si>
    <t>SOETARNO</t>
  </si>
  <si>
    <t>3521051507440001</t>
  </si>
  <si>
    <t>63e390d5-d7d3-11ee-ac36-0242ff9ee44d</t>
  </si>
  <si>
    <t>Sojo</t>
  </si>
  <si>
    <t>3521071910690002</t>
  </si>
  <si>
    <t>63e33d3a-d7d3-11ee-ac36-0242ff9ee44d</t>
  </si>
  <si>
    <t>SOKARTO JIMIN</t>
  </si>
  <si>
    <t>63e3a487-d7d3-11ee-ac36-0242ff9ee44d</t>
  </si>
  <si>
    <t>Solikin</t>
  </si>
  <si>
    <t>3521031006660001</t>
  </si>
  <si>
    <t>63e321d6-d7d3-11ee-ac36-0242ff9ee44d</t>
  </si>
  <si>
    <t>Somo Wiyono Seno</t>
  </si>
  <si>
    <t>3521163006500024</t>
  </si>
  <si>
    <t>63e3af37-d7d3-11ee-ac36-0242ff9ee44d</t>
  </si>
  <si>
    <t>SOYO</t>
  </si>
  <si>
    <t>3521041708760004</t>
  </si>
  <si>
    <t>63e317f8-d7d3-11ee-ac36-0242ff9ee44d</t>
  </si>
  <si>
    <t>SRI HARTINI</t>
  </si>
  <si>
    <t>SOMBO RT 04 RW 02</t>
  </si>
  <si>
    <t>63e3439e-d7d3-11ee-ac36-0242ff9ee44d</t>
  </si>
  <si>
    <t>SRI MULYANI</t>
  </si>
  <si>
    <t>3521066209660001</t>
  </si>
  <si>
    <t>63e3111b-d7d3-11ee-ac36-0242ff9ee44d</t>
  </si>
  <si>
    <t>Sri Mulyono</t>
  </si>
  <si>
    <t>3521080701690001</t>
  </si>
  <si>
    <t>3521027112630027</t>
  </si>
  <si>
    <t>63e37595-d7d3-11ee-ac36-0242ff9ee44d</t>
  </si>
  <si>
    <t>Sri Sumiharsih</t>
  </si>
  <si>
    <t>3521030106570002</t>
  </si>
  <si>
    <t>3521156111760001</t>
  </si>
  <si>
    <t>63e37be7-d7d3-11ee-ac36-0242ff9ee44d</t>
  </si>
  <si>
    <t>Sri Wahyuni</t>
  </si>
  <si>
    <t>3521175203850002</t>
  </si>
  <si>
    <t>63e3984b-d7d3-11ee-ac36-0242ff9ee44d</t>
  </si>
  <si>
    <t>SRI WANCI</t>
  </si>
  <si>
    <t>3521115204890002</t>
  </si>
  <si>
    <t>3521030201730002</t>
  </si>
  <si>
    <t>63e346c8-d7d3-11ee-ac36-0242ff9ee44d</t>
  </si>
  <si>
    <t>SRI WARTINI</t>
  </si>
  <si>
    <t>3521065510720001</t>
  </si>
  <si>
    <t>63e3bf54-d7d3-11ee-ac36-0242ff9ee44d</t>
  </si>
  <si>
    <t>Sriati</t>
  </si>
  <si>
    <t>3521115112830002</t>
  </si>
  <si>
    <t>63e37390-d7d3-11ee-ac36-0242ff9ee44d</t>
  </si>
  <si>
    <t>Sriwarni</t>
  </si>
  <si>
    <t>3521030206810004</t>
  </si>
  <si>
    <t>3521155903840001</t>
  </si>
  <si>
    <t>3521030210750007</t>
  </si>
  <si>
    <t>63e366cb-d7d3-11ee-ac36-0242ff9ee44d</t>
  </si>
  <si>
    <t>Sriyono</t>
  </si>
  <si>
    <t>3521121506670005</t>
  </si>
  <si>
    <t>63e35b3f-d7d3-11ee-ac36-0242ff9ee44d</t>
  </si>
  <si>
    <t>3521082505780001</t>
  </si>
  <si>
    <t>63e37b3a-d7d3-11ee-ac36-0242ff9ee44d</t>
  </si>
  <si>
    <t>Sriyono Ali Rohman</t>
  </si>
  <si>
    <t>3521170809690002</t>
  </si>
  <si>
    <t>63e35abe-d7d3-11ee-ac36-0242ff9ee44d</t>
  </si>
  <si>
    <t>SUBAGDI</t>
  </si>
  <si>
    <t>3521031904880001</t>
  </si>
  <si>
    <t>63e3a024-d7d3-11ee-ac36-0242ff9ee44d</t>
  </si>
  <si>
    <t>Subandi</t>
  </si>
  <si>
    <t>3521131506650003</t>
  </si>
  <si>
    <t>63e3cc1e-d7d3-11ee-ac36-0242ff9ee44d</t>
  </si>
  <si>
    <t>Subini</t>
  </si>
  <si>
    <t>3521042402930001</t>
  </si>
  <si>
    <t>63e36ab4-d7d3-11ee-ac36-0242ff9ee44d</t>
  </si>
  <si>
    <t>Sucipto</t>
  </si>
  <si>
    <t>63e35371-d7d3-11ee-ac36-0242ff9ee44d</t>
  </si>
  <si>
    <t>SUCIPTO</t>
  </si>
  <si>
    <t>3521061207840001</t>
  </si>
  <si>
    <t>63e353c7-d7d3-11ee-ac36-0242ff9ee44d</t>
  </si>
  <si>
    <t>3521063003730002</t>
  </si>
  <si>
    <t>63e3bbf1-d7d3-11ee-ac36-0242ff9ee44d</t>
  </si>
  <si>
    <t>3521123006580046</t>
  </si>
  <si>
    <t>wonosari</t>
  </si>
  <si>
    <t>63e34014-d7d3-11ee-ac36-0242ff9ee44d</t>
  </si>
  <si>
    <t>SUDADI</t>
  </si>
  <si>
    <t>3521110807690001</t>
  </si>
  <si>
    <t>63e3546e-d7d3-11ee-ac36-0242ff9ee44d</t>
  </si>
  <si>
    <t>SUDADIANTO</t>
  </si>
  <si>
    <t>3521090506690001</t>
  </si>
  <si>
    <t>Dusun Pendem</t>
  </si>
  <si>
    <t>63e38b2d-d7d3-11ee-ac36-0242ff9ee44d</t>
  </si>
  <si>
    <t>Sudar</t>
  </si>
  <si>
    <t>3521071605610001</t>
  </si>
  <si>
    <t>3521030505840004</t>
  </si>
  <si>
    <t>63e30ca6-d7d3-11ee-ac36-0242ff9ee44d</t>
  </si>
  <si>
    <t>3521082008780002</t>
  </si>
  <si>
    <t>63e35345-d7d3-11ee-ac36-0242ff9ee44d</t>
  </si>
  <si>
    <t>SUDARNO</t>
  </si>
  <si>
    <t>3521061406630003</t>
  </si>
  <si>
    <t>63e3651a-d7d3-11ee-ac36-0242ff9ee44d</t>
  </si>
  <si>
    <t>3521080206770002</t>
  </si>
  <si>
    <t>Dusun Seloumpak Desa Tambakromo</t>
  </si>
  <si>
    <t>63e37a26-d7d3-11ee-ac36-0242ff9ee44d</t>
  </si>
  <si>
    <t>SUDARSO</t>
  </si>
  <si>
    <t>3521051101570002</t>
  </si>
  <si>
    <t>63e38528-d7d3-11ee-ac36-0242ff9ee44d</t>
  </si>
  <si>
    <t>SUDARSONO</t>
  </si>
  <si>
    <t>3521030607680002</t>
  </si>
  <si>
    <t>3521051407720001</t>
  </si>
  <si>
    <t>63e38d3a-d7d3-11ee-ac36-0242ff9ee44d</t>
  </si>
  <si>
    <t>Sudarsono</t>
  </si>
  <si>
    <t>3521072608750001</t>
  </si>
  <si>
    <t>3521030609710002</t>
  </si>
  <si>
    <t>63e3a36e-d7d3-11ee-ac36-0242ff9ee44d</t>
  </si>
  <si>
    <t>3521131802750001</t>
  </si>
  <si>
    <t>63e37f28-d7d3-11ee-ac36-0242ff9ee44d</t>
  </si>
  <si>
    <t>SUDARTO</t>
  </si>
  <si>
    <t>3521051609650003</t>
  </si>
  <si>
    <t>63e327e8-d7d3-11ee-ac36-0242ff9ee44d</t>
  </si>
  <si>
    <t>SUDARYANTO</t>
  </si>
  <si>
    <t>3521060504700001</t>
  </si>
  <si>
    <t>63e38ce6-d7d3-11ee-ac36-0242ff9ee44d</t>
  </si>
  <si>
    <t>Sudikin</t>
  </si>
  <si>
    <t>3521072712590001</t>
  </si>
  <si>
    <t>63e37e92-d7d3-11ee-ac36-0242ff9ee44d</t>
  </si>
  <si>
    <t>Sudimin</t>
  </si>
  <si>
    <t>3521121709690002</t>
  </si>
  <si>
    <t>Banjarejo</t>
  </si>
  <si>
    <t>63e34549-d7d3-11ee-ac36-0242ff9ee44d</t>
  </si>
  <si>
    <t>Sudiyono</t>
  </si>
  <si>
    <t>3521141212740002</t>
  </si>
  <si>
    <t>63e30ed3-d7d3-11ee-ac36-0242ff9ee44d</t>
  </si>
  <si>
    <t>Sudji</t>
  </si>
  <si>
    <t>3521081107580002</t>
  </si>
  <si>
    <t>63e3cb9d-d7d3-11ee-ac36-0242ff9ee44d</t>
  </si>
  <si>
    <t>Sugeng</t>
  </si>
  <si>
    <t>3521102406840004</t>
  </si>
  <si>
    <t>Desa Jambangan Kecamatan Paron</t>
  </si>
  <si>
    <t>63e3100c-d7d3-11ee-ac36-0242ff9ee44d</t>
  </si>
  <si>
    <t>3521080402710002</t>
  </si>
  <si>
    <t>3521030909810001</t>
  </si>
  <si>
    <t>63e3b835-d7d3-11ee-ac36-0242ff9ee44d</t>
  </si>
  <si>
    <t>SUGENG</t>
  </si>
  <si>
    <t>3521040901690001</t>
  </si>
  <si>
    <t>63e38da4-d7d3-11ee-ac36-0242ff9ee44d</t>
  </si>
  <si>
    <t>Sugeng Hariyanto</t>
  </si>
  <si>
    <t>3521072411730001</t>
  </si>
  <si>
    <t>63e38414-d7d3-11ee-ac36-0242ff9ee44d</t>
  </si>
  <si>
    <t>3521031002820002</t>
  </si>
  <si>
    <t>SUGENG PRASETYO</t>
  </si>
  <si>
    <t>3521050409620001</t>
  </si>
  <si>
    <t>63e35950-d7d3-11ee-ac36-0242ff9ee44d</t>
  </si>
  <si>
    <t>3521031003790002</t>
  </si>
  <si>
    <t>Sugeng Prayitno</t>
  </si>
  <si>
    <t>63e36c89-d7d3-11ee-ac36-0242ff9ee44d</t>
  </si>
  <si>
    <t>Sugeng Riyanto</t>
  </si>
  <si>
    <t>3521151801870001</t>
  </si>
  <si>
    <t>63e35590-d7d3-11ee-ac36-0242ff9ee44d</t>
  </si>
  <si>
    <t>SUGIANTO</t>
  </si>
  <si>
    <t>3521062004770001</t>
  </si>
  <si>
    <t>63e39f7b-d7d3-11ee-ac36-0242ff9ee44d</t>
  </si>
  <si>
    <t>3521040708800003</t>
  </si>
  <si>
    <t>RT. 06 RW 02 TEGALREJO</t>
  </si>
  <si>
    <t>63e3a744-d7d3-11ee-ac36-0242ff9ee44d</t>
  </si>
  <si>
    <t>Sugianto</t>
  </si>
  <si>
    <t>35210328009890001</t>
  </si>
  <si>
    <t>63e3a846-d7d3-11ee-ac36-0242ff9ee44d</t>
  </si>
  <si>
    <t>3521031010640005</t>
  </si>
  <si>
    <t>3521080110880003</t>
  </si>
  <si>
    <t>63e3c8e7-d7d3-11ee-ac36-0242ff9ee44d</t>
  </si>
  <si>
    <t>3521100408780002</t>
  </si>
  <si>
    <t>63e38bc0-d7d3-11ee-ac36-0242ff9ee44d</t>
  </si>
  <si>
    <t>Sugiharto</t>
  </si>
  <si>
    <t>3521071002600001</t>
  </si>
  <si>
    <t>3521031012610001</t>
  </si>
  <si>
    <t>63e36b1f-d7d3-11ee-ac36-0242ff9ee44d</t>
  </si>
  <si>
    <t>Sugiman</t>
  </si>
  <si>
    <t>63e33b5f-d7d3-11ee-ac36-0242ff9ee44d</t>
  </si>
  <si>
    <t>SUGIMIN</t>
  </si>
  <si>
    <t>63e358a4-d7d3-11ee-ac36-0242ff9ee44d</t>
  </si>
  <si>
    <t>Sugimin</t>
  </si>
  <si>
    <t>63e3c37f-d7d3-11ee-ac36-0242ff9ee44d</t>
  </si>
  <si>
    <t>SUGIONO</t>
  </si>
  <si>
    <t>3521102105740004</t>
  </si>
  <si>
    <t>63e39fba-d7d3-11ee-ac36-0242ff9ee44d</t>
  </si>
  <si>
    <t>3521031206790003</t>
  </si>
  <si>
    <t>SUGITO</t>
  </si>
  <si>
    <t>3521040901740001</t>
  </si>
  <si>
    <t>RT. 04 RW. 03 CEPET</t>
  </si>
  <si>
    <t>63e369dd-d7d3-11ee-ac36-0242ff9ee44d</t>
  </si>
  <si>
    <t>Sugito</t>
  </si>
  <si>
    <t>3521120211640001</t>
  </si>
  <si>
    <t>63e373e4-d7d3-11ee-ac36-0242ff9ee44d</t>
  </si>
  <si>
    <t>SUGIYANTO</t>
  </si>
  <si>
    <t>3521052403710002</t>
  </si>
  <si>
    <t>63e35484-d7d3-11ee-ac36-0242ff9ee44d</t>
  </si>
  <si>
    <t>3521062106790001</t>
  </si>
  <si>
    <t>63e3b037-d7d3-11ee-ac36-0242ff9ee44d</t>
  </si>
  <si>
    <t>3521031303600001</t>
  </si>
  <si>
    <t>Sugiyarto</t>
  </si>
  <si>
    <t>Dsn. Balepanjang Ds. Jogorogo Kec. Jogorogo</t>
  </si>
  <si>
    <t>63e3857d-d7d3-11ee-ac36-0242ff9ee44d</t>
  </si>
  <si>
    <t>SUGIYONO</t>
  </si>
  <si>
    <t>3521050104730007</t>
  </si>
  <si>
    <t>63e35ccd-d7d3-11ee-ac36-0242ff9ee44d</t>
  </si>
  <si>
    <t>63e3a158-d7d3-11ee-ac36-0242ff9ee44d</t>
  </si>
  <si>
    <t>Sugiyono</t>
  </si>
  <si>
    <t>3521131008650001</t>
  </si>
  <si>
    <t>63e3ad4d-d7d3-11ee-ac36-0242ff9ee44d</t>
  </si>
  <si>
    <t>SUHADI</t>
  </si>
  <si>
    <t>3521042609760001</t>
  </si>
  <si>
    <t>63e3600d-d7d3-11ee-ac36-0242ff9ee44d</t>
  </si>
  <si>
    <t>Suharno</t>
  </si>
  <si>
    <t>3521140907720001</t>
  </si>
  <si>
    <t>63e38886-d7d3-11ee-ac36-0242ff9ee44d</t>
  </si>
  <si>
    <t>3521071812760003</t>
  </si>
  <si>
    <t>63e3b30b-d7d3-11ee-ac36-0242ff9ee44d</t>
  </si>
  <si>
    <t>SUHARNO</t>
  </si>
  <si>
    <t>3521090605590001</t>
  </si>
  <si>
    <t>BERAN 1</t>
  </si>
  <si>
    <t>63e3879c-d7d3-11ee-ac36-0242ff9ee44d</t>
  </si>
  <si>
    <t>Suharto</t>
  </si>
  <si>
    <t>3521070807730001</t>
  </si>
  <si>
    <t>3521031501740001</t>
  </si>
  <si>
    <t>63e36788-d7d3-11ee-ac36-0242ff9ee44d</t>
  </si>
  <si>
    <t>3521080104690001</t>
  </si>
  <si>
    <t>63e3b874-d7d3-11ee-ac36-0242ff9ee44d</t>
  </si>
  <si>
    <t>SUJARWO</t>
  </si>
  <si>
    <t>3521041412680001</t>
  </si>
  <si>
    <t>DUSUN GENENG</t>
  </si>
  <si>
    <t>63e30e7f-d7d3-11ee-ac36-0242ff9ee44d</t>
  </si>
  <si>
    <t>Sujianto</t>
  </si>
  <si>
    <t>3521082603700001</t>
  </si>
  <si>
    <t>63e3af0d-d7d3-11ee-ac36-0242ff9ee44d</t>
  </si>
  <si>
    <t>SUJIANTO</t>
  </si>
  <si>
    <t>3521042511730002</t>
  </si>
  <si>
    <t>RT.02 RW. 04 KRAJAN</t>
  </si>
  <si>
    <t>63e3ae3a-d7d3-11ee-ac36-0242ff9ee44d</t>
  </si>
  <si>
    <t>SUJITO</t>
  </si>
  <si>
    <t>3521043006750006</t>
  </si>
  <si>
    <t>63e34c40-d7d3-11ee-ac36-0242ff9ee44d</t>
  </si>
  <si>
    <t>3521061807700001</t>
  </si>
  <si>
    <t>63e39822-d7d3-11ee-ac36-0242ff9ee44d</t>
  </si>
  <si>
    <t>Sujito</t>
  </si>
  <si>
    <t>3521111006700004</t>
  </si>
  <si>
    <t>63e3b737-d7d3-11ee-ac36-0242ff9ee44d</t>
  </si>
  <si>
    <t>SUJITO DWIYONO</t>
  </si>
  <si>
    <t>3521042201750002</t>
  </si>
  <si>
    <t>63e3ab3b-d7d3-11ee-ac36-0242ff9ee44d</t>
  </si>
  <si>
    <t>SUJOKO</t>
  </si>
  <si>
    <t>3521040708640003</t>
  </si>
  <si>
    <t>63e3c017-d7d3-11ee-ac36-0242ff9ee44d</t>
  </si>
  <si>
    <t>Sukadi</t>
  </si>
  <si>
    <t>3521121203630004</t>
  </si>
  <si>
    <t>63e32b5b-d7d3-11ee-ac36-0242ff9ee44d</t>
  </si>
  <si>
    <t>3521172307610001</t>
  </si>
  <si>
    <t>63e36320-d7d3-11ee-ac36-0242ff9ee44d</t>
  </si>
  <si>
    <t>63e3c23a-d7d3-11ee-ac36-0242ff9ee44d</t>
  </si>
  <si>
    <t>SUKADI</t>
  </si>
  <si>
    <t>3521121306780002</t>
  </si>
  <si>
    <t>63e35e23-d7d3-11ee-ac36-0242ff9ee44d</t>
  </si>
  <si>
    <t>Sukamto</t>
  </si>
  <si>
    <t>3521120802710002</t>
  </si>
  <si>
    <t>Dusun Gebang Desa Walikukun</t>
  </si>
  <si>
    <t>63e36bc6-d7d3-11ee-ac36-0242ff9ee44d</t>
  </si>
  <si>
    <t>63e31911-d7d3-11ee-ac36-0242ff9ee44d</t>
  </si>
  <si>
    <t>3521192807810001</t>
  </si>
  <si>
    <t>63e32a88-d7d3-11ee-ac36-0242ff9ee44d</t>
  </si>
  <si>
    <t>3521143004680001</t>
  </si>
  <si>
    <t>63e3abe4-d7d3-11ee-ac36-0242ff9ee44d</t>
  </si>
  <si>
    <t>SUKAMTO</t>
  </si>
  <si>
    <t>3521040403820003</t>
  </si>
  <si>
    <t>63e3a6ad-d7d3-11ee-ac36-0242ff9ee44d</t>
  </si>
  <si>
    <t>SUKAR</t>
  </si>
  <si>
    <t>3521060212600002</t>
  </si>
  <si>
    <t>63e30e56-d7d3-11ee-ac36-0242ff9ee44d</t>
  </si>
  <si>
    <t>Sukar</t>
  </si>
  <si>
    <t>3521080604540001</t>
  </si>
  <si>
    <t>Dusun Sukowiyono III Desa Sukowiyono</t>
  </si>
  <si>
    <t>63e35ecb-d7d3-11ee-ac36-0242ff9ee44d</t>
  </si>
  <si>
    <t>Sukardi</t>
  </si>
  <si>
    <t>3521082503740002</t>
  </si>
  <si>
    <t>63e335bf-d7d3-11ee-ac36-0242ff9ee44d</t>
  </si>
  <si>
    <t>3521140112620003</t>
  </si>
  <si>
    <t>63e3c911-d7d3-11ee-ac36-0242ff9ee44d</t>
  </si>
  <si>
    <t>SUKARDI</t>
  </si>
  <si>
    <t>3521031807650002</t>
  </si>
  <si>
    <t>3521100304680001</t>
  </si>
  <si>
    <t>63e36a1f-d7d3-11ee-ac36-0242ff9ee44d</t>
  </si>
  <si>
    <t>3521120707650001</t>
  </si>
  <si>
    <t>sidorejo</t>
  </si>
  <si>
    <t>63e33b9e-d7d3-11ee-ac36-0242ff9ee44d</t>
  </si>
  <si>
    <t>SUKARMAN</t>
  </si>
  <si>
    <t>63e38871-d7d3-11ee-ac36-0242ff9ee44d</t>
  </si>
  <si>
    <t>Sukarmin</t>
  </si>
  <si>
    <t>3521070407710001</t>
  </si>
  <si>
    <t>63e3b1cc-d7d3-11ee-ac36-0242ff9ee44d</t>
  </si>
  <si>
    <t>SUKARNO</t>
  </si>
  <si>
    <t>3521092112640001</t>
  </si>
  <si>
    <t>3521032011550001</t>
  </si>
  <si>
    <t>63e30f8e-d7d3-11ee-ac36-0242ff9ee44d</t>
  </si>
  <si>
    <t>Sukarno</t>
  </si>
  <si>
    <t>3521080404710002</t>
  </si>
  <si>
    <t>63e3bfa9-d7d3-11ee-ac36-0242ff9ee44d</t>
  </si>
  <si>
    <t>3521100707680002</t>
  </si>
  <si>
    <t>63e33e4a-d7d3-11ee-ac36-0242ff9ee44d</t>
  </si>
  <si>
    <t>3521062710760001</t>
  </si>
  <si>
    <t>63e32a46-d7d3-11ee-ac36-0242ff9ee44d</t>
  </si>
  <si>
    <t>Sukarwan</t>
  </si>
  <si>
    <t>3521032206660001</t>
  </si>
  <si>
    <t>3521142801750001</t>
  </si>
  <si>
    <t>dsn tengahan</t>
  </si>
  <si>
    <t>63e36e32-d7d3-11ee-ac36-0242ff9ee44d</t>
  </si>
  <si>
    <t>SUKASNO</t>
  </si>
  <si>
    <t>3521151710810001</t>
  </si>
  <si>
    <t>63e37aa2-d7d3-11ee-ac36-0242ff9ee44d</t>
  </si>
  <si>
    <t>SUKIJAN</t>
  </si>
  <si>
    <t>3521032211880002</t>
  </si>
  <si>
    <t>3521052606680001</t>
  </si>
  <si>
    <t>63e38213-d7d3-11ee-ac36-0242ff9ee44d</t>
  </si>
  <si>
    <t>Sukiman</t>
  </si>
  <si>
    <t>3521123012540014</t>
  </si>
  <si>
    <t>63e39acb-d7d3-11ee-ac36-0242ff9ee44d</t>
  </si>
  <si>
    <t>3521032305840001</t>
  </si>
  <si>
    <t>63e3c67b-d7d3-11ee-ac36-0242ff9ee44d</t>
  </si>
  <si>
    <t>SUKIMAN</t>
  </si>
  <si>
    <t>3521101311820001</t>
  </si>
  <si>
    <t>3521032306600001</t>
  </si>
  <si>
    <t>63e38269-d7d3-11ee-ac36-0242ff9ee44d</t>
  </si>
  <si>
    <t>3521121109690001</t>
  </si>
  <si>
    <t>widodaren</t>
  </si>
  <si>
    <t>63e39e50-d7d3-11ee-ac36-0242ff9ee44d</t>
  </si>
  <si>
    <t>SUKIMIN</t>
  </si>
  <si>
    <t>3521032405560001</t>
  </si>
  <si>
    <t>3521130412740003</t>
  </si>
  <si>
    <t>63e30dc6-d7d3-11ee-ac36-0242ff9ee44d</t>
  </si>
  <si>
    <t>Sukimin</t>
  </si>
  <si>
    <t>3521083006560001</t>
  </si>
  <si>
    <t>63e31020-d7d3-11ee-ac36-0242ff9ee44d</t>
  </si>
  <si>
    <t>3521081503720002</t>
  </si>
  <si>
    <t>3521032501830001</t>
  </si>
  <si>
    <t>63e333ee-d7d3-11ee-ac36-0242ff9ee44d</t>
  </si>
  <si>
    <t>SUKINI</t>
  </si>
  <si>
    <t>3521115208490003</t>
  </si>
  <si>
    <t>63e38626-d7d3-11ee-ac36-0242ff9ee44d</t>
  </si>
  <si>
    <t>SUKIR</t>
  </si>
  <si>
    <t>3521050704480002</t>
  </si>
  <si>
    <t>63e3885c-d7d3-11ee-ac36-0242ff9ee44d</t>
  </si>
  <si>
    <t>Sukiran</t>
  </si>
  <si>
    <t>3521070309790001</t>
  </si>
  <si>
    <t>63e3675a-d7d3-11ee-ac36-0242ff9ee44d</t>
  </si>
  <si>
    <t>Sukirdi</t>
  </si>
  <si>
    <t>63e373a5-d7d3-11ee-ac36-0242ff9ee44d</t>
  </si>
  <si>
    <t>sukirno</t>
  </si>
  <si>
    <t>3521032511800002</t>
  </si>
  <si>
    <t>3521151410830001</t>
  </si>
  <si>
    <t>63e38dcf-d7d3-11ee-ac36-0242ff9ee44d</t>
  </si>
  <si>
    <t>Sukirno</t>
  </si>
  <si>
    <t>3521032512750001</t>
  </si>
  <si>
    <t>3521072312640001</t>
  </si>
  <si>
    <t>63e3bfd6-d7d3-11ee-ac36-0242ff9ee44d</t>
  </si>
  <si>
    <t>Sukiyem</t>
  </si>
  <si>
    <t>3521167112450003</t>
  </si>
  <si>
    <t>63e3b6e2-d7d3-11ee-ac36-0242ff9ee44d</t>
  </si>
  <si>
    <t>Sukiyo</t>
  </si>
  <si>
    <t>3521092909630002</t>
  </si>
  <si>
    <t>Cupo</t>
  </si>
  <si>
    <t>63e3913e-d7d3-11ee-ac36-0242ff9ee44d</t>
  </si>
  <si>
    <t>Sukoco</t>
  </si>
  <si>
    <t>3521032611810001</t>
  </si>
  <si>
    <t>3521070112750001</t>
  </si>
  <si>
    <t>63e3b567-d7d3-11ee-ac36-0242ff9ee44d</t>
  </si>
  <si>
    <t>SUKODO</t>
  </si>
  <si>
    <t>3521102804610001</t>
  </si>
  <si>
    <t>63e38b42-d7d3-11ee-ac36-0242ff9ee44d</t>
  </si>
  <si>
    <t>Sukono</t>
  </si>
  <si>
    <t>3521072804820001</t>
  </si>
  <si>
    <t>63e35bde-d7d3-11ee-ac36-0242ff9ee44d</t>
  </si>
  <si>
    <t>SUKOTO</t>
  </si>
  <si>
    <t>63e3b513-d7d3-11ee-ac36-0242ff9ee44d</t>
  </si>
  <si>
    <t>Sukram</t>
  </si>
  <si>
    <t>63e39dde-d7d3-11ee-ac36-0242ff9ee44d</t>
  </si>
  <si>
    <t>SULAIMANUL HUDA</t>
  </si>
  <si>
    <t>3521040210750003</t>
  </si>
  <si>
    <t>RT, 04 RW. 02 TEGALREJO</t>
  </si>
  <si>
    <t>63e3c93f-d7d3-11ee-ac36-0242ff9ee44d</t>
  </si>
  <si>
    <t>SULAMTO</t>
  </si>
  <si>
    <t>3521100210780005</t>
  </si>
  <si>
    <t>63e34d63-d7d3-11ee-ac36-0242ff9ee44d</t>
  </si>
  <si>
    <t>3521034408880003</t>
  </si>
  <si>
    <t>Sulih</t>
  </si>
  <si>
    <t>3521113006640003</t>
  </si>
  <si>
    <t>63e39f66-d7d3-11ee-ac36-0242ff9ee44d</t>
  </si>
  <si>
    <t>SULIS SETIANTO</t>
  </si>
  <si>
    <t>3521034506890001</t>
  </si>
  <si>
    <t>3521040305860002</t>
  </si>
  <si>
    <t>RT. 06 RW. 04 BANDEM</t>
  </si>
  <si>
    <t>63e3a281-d7d3-11ee-ac36-0242ff9ee44d</t>
  </si>
  <si>
    <t>Sulistiyono</t>
  </si>
  <si>
    <t>63e35fe8-d7d3-11ee-ac36-0242ff9ee44d</t>
  </si>
  <si>
    <t>Sulistyowati</t>
  </si>
  <si>
    <t>3521094407870001</t>
  </si>
  <si>
    <t>3521035603810001</t>
  </si>
  <si>
    <t>63e3a318-d7d3-11ee-ac36-0242ff9ee44d</t>
  </si>
  <si>
    <t>Suliyem</t>
  </si>
  <si>
    <t>3521136708740002</t>
  </si>
  <si>
    <t>63e33af4-d7d3-11ee-ac36-0242ff9ee44d</t>
  </si>
  <si>
    <t>Sumadi</t>
  </si>
  <si>
    <t>3521150412510001</t>
  </si>
  <si>
    <t>63e355d4-d7d3-11ee-ac36-0242ff9ee44d</t>
  </si>
  <si>
    <t>3521080611620002</t>
  </si>
  <si>
    <t>63e30c45-d7d3-11ee-ac36-0242ff9ee44d</t>
  </si>
  <si>
    <t>3521082205710001</t>
  </si>
  <si>
    <t>Dusun Kerso Desa Pacing</t>
  </si>
  <si>
    <t>63e33691-d7d3-11ee-ac36-0242ff9ee44d</t>
  </si>
  <si>
    <t>3521140306670002</t>
  </si>
  <si>
    <t>63e3270a-d7d3-11ee-ac36-0242ff9ee44d</t>
  </si>
  <si>
    <t>3521036303870001</t>
  </si>
  <si>
    <t>3521180301690001</t>
  </si>
  <si>
    <t>63e3b00d-d7d3-11ee-ac36-0242ff9ee44d</t>
  </si>
  <si>
    <t>SUMADI SISWO SUPRAPTO</t>
  </si>
  <si>
    <t>3521036304840006</t>
  </si>
  <si>
    <t>3521130909690001</t>
  </si>
  <si>
    <t>63e3c42d-d7d3-11ee-ac36-0242ff9ee44d</t>
  </si>
  <si>
    <t>SUMALI</t>
  </si>
  <si>
    <t>3521100406760007</t>
  </si>
  <si>
    <t>63e3989f-d7d3-11ee-ac36-0242ff9ee44d</t>
  </si>
  <si>
    <t>Sumali</t>
  </si>
  <si>
    <t>3521113006640009</t>
  </si>
  <si>
    <t>63e3449f-d7d3-11ee-ac36-0242ff9ee44d</t>
  </si>
  <si>
    <t>Sumanto</t>
  </si>
  <si>
    <t>3521040106800005</t>
  </si>
  <si>
    <t>3521170707910001</t>
  </si>
  <si>
    <t>63e38e3a-d7d3-11ee-ac36-0242ff9ee44d</t>
  </si>
  <si>
    <t>Sumardi</t>
  </si>
  <si>
    <t>3521040107810021</t>
  </si>
  <si>
    <t>3521072211640001</t>
  </si>
  <si>
    <t>63e32fea-d7d3-11ee-ac36-0242ff9ee44d</t>
  </si>
  <si>
    <t>Sumarlan</t>
  </si>
  <si>
    <t>3521141708650001</t>
  </si>
  <si>
    <t>3521040110570003</t>
  </si>
  <si>
    <t>63e3455d-d7d3-11ee-ac36-0242ff9ee44d</t>
  </si>
  <si>
    <t>SUMARLI</t>
  </si>
  <si>
    <t>3578220909570002</t>
  </si>
  <si>
    <t>63e3b0b9-d7d3-11ee-ac36-0242ff9ee44d</t>
  </si>
  <si>
    <t>Sumarli</t>
  </si>
  <si>
    <t>3521040203650001</t>
  </si>
  <si>
    <t>Ds. Jogorogo Kec. Jogorogo</t>
  </si>
  <si>
    <t>63e39cec-d7d3-11ee-ac36-0242ff9ee44d</t>
  </si>
  <si>
    <t>SUMARMI</t>
  </si>
  <si>
    <t>3521044608750003</t>
  </si>
  <si>
    <t>RT. 06 RW. 01 PATALAN</t>
  </si>
  <si>
    <t>63e3318d-d7d3-11ee-ac36-0242ff9ee44d</t>
  </si>
  <si>
    <t>SUMARMIN</t>
  </si>
  <si>
    <t>3521110105750001</t>
  </si>
  <si>
    <t>63e356e3-d7d3-11ee-ac36-0242ff9ee44d</t>
  </si>
  <si>
    <t>Sumarmin</t>
  </si>
  <si>
    <t>3521081310760001</t>
  </si>
  <si>
    <t>63e336e5-d7d3-11ee-ac36-0242ff9ee44d</t>
  </si>
  <si>
    <t>3521061401650001</t>
  </si>
  <si>
    <t>63e3ab7a-d7d3-11ee-ac36-0242ff9ee44d</t>
  </si>
  <si>
    <t>3521042007580001</t>
  </si>
  <si>
    <t>63e33123-d7d3-11ee-ac36-0242ff9ee44d</t>
  </si>
  <si>
    <t>3521110104750004</t>
  </si>
  <si>
    <t>63e32f97-d7d3-11ee-ac36-0242ff9ee44d</t>
  </si>
  <si>
    <t>Sumarno</t>
  </si>
  <si>
    <t>3521141003690002</t>
  </si>
  <si>
    <t>63e35a10-d7d3-11ee-ac36-0242ff9ee44d</t>
  </si>
  <si>
    <t>b9db3653-a09b-4859-b2e9-ed7648ec053a</t>
  </si>
  <si>
    <t>3521040308740001</t>
  </si>
  <si>
    <t>3521082603650001</t>
  </si>
  <si>
    <t>Supardi</t>
  </si>
  <si>
    <t>63e3c9a9-d7d3-11ee-ac36-0242ff9ee44d</t>
  </si>
  <si>
    <t>3521052302750001</t>
  </si>
  <si>
    <t>geneng</t>
  </si>
  <si>
    <t>63e37ea7-d7d3-11ee-ac36-0242ff9ee44d</t>
  </si>
  <si>
    <t>3521100505730005</t>
  </si>
  <si>
    <t>tukimin</t>
  </si>
  <si>
    <t>63e3b164-d7d3-11ee-ac36-0242ff9ee44d</t>
  </si>
  <si>
    <t>3521121607550001</t>
  </si>
  <si>
    <t>3521091507700008</t>
  </si>
  <si>
    <t>nglongkeh</t>
  </si>
  <si>
    <t>Dsn. JOHO</t>
  </si>
  <si>
    <t>63e36b48-d7d3-11ee-ac36-0242ff9ee44d</t>
  </si>
  <si>
    <t>63e39d9f-d7d3-11ee-ac36-0242ff9ee44d</t>
  </si>
  <si>
    <t>3521041310840002</t>
  </si>
  <si>
    <t>63e3b6a2-d7d3-11ee-ac36-0242ff9ee44d</t>
  </si>
  <si>
    <t>3521040502620003</t>
  </si>
  <si>
    <t>3521160109720001</t>
  </si>
  <si>
    <t>Ngawen Desa Kalang kecamatan Pitu</t>
  </si>
  <si>
    <t>63e333d9-d7d3-11ee-ac36-0242ff9ee44d</t>
  </si>
  <si>
    <t>3521111012800003</t>
  </si>
  <si>
    <t>63e3513f-d7d3-11ee-ac36-0242ff9ee44d</t>
  </si>
  <si>
    <t>3521062611680001</t>
  </si>
  <si>
    <t>63e381ec-d7d3-11ee-ac36-0242ff9ee44d</t>
  </si>
  <si>
    <t>SUMARSIH</t>
  </si>
  <si>
    <t>3521040608800003</t>
  </si>
  <si>
    <t>3521066510770001</t>
  </si>
  <si>
    <t>DESA BANGET</t>
  </si>
  <si>
    <t>63e3b974-d7d3-11ee-ac36-0242ff9ee44d</t>
  </si>
  <si>
    <t>SUMARSO</t>
  </si>
  <si>
    <t>3521041610830002</t>
  </si>
  <si>
    <t>63e32ccb-d7d3-11ee-ac36-0242ff9ee44d</t>
  </si>
  <si>
    <t>Sumilan</t>
  </si>
  <si>
    <t>3521141006510001</t>
  </si>
  <si>
    <t>63e3980d-d7d3-11ee-ac36-0242ff9ee44d</t>
  </si>
  <si>
    <t>Suminem</t>
  </si>
  <si>
    <t>3521115011560001</t>
  </si>
  <si>
    <t>63e3287d-d7d3-11ee-ac36-0242ff9ee44d</t>
  </si>
  <si>
    <t>Sumino</t>
  </si>
  <si>
    <t>Bulak Bunder</t>
  </si>
  <si>
    <t>63e3a12c-d7d3-11ee-ac36-0242ff9ee44d</t>
  </si>
  <si>
    <t>SUMINO</t>
  </si>
  <si>
    <t>3521041008770001</t>
  </si>
  <si>
    <t>63e367c8-d7d3-11ee-ac36-0242ff9ee44d</t>
  </si>
  <si>
    <t>Suminto</t>
  </si>
  <si>
    <t>3521080710630001</t>
  </si>
  <si>
    <t>3521040807510001</t>
  </si>
  <si>
    <t>63e31701-d7d3-11ee-ac36-0242ff9ee44d</t>
  </si>
  <si>
    <t>SUMONO</t>
  </si>
  <si>
    <t>GONDOREJO 3/1 HARGOSARI</t>
  </si>
  <si>
    <t>3521040808670001</t>
  </si>
  <si>
    <t>63e37e62-d7d3-11ee-ac36-0242ff9ee44d</t>
  </si>
  <si>
    <t>SUNAR JUWARNO</t>
  </si>
  <si>
    <t>3521062306720001</t>
  </si>
  <si>
    <t>63e3ac3a-d7d3-11ee-ac36-0242ff9ee44d</t>
  </si>
  <si>
    <t>SUNARDI</t>
  </si>
  <si>
    <t>3521042903880001</t>
  </si>
  <si>
    <t>DUSUN BULU</t>
  </si>
  <si>
    <t>63e38229-d7d3-11ee-ac36-0242ff9ee44d</t>
  </si>
  <si>
    <t>3521050908770003</t>
  </si>
  <si>
    <t>63e341a5-d7d3-11ee-ac36-0242ff9ee44d</t>
  </si>
  <si>
    <t>63e3356a-d7d3-11ee-ac36-0242ff9ee44d</t>
  </si>
  <si>
    <t>3521061407850001</t>
  </si>
  <si>
    <t>3521041011650005</t>
  </si>
  <si>
    <t>63e32f30-d7d3-11ee-ac36-0242ff9ee44d</t>
  </si>
  <si>
    <t>SUNARI</t>
  </si>
  <si>
    <t>63e3b2e0-d7d3-11ee-ac36-0242ff9ee44d</t>
  </si>
  <si>
    <t>3521090602680001</t>
  </si>
  <si>
    <t>63e31f49-d7d3-11ee-ac36-0242ff9ee44d</t>
  </si>
  <si>
    <t>SUNARNO</t>
  </si>
  <si>
    <t>63e30b1f-d7d3-11ee-ac36-0242ff9ee44d</t>
  </si>
  <si>
    <t>3521041401940001</t>
  </si>
  <si>
    <t>3521090410600001</t>
  </si>
  <si>
    <t>63e37c7b-d7d3-11ee-ac36-0242ff9ee44d</t>
  </si>
  <si>
    <t>Sunarso</t>
  </si>
  <si>
    <t>3521171212660006</t>
  </si>
  <si>
    <t>63e39a4d-d7d3-11ee-ac36-0242ff9ee44d</t>
  </si>
  <si>
    <t>SUNARTI</t>
  </si>
  <si>
    <t>3521045902890001</t>
  </si>
  <si>
    <t>63e38a97-d7d3-11ee-ac36-0242ff9ee44d</t>
  </si>
  <si>
    <t>Sunarti</t>
  </si>
  <si>
    <t>3521041507770001</t>
  </si>
  <si>
    <t>3521077004840002</t>
  </si>
  <si>
    <t>63e353f1-d7d3-11ee-ac36-0242ff9ee44d</t>
  </si>
  <si>
    <t>SUNARTO</t>
  </si>
  <si>
    <t>3521062701720001</t>
  </si>
  <si>
    <t>63e3cc09-d7d3-11ee-ac36-0242ff9ee44d</t>
  </si>
  <si>
    <t>sunarto</t>
  </si>
  <si>
    <t>63e31199-d7d3-11ee-ac36-0242ff9ee44d</t>
  </si>
  <si>
    <t>Sunarto</t>
  </si>
  <si>
    <t>3521082410600002</t>
  </si>
  <si>
    <t>63e317e2-d7d3-11ee-ac36-0242ff9ee44d</t>
  </si>
  <si>
    <t>Ngasem RT.04 RW.04 Hargosari</t>
  </si>
  <si>
    <t>63e3b139-d7d3-11ee-ac36-0242ff9ee44d</t>
  </si>
  <si>
    <t>3521091504820004</t>
  </si>
  <si>
    <t>63e3a198-d7d3-11ee-ac36-0242ff9ee44d</t>
  </si>
  <si>
    <t>3521131711630002</t>
  </si>
  <si>
    <t>63e3542f-d7d3-11ee-ac36-0242ff9ee44d</t>
  </si>
  <si>
    <t>3521042103680001</t>
  </si>
  <si>
    <t>3521090502750003</t>
  </si>
  <si>
    <t>63e36db2-d7d3-11ee-ac36-0242ff9ee44d</t>
  </si>
  <si>
    <t>Sunaryo</t>
  </si>
  <si>
    <t>3521192812600001</t>
  </si>
  <si>
    <t>3521042302740001</t>
  </si>
  <si>
    <t>63e319cb-d7d3-11ee-ac36-0242ff9ee44d</t>
  </si>
  <si>
    <t>SUNARYO</t>
  </si>
  <si>
    <t>3521042305830001</t>
  </si>
  <si>
    <t>63e38429-d7d3-11ee-ac36-0242ff9ee44d</t>
  </si>
  <si>
    <t>SYAIFUDIN ZUHRI</t>
  </si>
  <si>
    <t>3521051106750002</t>
  </si>
  <si>
    <t>Klito  RT.01 RW.02</t>
  </si>
  <si>
    <t>63e34a9a-d7d3-11ee-ac36-0242ff9ee44d</t>
  </si>
  <si>
    <t>3521042505750002</t>
  </si>
  <si>
    <t>3521062705580001</t>
  </si>
  <si>
    <t>63e3a22d-d7d3-11ee-ac36-0242ff9ee44d</t>
  </si>
  <si>
    <t>63e30ebe-d7d3-11ee-ac36-0242ff9ee44d</t>
  </si>
  <si>
    <t>Suprianto</t>
  </si>
  <si>
    <t>Sunawan</t>
  </si>
  <si>
    <t>3521080812680001</t>
  </si>
  <si>
    <t>63e38ea7-d7d3-11ee-ac36-0242ff9ee44d</t>
  </si>
  <si>
    <t>Sungadi</t>
  </si>
  <si>
    <t>3521071404460001</t>
  </si>
  <si>
    <t>63e32204-d7d3-11ee-ac36-0242ff9ee44d</t>
  </si>
  <si>
    <t>Sunoto</t>
  </si>
  <si>
    <t>3521042707850004</t>
  </si>
  <si>
    <t>3521113006550078</t>
  </si>
  <si>
    <t>Ngadirejo RT 08/RW 04</t>
  </si>
  <si>
    <t>63e3c651-d7d3-11ee-ac36-0242ff9ee44d</t>
  </si>
  <si>
    <t>3521042711810003</t>
  </si>
  <si>
    <t>63e367fc-d7d3-11ee-ac36-0242ff9ee44d</t>
  </si>
  <si>
    <t>Tumijan</t>
  </si>
  <si>
    <t>SUNYOTO</t>
  </si>
  <si>
    <t>3521082705480001</t>
  </si>
  <si>
    <t>3521102009670001</t>
  </si>
  <si>
    <t>63e35387-d7d3-11ee-ac36-0242ff9ee44d</t>
  </si>
  <si>
    <t>3521042805930001</t>
  </si>
  <si>
    <t>SUPADIANTO</t>
  </si>
  <si>
    <t>3521042810610001</t>
  </si>
  <si>
    <t>3521091204630002</t>
  </si>
  <si>
    <t>63e3557a-d7d3-11ee-ac36-0242ff9ee44d</t>
  </si>
  <si>
    <t>3521080105700001</t>
  </si>
  <si>
    <t>63e3ab24-d7d3-11ee-ac36-0242ff9ee44d</t>
  </si>
  <si>
    <t>SUPARDI</t>
  </si>
  <si>
    <t>63e38d7a-d7d3-11ee-ac36-0242ff9ee44d</t>
  </si>
  <si>
    <t>Warsito</t>
  </si>
  <si>
    <t>3521043007690002</t>
  </si>
  <si>
    <t>3521070312660004</t>
  </si>
  <si>
    <t>3521043007750001</t>
  </si>
  <si>
    <t>63e33e73-d7d3-11ee-ac36-0242ff9ee44d</t>
  </si>
  <si>
    <t>63e384fd-d7d3-11ee-ac36-0242ff9ee44d</t>
  </si>
  <si>
    <t>3521150111860001</t>
  </si>
  <si>
    <t>63e3398e-d7d3-11ee-ac36-0242ff9ee44d</t>
  </si>
  <si>
    <t>3521050303570002</t>
  </si>
  <si>
    <t>Warsidik</t>
  </si>
  <si>
    <t>63e39fa5-d7d3-11ee-ac36-0242ff9ee44d</t>
  </si>
  <si>
    <t>3521150301650003</t>
  </si>
  <si>
    <t>Kedungrejo, Bringin</t>
  </si>
  <si>
    <t>9103010209760008</t>
  </si>
  <si>
    <t>63e3a9b2-d7d3-11ee-ac36-0242ff9ee44d</t>
  </si>
  <si>
    <t>3521130909780002</t>
  </si>
  <si>
    <t>63e38315-d7d3-11ee-ac36-0242ff9ee44d</t>
  </si>
  <si>
    <t>3521051107630001</t>
  </si>
  <si>
    <t>63e375ab-d7d3-11ee-ac36-0242ff9ee44d</t>
  </si>
  <si>
    <t>3521050302710001</t>
  </si>
  <si>
    <t>63e31dce-d7d3-11ee-ac36-0242ff9ee44d</t>
  </si>
  <si>
    <t>63e33272-d7d3-11ee-ac36-0242ff9ee44d</t>
  </si>
  <si>
    <t>SUWARTIN</t>
  </si>
  <si>
    <t>3521060304720001</t>
  </si>
  <si>
    <t>Tempel RT.02 RW.01</t>
  </si>
  <si>
    <t>63e353b2-d7d3-11ee-ac36-0242ff9ee44d</t>
  </si>
  <si>
    <t>3521090712600001</t>
  </si>
  <si>
    <t>63e38cbd-d7d3-11ee-ac36-0242ff9ee44d</t>
  </si>
  <si>
    <t>3521071012670003</t>
  </si>
  <si>
    <t>63e31c69-d7d3-11ee-ac36-0242ff9ee44d</t>
  </si>
  <si>
    <t>KRAJAN WETAN RW 04 RT 04 SINE</t>
  </si>
  <si>
    <t>63e31630-d7d3-11ee-ac36-0242ff9ee44d</t>
  </si>
  <si>
    <t>Supardianto</t>
  </si>
  <si>
    <t>3521192105760003</t>
  </si>
  <si>
    <t>63e3264e-d7d3-11ee-ac36-0242ff9ee44d</t>
  </si>
  <si>
    <t>Supardino</t>
  </si>
  <si>
    <t>3521141001780001</t>
  </si>
  <si>
    <t>63e38dba-d7d3-11ee-ac36-0242ff9ee44d</t>
  </si>
  <si>
    <t>Supariyo</t>
  </si>
  <si>
    <t>3521072906710001</t>
  </si>
  <si>
    <t>63e30e41-d7d3-11ee-ac36-0242ff9ee44d</t>
  </si>
  <si>
    <t>Suparji</t>
  </si>
  <si>
    <t>3521082206660001</t>
  </si>
  <si>
    <t>63e3847d-d7d3-11ee-ac36-0242ff9ee44d</t>
  </si>
  <si>
    <t>Suparjo</t>
  </si>
  <si>
    <t>3521121412780001</t>
  </si>
  <si>
    <t>Widodaren Lor</t>
  </si>
  <si>
    <t>63e356a4-d7d3-11ee-ac36-0242ff9ee44d</t>
  </si>
  <si>
    <t>SUPARLAN</t>
  </si>
  <si>
    <t>3521061610780001</t>
  </si>
  <si>
    <t>63e34d24-d7d3-11ee-ac36-0242ff9ee44d</t>
  </si>
  <si>
    <t>Suparlan</t>
  </si>
  <si>
    <t>3521111008570001</t>
  </si>
  <si>
    <t>3521050410710005</t>
  </si>
  <si>
    <t>3521050502820003</t>
  </si>
  <si>
    <t>3521050905540001</t>
  </si>
  <si>
    <t>63e357b9-d7d3-11ee-ac36-0242ff9ee44d</t>
  </si>
  <si>
    <t>3521051207670003</t>
  </si>
  <si>
    <t>3521061409720001</t>
  </si>
  <si>
    <t>63e3c576-d7d3-11ee-ac36-0242ff9ee44d</t>
  </si>
  <si>
    <t>63e353dc-d7d3-11ee-ac36-0242ff9ee44d</t>
  </si>
  <si>
    <t>3521051211660001</t>
  </si>
  <si>
    <t>SUPARMAN</t>
  </si>
  <si>
    <t>3521092603720001</t>
  </si>
  <si>
    <t>Dusun Nguwin</t>
  </si>
  <si>
    <t>63e39f28-d7d3-11ee-ac36-0242ff9ee44d</t>
  </si>
  <si>
    <t>3521131104710003</t>
  </si>
  <si>
    <t>63e30e18-d7d3-11ee-ac36-0242ff9ee44d</t>
  </si>
  <si>
    <t>Suparman</t>
  </si>
  <si>
    <t>3521083112760032</t>
  </si>
  <si>
    <t>63e35dbc-d7d3-11ee-ac36-0242ff9ee44d</t>
  </si>
  <si>
    <t>Dusun Pondok Desa Macanan Kec. Jogorogo</t>
  </si>
  <si>
    <t>63e35fc2-d7d3-11ee-ac36-0242ff9ee44d</t>
  </si>
  <si>
    <t>SUPARMIN</t>
  </si>
  <si>
    <t>3521062306710001</t>
  </si>
  <si>
    <t>63e32e1b-d7d3-11ee-ac36-0242ff9ee44d</t>
  </si>
  <si>
    <t>Suparmin</t>
  </si>
  <si>
    <t>3521140309740001</t>
  </si>
  <si>
    <t>63e3bc6e-d7d3-11ee-ac36-0242ff9ee44d</t>
  </si>
  <si>
    <t>suparmin</t>
  </si>
  <si>
    <t>63e37c3d-d7d3-11ee-ac36-0242ff9ee44d</t>
  </si>
  <si>
    <t>3521170501550001</t>
  </si>
  <si>
    <t>63e38382-d7d3-11ee-ac36-0242ff9ee44d</t>
  </si>
  <si>
    <t>63e35d31-d7d3-11ee-ac36-0242ff9ee44d</t>
  </si>
  <si>
    <t>SUPARMONO</t>
  </si>
  <si>
    <t>3521060504800001</t>
  </si>
  <si>
    <t>63e35156-d7d3-11ee-ac36-0242ff9ee44d</t>
  </si>
  <si>
    <t>SUPARNA</t>
  </si>
  <si>
    <t>3521092308710001</t>
  </si>
  <si>
    <t>Kandangan II</t>
  </si>
  <si>
    <t>3521051505610001</t>
  </si>
  <si>
    <t>63e3b64d-d7d3-11ee-ac36-0242ff9ee44d</t>
  </si>
  <si>
    <t>Suparni</t>
  </si>
  <si>
    <t>3521160109680001</t>
  </si>
  <si>
    <t>63e3679e-d7d3-11ee-ac36-0242ff9ee44d</t>
  </si>
  <si>
    <t>3521082005720001</t>
  </si>
  <si>
    <t>63e37cfd-d7d3-11ee-ac36-0242ff9ee44d</t>
  </si>
  <si>
    <t>Suparno</t>
  </si>
  <si>
    <t>3521170605760001</t>
  </si>
  <si>
    <t>Dusun Sentul, Desa Gembol</t>
  </si>
  <si>
    <t>63e34c80-d7d3-11ee-ac36-0242ff9ee44d</t>
  </si>
  <si>
    <t>63e38180-d7d3-11ee-ac36-0242ff9ee44d</t>
  </si>
  <si>
    <t>3521121206780004</t>
  </si>
  <si>
    <t>b</t>
  </si>
  <si>
    <t>63e32952-d7d3-11ee-ac36-0242ff9ee44d</t>
  </si>
  <si>
    <t>SUPARNO</t>
  </si>
  <si>
    <t>3521051602770003</t>
  </si>
  <si>
    <t>3521060209630001</t>
  </si>
  <si>
    <t>63e350ad-d7d3-11ee-ac36-0242ff9ee44d</t>
  </si>
  <si>
    <t>3521090812680002</t>
  </si>
  <si>
    <t>KANDANGAN I</t>
  </si>
  <si>
    <t>63e35990-d7d3-11ee-ac36-0242ff9ee44d</t>
  </si>
  <si>
    <t>3521081804670001</t>
  </si>
  <si>
    <t>63e3b8c9-d7d3-11ee-ac36-0242ff9ee44d</t>
  </si>
  <si>
    <t>3521051709700004</t>
  </si>
  <si>
    <t>63e3a342-d7d3-11ee-ac36-0242ff9ee44d</t>
  </si>
  <si>
    <t>3521131201730003</t>
  </si>
  <si>
    <t>63e3b88a-d7d3-11ee-ac36-0242ff9ee44d</t>
  </si>
  <si>
    <t>63e32438-d7d3-11ee-ac36-0242ff9ee44d</t>
  </si>
  <si>
    <t>3521051712810001</t>
  </si>
  <si>
    <t>3521060405730001</t>
  </si>
  <si>
    <t>Dsn. Dinden III Ds. Dinden</t>
  </si>
  <si>
    <t>63e3c827-d7d3-11ee-ac36-0242ff9ee44d</t>
  </si>
  <si>
    <t>3521051808570001</t>
  </si>
  <si>
    <t>3521100104580001</t>
  </si>
  <si>
    <t>63e37456-d7d3-11ee-ac36-0242ff9ee44d</t>
  </si>
  <si>
    <t>SUPARSI RANA W</t>
  </si>
  <si>
    <t>3521053010750002</t>
  </si>
  <si>
    <t>63e3b0fa-d7d3-11ee-ac36-0242ff9ee44d</t>
  </si>
  <si>
    <t>Suparwo</t>
  </si>
  <si>
    <t>Dusun Tumpang Desa Jogorogo Kec. Jogorogo</t>
  </si>
  <si>
    <t>63e39b8f-d7d3-11ee-ac36-0242ff9ee44d</t>
  </si>
  <si>
    <t>SUPATMO</t>
  </si>
  <si>
    <t>3521061204800002</t>
  </si>
  <si>
    <t>63e33c82-d7d3-11ee-ac36-0242ff9ee44d</t>
  </si>
  <si>
    <t>SUPOMO</t>
  </si>
  <si>
    <t>63e354c8-d7d3-11ee-ac36-0242ff9ee44d</t>
  </si>
  <si>
    <t>3521080111710001</t>
  </si>
  <si>
    <t>63e39015-d7d3-11ee-ac36-0242ff9ee44d</t>
  </si>
  <si>
    <t>3521071606690002</t>
  </si>
  <si>
    <t>3521052107810003</t>
  </si>
  <si>
    <t>63e30e6a-d7d3-11ee-ac36-0242ff9ee44d</t>
  </si>
  <si>
    <t>3521081503610002</t>
  </si>
  <si>
    <t>63e3541b-d7d3-11ee-ac36-0242ff9ee44d</t>
  </si>
  <si>
    <t>SUPRAPTO</t>
  </si>
  <si>
    <t>3521062207840001</t>
  </si>
  <si>
    <t>63e3387c-d7d3-11ee-ac36-0242ff9ee44d</t>
  </si>
  <si>
    <t>3521141903670002</t>
  </si>
  <si>
    <t>3521052209730002</t>
  </si>
  <si>
    <t>63e39ba4-d7d3-11ee-ac36-0242ff9ee44d</t>
  </si>
  <si>
    <t>63e33013-d7d3-11ee-ac36-0242ff9ee44d</t>
  </si>
  <si>
    <t>Supriyadi</t>
  </si>
  <si>
    <t>3521052310510001</t>
  </si>
  <si>
    <t>3521171409760001</t>
  </si>
  <si>
    <t>63e3aa8e-d7d3-11ee-ac36-0242ff9ee44d</t>
  </si>
  <si>
    <t>Dusun Karangnongko</t>
  </si>
  <si>
    <t>63e375da-d7d3-11ee-ac36-0242ff9ee44d</t>
  </si>
  <si>
    <t>3521152306800001</t>
  </si>
  <si>
    <t>63e369c7-d7d3-11ee-ac36-0242ff9ee44d</t>
  </si>
  <si>
    <t>3521122102680002</t>
  </si>
  <si>
    <t>Jenak</t>
  </si>
  <si>
    <t>63e3a471-d7d3-11ee-ac36-0242ff9ee44d</t>
  </si>
  <si>
    <t>Supriyanto</t>
  </si>
  <si>
    <t>Dusun Bungkus Desa Ngrayudan Kec. Jogorogo</t>
  </si>
  <si>
    <t>63e37482-d7d3-11ee-ac36-0242ff9ee44d</t>
  </si>
  <si>
    <t>SUPRIYANTO</t>
  </si>
  <si>
    <t>63e389db-d7d3-11ee-ac36-0242ff9ee44d</t>
  </si>
  <si>
    <t>3521070307740001</t>
  </si>
  <si>
    <t>63e36d09-d7d3-11ee-ac36-0242ff9ee44d</t>
  </si>
  <si>
    <t>3521151603780005</t>
  </si>
  <si>
    <t>63e3a45a-d7d3-11ee-ac36-0242ff9ee44d</t>
  </si>
  <si>
    <t>3521133112780005</t>
  </si>
  <si>
    <t>63e3b0e3-d7d3-11ee-ac36-0242ff9ee44d</t>
  </si>
  <si>
    <t>SUPRIYANTO NUR CAHYO</t>
  </si>
  <si>
    <t>3521090608720008</t>
  </si>
  <si>
    <t>63e3ab65-d7d3-11ee-ac36-0242ff9ee44d</t>
  </si>
  <si>
    <t>SUPRIYONO</t>
  </si>
  <si>
    <t>63e39153-d7d3-11ee-ac36-0242ff9ee44d</t>
  </si>
  <si>
    <t>Supriyono</t>
  </si>
  <si>
    <t>3521070203570001</t>
  </si>
  <si>
    <t>63e3902a-d7d3-11ee-ac36-0242ff9ee44d</t>
  </si>
  <si>
    <t>3521072403810002</t>
  </si>
  <si>
    <t>63e3a683-d7d3-11ee-ac36-0242ff9ee44d</t>
  </si>
  <si>
    <t>SURADI</t>
  </si>
  <si>
    <t>3521052802790003</t>
  </si>
  <si>
    <t>Dsn. Dinden II, Desa Dinden</t>
  </si>
  <si>
    <t>63e36663-d7d3-11ee-ac36-0242ff9ee44d</t>
  </si>
  <si>
    <t>Suraji</t>
  </si>
  <si>
    <t>3521080804690004</t>
  </si>
  <si>
    <t>63e38693-d7d3-11ee-ac36-0242ff9ee44d</t>
  </si>
  <si>
    <t>Suranto</t>
  </si>
  <si>
    <t>3521123112690023</t>
  </si>
  <si>
    <t>bulakpande</t>
  </si>
  <si>
    <t>63e3733c-d7d3-11ee-ac36-0242ff9ee44d</t>
  </si>
  <si>
    <t>Surat</t>
  </si>
  <si>
    <t>3521191012670002</t>
  </si>
  <si>
    <t>Gunung Kendil</t>
  </si>
  <si>
    <t>63e38ac1-d7d3-11ee-ac36-0242ff9ee44d</t>
  </si>
  <si>
    <t>3521071909680004</t>
  </si>
  <si>
    <t>63e3c448-d7d3-11ee-ac36-0242ff9ee44d</t>
  </si>
  <si>
    <t>SURATMAN</t>
  </si>
  <si>
    <t>3521101103660001</t>
  </si>
  <si>
    <t>63e3af22-d7d3-11ee-ac36-0242ff9ee44d</t>
  </si>
  <si>
    <t>3621041301930003</t>
  </si>
  <si>
    <t>RT. 02 RW 04 KRAJAN</t>
  </si>
  <si>
    <t>63e3321d-d7d3-11ee-ac36-0242ff9ee44d</t>
  </si>
  <si>
    <t>SURATMO</t>
  </si>
  <si>
    <t>3521111402730003</t>
  </si>
  <si>
    <t>63e36563-d7d3-11ee-ac36-0242ff9ee44d</t>
  </si>
  <si>
    <t>Suratno</t>
  </si>
  <si>
    <t>63e3a218-d7d3-11ee-ac36-0242ff9ee44d</t>
  </si>
  <si>
    <t>63e38945-d7d3-11ee-ac36-0242ff9ee44d</t>
  </si>
  <si>
    <t>3521070705690001</t>
  </si>
  <si>
    <t>63e32ec4-d7d3-11ee-ac36-0242ff9ee44d</t>
  </si>
  <si>
    <t>SURISNO</t>
  </si>
  <si>
    <t>63e30e93-d7d3-11ee-ac36-0242ff9ee44d</t>
  </si>
  <si>
    <t>Surono</t>
  </si>
  <si>
    <t>3521081101560001</t>
  </si>
  <si>
    <t>63e3a5f4-d7d3-11ee-ac36-0242ff9ee44d</t>
  </si>
  <si>
    <t>SUROSO</t>
  </si>
  <si>
    <t>3521061209790002</t>
  </si>
  <si>
    <t>18d40e62-698d-4588-90db-eadedcfa1b6f</t>
  </si>
  <si>
    <t>Suroso</t>
  </si>
  <si>
    <t>3521060106790001</t>
  </si>
  <si>
    <t>3521111106710001</t>
  </si>
  <si>
    <t>Desa Wonokerto</t>
  </si>
  <si>
    <t>63e3b1b7-d7d3-11ee-ac36-0242ff9ee44d</t>
  </si>
  <si>
    <t>3521091504530002</t>
  </si>
  <si>
    <t>3521060110560001</t>
  </si>
  <si>
    <t>63e32737-d7d3-11ee-ac36-0242ff9ee44d</t>
  </si>
  <si>
    <t>SUROTO</t>
  </si>
  <si>
    <t>3521061910770003</t>
  </si>
  <si>
    <t>63e32b46-d7d3-11ee-ac36-0242ff9ee44d</t>
  </si>
  <si>
    <t>Suroto</t>
  </si>
  <si>
    <t>3521142604770001</t>
  </si>
  <si>
    <t>3521060204670002</t>
  </si>
  <si>
    <t>27bd15a8-36e5-4f59-8130-7b2fa0ec5789</t>
  </si>
  <si>
    <t>DUSUN PUCANGANOM RT.015 RW.001</t>
  </si>
  <si>
    <t>63e38568-d7d3-11ee-ac36-0242ff9ee44d</t>
  </si>
  <si>
    <t>63e3a8f4-d7d3-11ee-ac36-0242ff9ee44d</t>
  </si>
  <si>
    <t>3521061808690001</t>
  </si>
  <si>
    <t>63e3a72e-d7d3-11ee-ac36-0242ff9ee44d</t>
  </si>
  <si>
    <t>63e35a93-d7d3-11ee-ac36-0242ff9ee44d</t>
  </si>
  <si>
    <t>63e3889a-d7d3-11ee-ac36-0242ff9ee44d</t>
  </si>
  <si>
    <t>3521072112790001</t>
  </si>
  <si>
    <t>63e3b89e-d7d3-11ee-ac36-0242ff9ee44d</t>
  </si>
  <si>
    <t>Suryono</t>
  </si>
  <si>
    <t>3521121006680004</t>
  </si>
  <si>
    <t>kenonggo</t>
  </si>
  <si>
    <t>63e31860-d7d3-11ee-ac36-0242ff9ee44d</t>
  </si>
  <si>
    <t>Susantara</t>
  </si>
  <si>
    <t>3521190409650002</t>
  </si>
  <si>
    <t>Tawun I</t>
  </si>
  <si>
    <t>63e31f10-d7d3-11ee-ac36-0242ff9ee44d</t>
  </si>
  <si>
    <t>Susilo</t>
  </si>
  <si>
    <t>3521191902770002</t>
  </si>
  <si>
    <t>Kareman 1</t>
  </si>
  <si>
    <t>63e38bd6-d7d3-11ee-ac36-0242ff9ee44d</t>
  </si>
  <si>
    <t>3521072101740002</t>
  </si>
  <si>
    <t>63e3a00e-d7d3-11ee-ac36-0242ff9ee44d</t>
  </si>
  <si>
    <t>SUTAKAT</t>
  </si>
  <si>
    <t>DUSUN WONOREJO</t>
  </si>
  <si>
    <t>63e3c6a7-d7d3-11ee-ac36-0242ff9ee44d</t>
  </si>
  <si>
    <t>3521060311630001</t>
  </si>
  <si>
    <t>SUTARJI</t>
  </si>
  <si>
    <t>3521102409750002</t>
  </si>
  <si>
    <t>63e35d0e-d7d3-11ee-ac36-0242ff9ee44d</t>
  </si>
  <si>
    <t>SUTARJO</t>
  </si>
  <si>
    <t>63e35d77-d7d3-11ee-ac36-0242ff9ee44d</t>
  </si>
  <si>
    <t>Sutarman</t>
  </si>
  <si>
    <t>3521060403850001</t>
  </si>
  <si>
    <t>63e3a202-d7d3-11ee-ac36-0242ff9ee44d</t>
  </si>
  <si>
    <t>SUTARMI</t>
  </si>
  <si>
    <t>3521156802870001</t>
  </si>
  <si>
    <t>63e359d1-d7d3-11ee-ac36-0242ff9ee44d</t>
  </si>
  <si>
    <t>Sutarmin</t>
  </si>
  <si>
    <t>63e31269-d7d3-11ee-ac36-0242ff9ee44d</t>
  </si>
  <si>
    <t>3521080604670002</t>
  </si>
  <si>
    <t>63e3b7b4-d7d3-11ee-ac36-0242ff9ee44d</t>
  </si>
  <si>
    <t>SUTARMIN</t>
  </si>
  <si>
    <t>63e31790-d7d3-11ee-ac36-0242ff9ee44d</t>
  </si>
  <si>
    <t>SUTARNO</t>
  </si>
  <si>
    <t>Gondorejo RT.04 RW.01</t>
  </si>
  <si>
    <t>63e30f50-d7d3-11ee-ac36-0242ff9ee44d</t>
  </si>
  <si>
    <t>Sutarno</t>
  </si>
  <si>
    <t>3521082404680001</t>
  </si>
  <si>
    <t>63e3c252-d7d3-11ee-ac36-0242ff9ee44d</t>
  </si>
  <si>
    <t>3521100606610002</t>
  </si>
  <si>
    <t>63e3a89e-d7d3-11ee-ac36-0242ff9ee44d</t>
  </si>
  <si>
    <t>3521081204670005</t>
  </si>
  <si>
    <t>63e355fd-d7d3-11ee-ac36-0242ff9ee44d</t>
  </si>
  <si>
    <t>3521060501710001</t>
  </si>
  <si>
    <t>SUTARTO</t>
  </si>
  <si>
    <t>63e342a5-d7d3-11ee-ac36-0242ff9ee44d</t>
  </si>
  <si>
    <t>3521171009720002</t>
  </si>
  <si>
    <t>63e364f5-d7d3-11ee-ac36-0242ff9ee44d</t>
  </si>
  <si>
    <t>3521081209690002</t>
  </si>
  <si>
    <t>63e30bdf-d7d3-11ee-ac36-0242ff9ee44d</t>
  </si>
  <si>
    <t>3521082011770002</t>
  </si>
  <si>
    <t>63e38beb-d7d3-11ee-ac36-0242ff9ee44d</t>
  </si>
  <si>
    <t>Sutikno Dwi Cahyono</t>
  </si>
  <si>
    <t>3521071708860001</t>
  </si>
  <si>
    <t>63e35fa0-d7d3-11ee-ac36-0242ff9ee44d</t>
  </si>
  <si>
    <t>SUTIMIN</t>
  </si>
  <si>
    <t>63e38d4f-d7d3-11ee-ac36-0242ff9ee44d</t>
  </si>
  <si>
    <t>SUTINI</t>
  </si>
  <si>
    <t>3521155504830001</t>
  </si>
  <si>
    <t>63e35638-d7d3-11ee-ac36-0242ff9ee44d</t>
  </si>
  <si>
    <t>63e3564e-d7d3-11ee-ac36-0242ff9ee44d</t>
  </si>
  <si>
    <t>SUTIYEM</t>
  </si>
  <si>
    <t>63e38959-d7d3-11ee-ac36-0242ff9ee44d</t>
  </si>
  <si>
    <t>Sutiyo</t>
  </si>
  <si>
    <t>3521072606730002</t>
  </si>
  <si>
    <t>3521060609720001</t>
  </si>
  <si>
    <t>63e37935-d7d3-11ee-ac36-0242ff9ee44d</t>
  </si>
  <si>
    <t>SUTIYONO</t>
  </si>
  <si>
    <t>63e356cd-d7d3-11ee-ac36-0242ff9ee44d</t>
  </si>
  <si>
    <t>SUTOMO</t>
  </si>
  <si>
    <t>63e3c5fb-d7d3-11ee-ac36-0242ff9ee44d</t>
  </si>
  <si>
    <t>3521060708740001</t>
  </si>
  <si>
    <t>63e35679-d7d3-11ee-ac36-0242ff9ee44d</t>
  </si>
  <si>
    <t>63e3bd71-d7d3-11ee-ac36-0242ff9ee44d</t>
  </si>
  <si>
    <t>Sutomo</t>
  </si>
  <si>
    <t>3521160306800001</t>
  </si>
  <si>
    <t>63e3506d-d7d3-11ee-ac36-0242ff9ee44d</t>
  </si>
  <si>
    <t>SUTOPO</t>
  </si>
  <si>
    <t>3521093107800001</t>
  </si>
  <si>
    <t>Dsn.karangtejo RT 1/8</t>
  </si>
  <si>
    <t>63e3ce53-d7d3-11ee-ac36-0242ff9ee44d</t>
  </si>
  <si>
    <t>sutopo</t>
  </si>
  <si>
    <t>3521060805730002</t>
  </si>
  <si>
    <t>3521180103840007</t>
  </si>
  <si>
    <t>63e3aa0b-d7d3-11ee-ac36-0242ff9ee44d</t>
  </si>
  <si>
    <t>Sutoyo</t>
  </si>
  <si>
    <t>3521131411700001</t>
  </si>
  <si>
    <t>63e3b8e0-d7d3-11ee-ac36-0242ff9ee44d</t>
  </si>
  <si>
    <t>SUTOYO</t>
  </si>
  <si>
    <t>63e30c1c-d7d3-11ee-ac36-0242ff9ee44d</t>
  </si>
  <si>
    <t>3521081106680003</t>
  </si>
  <si>
    <t>63e3609a-d7d3-11ee-ac36-0242ff9ee44d</t>
  </si>
  <si>
    <t>3521061310740001</t>
  </si>
  <si>
    <t>63e327ba-d7d3-11ee-ac36-0242ff9ee44d</t>
  </si>
  <si>
    <t>3521142503800003</t>
  </si>
  <si>
    <t>63e3c2c1-d7d3-11ee-ac36-0242ff9ee44d</t>
  </si>
  <si>
    <t>3521101102520002</t>
  </si>
  <si>
    <t>63e34e91-d7d3-11ee-ac36-0242ff9ee44d</t>
  </si>
  <si>
    <t>63e390c0-d7d3-11ee-ac36-0242ff9ee44d</t>
  </si>
  <si>
    <t>3521072007600002</t>
  </si>
  <si>
    <t>63e32535-d7d3-11ee-ac36-0242ff9ee44d</t>
  </si>
  <si>
    <t>3521140310780003</t>
  </si>
  <si>
    <t>63e364ae-d7d3-11ee-ac36-0242ff9ee44d</t>
  </si>
  <si>
    <t>3521080601710001</t>
  </si>
  <si>
    <t>63e3ac4e-d7d3-11ee-ac36-0242ff9ee44d</t>
  </si>
  <si>
    <t>3521061206880001</t>
  </si>
  <si>
    <t>63e35565-d7d3-11ee-ac36-0242ff9ee44d</t>
  </si>
  <si>
    <t>3521062705820001</t>
  </si>
  <si>
    <t>63e3a6ef-d7d3-11ee-ac36-0242ff9ee44d</t>
  </si>
  <si>
    <t>63e3c63b-d7d3-11ee-ac36-0242ff9ee44d</t>
  </si>
  <si>
    <t>63e3cbdd-d7d3-11ee-ac36-0242ff9ee44d</t>
  </si>
  <si>
    <t>sutrisno</t>
  </si>
  <si>
    <t>3521072606730001</t>
  </si>
  <si>
    <t>63e331b6-d7d3-11ee-ac36-0242ff9ee44d</t>
  </si>
  <si>
    <t>3521061304760002</t>
  </si>
  <si>
    <t>63e38d64-d7d3-11ee-ac36-0242ff9ee44d</t>
  </si>
  <si>
    <t>3521072802730001</t>
  </si>
  <si>
    <t>63e3aba4-d7d3-11ee-ac36-0242ff9ee44d</t>
  </si>
  <si>
    <t>SUWADI</t>
  </si>
  <si>
    <t>3521061309760001</t>
  </si>
  <si>
    <t>63e30c7e-d7d3-11ee-ac36-0242ff9ee44d</t>
  </si>
  <si>
    <t>Suwaji</t>
  </si>
  <si>
    <t>3521081005580004</t>
  </si>
  <si>
    <t>Dusun Pancuran Desa Pacing</t>
  </si>
  <si>
    <t>63e36c29-d7d3-11ee-ac36-0242ff9ee44d</t>
  </si>
  <si>
    <t>3521081006690003</t>
  </si>
  <si>
    <t>63e34bfd-d7d3-11ee-ac36-0242ff9ee44d</t>
  </si>
  <si>
    <t>SUWAJI</t>
  </si>
  <si>
    <t>63e37ace-d7d3-11ee-ac36-0242ff9ee44d</t>
  </si>
  <si>
    <t>SUWANDI</t>
  </si>
  <si>
    <t>63e3221a-d7d3-11ee-ac36-0242ff9ee44d</t>
  </si>
  <si>
    <t>3521062408710002</t>
  </si>
  <si>
    <t>63e397df-d7d3-11ee-ac36-0242ff9ee44d</t>
  </si>
  <si>
    <t>Suwandi</t>
  </si>
  <si>
    <t>3521113006660042</t>
  </si>
  <si>
    <t>63e3b9f7-d7d3-11ee-ac36-0242ff9ee44d</t>
  </si>
  <si>
    <t>3521101107680001</t>
  </si>
  <si>
    <t>63e3988a-d7d3-11ee-ac36-0242ff9ee44d</t>
  </si>
  <si>
    <t>Suwanti</t>
  </si>
  <si>
    <t>3521114306550013</t>
  </si>
  <si>
    <t>63e3c8bc-d7d3-11ee-ac36-0242ff9ee44d</t>
  </si>
  <si>
    <t>SUWANTO</t>
  </si>
  <si>
    <t>3521102912630001</t>
  </si>
  <si>
    <t>63e39bd0-d7d3-11ee-ac36-0242ff9ee44d</t>
  </si>
  <si>
    <t>63e3a1ad-d7d3-11ee-ac36-0242ff9ee44d</t>
  </si>
  <si>
    <t>SUWARDI</t>
  </si>
  <si>
    <t>DUSUN MANDEN</t>
  </si>
  <si>
    <t>63e35a25-d7d3-11ee-ac36-0242ff9ee44d</t>
  </si>
  <si>
    <t>Suwarno</t>
  </si>
  <si>
    <t>3521082501710001</t>
  </si>
  <si>
    <t>63e3c7d3-d7d3-11ee-ac36-0242ff9ee44d</t>
  </si>
  <si>
    <t>SUWARNO</t>
  </si>
  <si>
    <t>3521102408690003</t>
  </si>
  <si>
    <t>63e38de4-d7d3-11ee-ac36-0242ff9ee44d</t>
  </si>
  <si>
    <t>3521070712770005</t>
  </si>
  <si>
    <t>63e3a4b4-d7d3-11ee-ac36-0242ff9ee44d</t>
  </si>
  <si>
    <t>Dusun Nglorok Desa Ngrayudan Kec. Jogorogo</t>
  </si>
  <si>
    <t>63e3c400-d7d3-11ee-ac36-0242ff9ee44d</t>
  </si>
  <si>
    <t>3521100110770006</t>
  </si>
  <si>
    <t>63e3a909-d7d3-11ee-ac36-0242ff9ee44d</t>
  </si>
  <si>
    <t>63e36cde-d7d3-11ee-ac36-0242ff9ee44d</t>
  </si>
  <si>
    <t>3521061605890004</t>
  </si>
  <si>
    <t>3521151512710003</t>
  </si>
  <si>
    <t>63e36cc8-d7d3-11ee-ac36-0242ff9ee44d</t>
  </si>
  <si>
    <t>3521151108830001</t>
  </si>
  <si>
    <t>63e33162-d7d3-11ee-ac36-0242ff9ee44d</t>
  </si>
  <si>
    <t>SUWARTO</t>
  </si>
  <si>
    <t>63e371a3-d7d3-11ee-ac36-0242ff9ee44d</t>
  </si>
  <si>
    <t>3521061609750001</t>
  </si>
  <si>
    <t>Suwito</t>
  </si>
  <si>
    <t>3521141602620002</t>
  </si>
  <si>
    <t>63e362ff-d7d3-11ee-ac36-0242ff9ee44d</t>
  </si>
  <si>
    <t>3521082006720002</t>
  </si>
  <si>
    <t>63e38918-d7d3-11ee-ac36-0242ff9ee44d</t>
  </si>
  <si>
    <t>3521072805720001</t>
  </si>
  <si>
    <t>63e359a6-d7d3-11ee-ac36-0242ff9ee44d</t>
  </si>
  <si>
    <t>3521080205690001</t>
  </si>
  <si>
    <t>63e3afcd-d7d3-11ee-ac36-0242ff9ee44d</t>
  </si>
  <si>
    <t>3521132208810002</t>
  </si>
  <si>
    <t>63e3b3bb-d7d3-11ee-ac36-0242ff9ee44d</t>
  </si>
  <si>
    <t>3521091012620005</t>
  </si>
  <si>
    <t>63e311ad-d7d3-11ee-ac36-0242ff9ee44d</t>
  </si>
  <si>
    <t>Suwono</t>
  </si>
  <si>
    <t>3521082505560001</t>
  </si>
  <si>
    <t>63e39096-d7d3-11ee-ac36-0242ff9ee44d</t>
  </si>
  <si>
    <t>3521070508700002</t>
  </si>
  <si>
    <t>63e34731-d7d3-11ee-ac36-0242ff9ee44d</t>
  </si>
  <si>
    <t>SUWOTO</t>
  </si>
  <si>
    <t>63e30f11-d7d3-11ee-ac36-0242ff9ee44d</t>
  </si>
  <si>
    <t>Suyadi</t>
  </si>
  <si>
    <t>3521081501760003</t>
  </si>
  <si>
    <t>63e39000-d7d3-11ee-ac36-0242ff9ee44d</t>
  </si>
  <si>
    <t>3521070103690001</t>
  </si>
  <si>
    <t>63e3abcf-d7d3-11ee-ac36-0242ff9ee44d</t>
  </si>
  <si>
    <t>SUYADI</t>
  </si>
  <si>
    <t>63e3aecd-d7d3-11ee-ac36-0242ff9ee44d</t>
  </si>
  <si>
    <t>RT. 01 RW. 06 JATISARI</t>
  </si>
  <si>
    <t>63e3b5e5-d7d3-11ee-ac36-0242ff9ee44d</t>
  </si>
  <si>
    <t>3521090107650014</t>
  </si>
  <si>
    <t>63e3a91e-d7d3-11ee-ac36-0242ff9ee44d</t>
  </si>
  <si>
    <t>3521062806810001</t>
  </si>
  <si>
    <t>63e36bef-d7d3-11ee-ac36-0242ff9ee44d</t>
  </si>
  <si>
    <t>3521080105780002</t>
  </si>
  <si>
    <t>63e34859-d7d3-11ee-ac36-0242ff9ee44d</t>
  </si>
  <si>
    <t>3521110604560001</t>
  </si>
  <si>
    <t>63e3b426-d7d3-11ee-ac36-0242ff9ee44d</t>
  </si>
  <si>
    <t>SUYAHMIN</t>
  </si>
  <si>
    <t>3521092605730002</t>
  </si>
  <si>
    <t>63e37160-d7d3-11ee-ac36-0242ff9ee44d</t>
  </si>
  <si>
    <t>Suyandani</t>
  </si>
  <si>
    <t>3521141601770001</t>
  </si>
  <si>
    <t>63e3b0a4-d7d3-11ee-ac36-0242ff9ee44d</t>
  </si>
  <si>
    <t>SUYANTO</t>
  </si>
  <si>
    <t>3521090408840001</t>
  </si>
  <si>
    <t>Dsn. CABEAN</t>
  </si>
  <si>
    <t>63e31889-d7d3-11ee-ac36-0242ff9ee44d</t>
  </si>
  <si>
    <t>Suyanto</t>
  </si>
  <si>
    <t>3521190602730001</t>
  </si>
  <si>
    <t>63e34238-d7d3-11ee-ac36-0242ff9ee44d</t>
  </si>
  <si>
    <t>63e37a4f-d7d3-11ee-ac36-0242ff9ee44d</t>
  </si>
  <si>
    <t>3521172902800001</t>
  </si>
  <si>
    <t>Dusun Karanganyar, Desa Karanganyar</t>
  </si>
  <si>
    <t>63e38847-d7d3-11ee-ac36-0242ff9ee44d</t>
  </si>
  <si>
    <t>3521072403760001</t>
  </si>
  <si>
    <t>63e33b0a-d7d3-11ee-ac36-0242ff9ee44d</t>
  </si>
  <si>
    <t>SUYARNO</t>
  </si>
  <si>
    <t>63e3578e-d7d3-11ee-ac36-0242ff9ee44d</t>
  </si>
  <si>
    <t>3521081610770001</t>
  </si>
  <si>
    <t>63e39c7e-d7d3-11ee-ac36-0242ff9ee44d</t>
  </si>
  <si>
    <t>63e38b58-d7d3-11ee-ac36-0242ff9ee44d</t>
  </si>
  <si>
    <t>3521072005720001</t>
  </si>
  <si>
    <t>63e37b93-d7d3-11ee-ac36-0242ff9ee44d</t>
  </si>
  <si>
    <t>3521172304690001</t>
  </si>
  <si>
    <t>Dusun Talok, Desa Karanganyar</t>
  </si>
  <si>
    <t>63e3550e-d7d3-11ee-ac36-0242ff9ee44d</t>
  </si>
  <si>
    <t>3521081607600002</t>
  </si>
  <si>
    <t>63e36ade-d7d3-11ee-ac36-0242ff9ee44d</t>
  </si>
  <si>
    <t>3521082406720002</t>
  </si>
  <si>
    <t>63e3105f-d7d3-11ee-ac36-0242ff9ee44d</t>
  </si>
  <si>
    <t>3521080903700002</t>
  </si>
  <si>
    <t>63e35c8a-d7d3-11ee-ac36-0242ff9ee44d</t>
  </si>
  <si>
    <t>SUYATNO</t>
  </si>
  <si>
    <t>63e374ec-d7d3-11ee-ac36-0242ff9ee44d</t>
  </si>
  <si>
    <t>3521192703830002</t>
  </si>
  <si>
    <t>63e30ddb-d7d3-11ee-ac36-0242ff9ee44d</t>
  </si>
  <si>
    <t>3521080212720001</t>
  </si>
  <si>
    <t>63e3789e-d7d3-11ee-ac36-0242ff9ee44d</t>
  </si>
  <si>
    <t>SUYITNO</t>
  </si>
  <si>
    <t>63e3c87d-d7d3-11ee-ac36-0242ff9ee44d</t>
  </si>
  <si>
    <t>SUYOKO</t>
  </si>
  <si>
    <t>3521102109700001</t>
  </si>
  <si>
    <t>3521062602610002</t>
  </si>
  <si>
    <t>63e35e88-d7d3-11ee-ac36-0242ff9ee44d</t>
  </si>
  <si>
    <t>63e3780a-d7d3-11ee-ac36-0242ff9ee44d</t>
  </si>
  <si>
    <t>63e36054-d7d3-11ee-ac36-0242ff9ee44d</t>
  </si>
  <si>
    <t>Suyono Mardi Rasito</t>
  </si>
  <si>
    <t>63e3695b-d7d3-11ee-ac36-0242ff9ee44d</t>
  </si>
  <si>
    <t>Suyoso</t>
  </si>
  <si>
    <t>3521082806840002</t>
  </si>
  <si>
    <t>63e3c994-d7d3-11ee-ac36-0242ff9ee44d</t>
  </si>
  <si>
    <t>SUYOSO</t>
  </si>
  <si>
    <t>3521100805750009</t>
  </si>
  <si>
    <t>63e315df-d7d3-11ee-ac36-0242ff9ee44d</t>
  </si>
  <si>
    <t>SUYOTO</t>
  </si>
  <si>
    <t>63e325f6-d7d3-11ee-ac36-0242ff9ee44d</t>
  </si>
  <si>
    <t>Syahrifuddin</t>
  </si>
  <si>
    <t>3521142311910001</t>
  </si>
  <si>
    <t>63e3ae0f-d7d3-11ee-ac36-0242ff9ee44d</t>
  </si>
  <si>
    <t>SYAIFUDIN</t>
  </si>
  <si>
    <t>RT. 02 RW.02 JETAK</t>
  </si>
  <si>
    <t>63e3d038-d7d3-11ee-ac36-0242ff9ee44d</t>
  </si>
  <si>
    <t>T. Efendi</t>
  </si>
  <si>
    <t>3521121207930001</t>
  </si>
  <si>
    <t>63e35bbd-d7d3-11ee-ac36-0242ff9ee44d</t>
  </si>
  <si>
    <t>Takim</t>
  </si>
  <si>
    <t>3521083112610005</t>
  </si>
  <si>
    <t>63e34ee6-d7d3-11ee-ac36-0242ff9ee44d</t>
  </si>
  <si>
    <t>TAMAN</t>
  </si>
  <si>
    <t>63e3580c-d7d3-11ee-ac36-0242ff9ee44d</t>
  </si>
  <si>
    <t>Taman</t>
  </si>
  <si>
    <t>3521063012700002</t>
  </si>
  <si>
    <t>63e3c281-d7d3-11ee-ac36-0242ff9ee44d</t>
  </si>
  <si>
    <t>3521120301700004</t>
  </si>
  <si>
    <t>63e31d11-d7d3-11ee-ac36-0242ff9ee44d</t>
  </si>
  <si>
    <t>Tamin</t>
  </si>
  <si>
    <t>3521192912590001</t>
  </si>
  <si>
    <t>63e30cf5-d7d3-11ee-ac36-0242ff9ee44d</t>
  </si>
  <si>
    <t>Tamri</t>
  </si>
  <si>
    <t>3521064103710001</t>
  </si>
  <si>
    <t>3521081804790001</t>
  </si>
  <si>
    <t>63e3863b-d7d3-11ee-ac36-0242ff9ee44d</t>
  </si>
  <si>
    <t>Tamsir</t>
  </si>
  <si>
    <t>3521064105970002</t>
  </si>
  <si>
    <t>3521122606600004</t>
  </si>
  <si>
    <t>63e365fc-d7d3-11ee-ac36-0242ff9ee44d</t>
  </si>
  <si>
    <t>Tarmudji</t>
  </si>
  <si>
    <t>3521080406680002</t>
  </si>
  <si>
    <t>63e327a5-d7d3-11ee-ac36-0242ff9ee44d</t>
  </si>
  <si>
    <t>Tarno</t>
  </si>
  <si>
    <t>3521181501720001</t>
  </si>
  <si>
    <t>63e38b03-d7d3-11ee-ac36-0242ff9ee44d</t>
  </si>
  <si>
    <t>Taryono</t>
  </si>
  <si>
    <t>3521070809700001</t>
  </si>
  <si>
    <t>63e37312-d7d3-11ee-ac36-0242ff9ee44d</t>
  </si>
  <si>
    <t>Tasiyo</t>
  </si>
  <si>
    <t>3521192501640001</t>
  </si>
  <si>
    <t>63e3346f-d7d3-11ee-ac36-0242ff9ee44d</t>
  </si>
  <si>
    <t>Tasman</t>
  </si>
  <si>
    <t>3521140504650002</t>
  </si>
  <si>
    <t>63e3bcc3-d7d3-11ee-ac36-0242ff9ee44d</t>
  </si>
  <si>
    <t>Tasmania</t>
  </si>
  <si>
    <t>3521120205650001</t>
  </si>
  <si>
    <t>Grenteng</t>
  </si>
  <si>
    <t>63e32f6d-d7d3-11ee-ac36-0242ff9ee44d</t>
  </si>
  <si>
    <t>Tatik Nurfaidah</t>
  </si>
  <si>
    <t>63e3a9f6-d7d3-11ee-ac36-0242ff9ee44d</t>
  </si>
  <si>
    <t>Teguh</t>
  </si>
  <si>
    <t>3521130803680001</t>
  </si>
  <si>
    <t>63e3785f-d7d3-11ee-ac36-0242ff9ee44d</t>
  </si>
  <si>
    <t>Teguh Joko Santoso</t>
  </si>
  <si>
    <t>3521191709910002</t>
  </si>
  <si>
    <t>63e3c666-d7d3-11ee-ac36-0242ff9ee44d</t>
  </si>
  <si>
    <t>TEGUH WIYONO</t>
  </si>
  <si>
    <t>3521101210580002</t>
  </si>
  <si>
    <t>63e3c58b-d7d3-11ee-ac36-0242ff9ee44d</t>
  </si>
  <si>
    <t>THOFIK YUSWANTORO</t>
  </si>
  <si>
    <t>63e38f67-d7d3-11ee-ac36-0242ff9ee44d</t>
  </si>
  <si>
    <t>Thomas Welly Triatmojo</t>
  </si>
  <si>
    <t>3521070912720001</t>
  </si>
  <si>
    <t>63e3acb9-d7d3-11ee-ac36-0242ff9ee44d</t>
  </si>
  <si>
    <t>TIMBUL NS</t>
  </si>
  <si>
    <t>63e3ce97-d7d3-11ee-ac36-0242ff9ee44d</t>
  </si>
  <si>
    <t>Timin</t>
  </si>
  <si>
    <t>Desa Legowetan</t>
  </si>
  <si>
    <t>63e3a079-d7d3-11ee-ac36-0242ff9ee44d</t>
  </si>
  <si>
    <t>Titin Dewi M</t>
  </si>
  <si>
    <t>63e3836c-d7d3-11ee-ac36-0242ff9ee44d</t>
  </si>
  <si>
    <t>TOMI YUDHO NUGROHO</t>
  </si>
  <si>
    <t>DUSUN BANGET</t>
  </si>
  <si>
    <t>63e3c4b5-d7d3-11ee-ac36-0242ff9ee44d</t>
  </si>
  <si>
    <t>TONI SETIAWAN</t>
  </si>
  <si>
    <t>63e370de-d7d3-11ee-ac36-0242ff9ee44d</t>
  </si>
  <si>
    <t>Tosy Purbo Santoso</t>
  </si>
  <si>
    <t>3521141012960001</t>
  </si>
  <si>
    <t>63e360ba-d7d3-11ee-ac36-0242ff9ee44d</t>
  </si>
  <si>
    <t>Totok Sugiarto</t>
  </si>
  <si>
    <t>63e33bdc-d7d3-11ee-ac36-0242ff9ee44d</t>
  </si>
  <si>
    <t>TOTOK SUNARTO</t>
  </si>
  <si>
    <t>63e30bb4-d7d3-11ee-ac36-0242ff9ee44d</t>
  </si>
  <si>
    <t>Tri Handono</t>
  </si>
  <si>
    <t>3521081201640004</t>
  </si>
  <si>
    <t>63e352eb-d7d3-11ee-ac36-0242ff9ee44d</t>
  </si>
  <si>
    <t>TRIONO</t>
  </si>
  <si>
    <t>3521090703690001</t>
  </si>
  <si>
    <t>63e34f25-d7d3-11ee-ac36-0242ff9ee44d</t>
  </si>
  <si>
    <t>TRISIH WASONO</t>
  </si>
  <si>
    <t>3521170711890002</t>
  </si>
  <si>
    <t>63e32adc-d7d3-11ee-ac36-0242ff9ee44d</t>
  </si>
  <si>
    <t>Trismanto</t>
  </si>
  <si>
    <t>3521141006780001</t>
  </si>
  <si>
    <t>63e35116-d7d3-11ee-ac36-0242ff9ee44d</t>
  </si>
  <si>
    <t>63e3aa61-d7d3-11ee-ac36-0242ff9ee44d</t>
  </si>
  <si>
    <t>TRIYONO ADI SAPITRO</t>
  </si>
  <si>
    <t>63e3b5fa-d7d3-11ee-ac36-0242ff9ee44d</t>
  </si>
  <si>
    <t>TUKIMAN</t>
  </si>
  <si>
    <t>3521092503720002</t>
  </si>
  <si>
    <t>63e3b6b9-d7d3-11ee-ac36-0242ff9ee44d</t>
  </si>
  <si>
    <t>Tukiman</t>
  </si>
  <si>
    <t>3521091503680003</t>
  </si>
  <si>
    <t>63e37c67-d7d3-11ee-ac36-0242ff9ee44d</t>
  </si>
  <si>
    <t>Tukimin</t>
  </si>
  <si>
    <t>3521170911810001</t>
  </si>
  <si>
    <t>63e31c54-d7d3-11ee-ac36-0242ff9ee44d</t>
  </si>
  <si>
    <t>TUKIMIN</t>
  </si>
  <si>
    <t>Krajan Wetan RT. 03 RW. 01</t>
  </si>
  <si>
    <t>63e3109d-d7d3-11ee-ac36-0242ff9ee44d</t>
  </si>
  <si>
    <t>3521090712630002</t>
  </si>
  <si>
    <t>63e3c4a0-d7d3-11ee-ac36-0242ff9ee44d</t>
  </si>
  <si>
    <t>63e36a60-d7d3-11ee-ac36-0242ff9ee44d</t>
  </si>
  <si>
    <t>Tulus Indra Bakti</t>
  </si>
  <si>
    <t>63e3a532-d7d3-11ee-ac36-0242ff9ee44d</t>
  </si>
  <si>
    <t>Tulus Rujianto</t>
  </si>
  <si>
    <t>3521130306710001</t>
  </si>
  <si>
    <t>63e3772d-d7d3-11ee-ac36-0242ff9ee44d</t>
  </si>
  <si>
    <t>Tumbar</t>
  </si>
  <si>
    <t>3521190201540001</t>
  </si>
  <si>
    <t>63e32f05-d7d3-11ee-ac36-0242ff9ee44d</t>
  </si>
  <si>
    <t>TUMIN</t>
  </si>
  <si>
    <t>63e332ef-d7d3-11ee-ac36-0242ff9ee44d</t>
  </si>
  <si>
    <t>TUMIN NURYANTO</t>
  </si>
  <si>
    <t>63e34f39-d7d3-11ee-ac36-0242ff9ee44d</t>
  </si>
  <si>
    <t>TUMIYEM</t>
  </si>
  <si>
    <t>63e33fac-d7d3-11ee-ac36-0242ff9ee44d</t>
  </si>
  <si>
    <t>TUNGGAL</t>
  </si>
  <si>
    <t>3521112005430001</t>
  </si>
  <si>
    <t>63e32c0b-d7d3-11ee-ac36-0242ff9ee44d</t>
  </si>
  <si>
    <t>Udin</t>
  </si>
  <si>
    <t>3521142707780001</t>
  </si>
  <si>
    <t>63e33c07-d7d3-11ee-ac36-0242ff9ee44d</t>
  </si>
  <si>
    <t>UMAR HIDAYAT</t>
  </si>
  <si>
    <t>d</t>
  </si>
  <si>
    <t>63e3495a-d7d3-11ee-ac36-0242ff9ee44d</t>
  </si>
  <si>
    <t>UMAR THOHA</t>
  </si>
  <si>
    <t>63e33305-d7d3-11ee-ac36-0242ff9ee44d</t>
  </si>
  <si>
    <t>UMI KULSUM</t>
  </si>
  <si>
    <t>3521125606800003</t>
  </si>
  <si>
    <t>63e3a75a-d7d3-11ee-ac36-0242ff9ee44d</t>
  </si>
  <si>
    <t>Umi Maisaroh</t>
  </si>
  <si>
    <t>63e36077-d7d3-11ee-ac36-0242ff9ee44d</t>
  </si>
  <si>
    <t>USMAN</t>
  </si>
  <si>
    <t>3521090712760003</t>
  </si>
  <si>
    <t>63e3b663-d7d3-11ee-ac36-0242ff9ee44d</t>
  </si>
  <si>
    <t>Usman Efendi</t>
  </si>
  <si>
    <t>3521092502760003</t>
  </si>
  <si>
    <t>63e35318-d7d3-11ee-ac36-0242ff9ee44d</t>
  </si>
  <si>
    <t>UTAMIASIH</t>
  </si>
  <si>
    <t>63e3a115-d7d3-11ee-ac36-0242ff9ee44d</t>
  </si>
  <si>
    <t>VERI VERANTO</t>
  </si>
  <si>
    <t>3521131611790001</t>
  </si>
  <si>
    <t>63e3c4cb-d7d3-11ee-ac36-0242ff9ee44d</t>
  </si>
  <si>
    <t>VIKE K</t>
  </si>
  <si>
    <t>63e3afe2-d7d3-11ee-ac36-0242ff9ee44d</t>
  </si>
  <si>
    <t>Wagiman</t>
  </si>
  <si>
    <t>3521130711670001</t>
  </si>
  <si>
    <t>63e355be-d7d3-11ee-ac36-0242ff9ee44d</t>
  </si>
  <si>
    <t>63e32827-d7d3-11ee-ac36-0242ff9ee44d</t>
  </si>
  <si>
    <t>Wagimun</t>
  </si>
  <si>
    <t>3521141212690005</t>
  </si>
  <si>
    <t>63e34f7b-d7d3-11ee-ac36-0242ff9ee44d</t>
  </si>
  <si>
    <t>WAGINEM</t>
  </si>
  <si>
    <t>63e358b9-d7d3-11ee-ac36-0242ff9ee44d</t>
  </si>
  <si>
    <t>Wagiran</t>
  </si>
  <si>
    <t>3521080212730002</t>
  </si>
  <si>
    <t>63e34f96-d7d3-11ee-ac36-0242ff9ee44d</t>
  </si>
  <si>
    <t>Wagiyem</t>
  </si>
  <si>
    <t>63e3b322-d7d3-11ee-ac36-0242ff9ee44d</t>
  </si>
  <si>
    <t>WAGIYO</t>
  </si>
  <si>
    <t>3521091801510002</t>
  </si>
  <si>
    <t>KEMBANGAN</t>
  </si>
  <si>
    <t>63e3bc83-d7d3-11ee-ac36-0242ff9ee44d</t>
  </si>
  <si>
    <t>Wagiyo</t>
  </si>
  <si>
    <t>3521120101650013</t>
  </si>
  <si>
    <t>kauman</t>
  </si>
  <si>
    <t>63e3ae8e-d7d3-11ee-ac36-0242ff9ee44d</t>
  </si>
  <si>
    <t>WAHID</t>
  </si>
  <si>
    <t>RT.02 . RW. 03 SAPEN</t>
  </si>
  <si>
    <t>63e39875-d7d3-11ee-ac36-0242ff9ee44d</t>
  </si>
  <si>
    <t>WAHONO</t>
  </si>
  <si>
    <t>3521111002760001</t>
  </si>
  <si>
    <t>63e3c9fe-d7d3-11ee-ac36-0242ff9ee44d</t>
  </si>
  <si>
    <t>WAHYU HARSONO</t>
  </si>
  <si>
    <t>3521070903710001</t>
  </si>
  <si>
    <t>63e319b6-d7d3-11ee-ac36-0242ff9ee44d</t>
  </si>
  <si>
    <t>WAHYU HERMAWAN</t>
  </si>
  <si>
    <t>Gendol RT.08 RW.01</t>
  </si>
  <si>
    <t>63e33555-d7d3-11ee-ac36-0242ff9ee44d</t>
  </si>
  <si>
    <t>WAHYUDI</t>
  </si>
  <si>
    <t>63e34631-d7d3-11ee-ac36-0242ff9ee44d</t>
  </si>
  <si>
    <t>Waji Al Rosyid</t>
  </si>
  <si>
    <t>3521140109750004</t>
  </si>
  <si>
    <t>63e3a16e-d7d3-11ee-ac36-0242ff9ee44d</t>
  </si>
  <si>
    <t>WAKID NUR</t>
  </si>
  <si>
    <t>63e38155-d7d3-11ee-ac36-0242ff9ee44d</t>
  </si>
  <si>
    <t>Wakidah</t>
  </si>
  <si>
    <t>3521124710890001</t>
  </si>
  <si>
    <t>63e34029-d7d3-11ee-ac36-0242ff9ee44d</t>
  </si>
  <si>
    <t>WAKIRIN</t>
  </si>
  <si>
    <t>3521110807790004</t>
  </si>
  <si>
    <t>63e38e4f-d7d3-11ee-ac36-0242ff9ee44d</t>
  </si>
  <si>
    <t>Wakiyo</t>
  </si>
  <si>
    <t>3521072111590001</t>
  </si>
  <si>
    <t>63e34e29-d7d3-11ee-ac36-0242ff9ee44d</t>
  </si>
  <si>
    <t>Wandi</t>
  </si>
  <si>
    <t>3521113006530001</t>
  </si>
  <si>
    <t>63e37d51-d7d3-11ee-ac36-0242ff9ee44d</t>
  </si>
  <si>
    <t>WANDI ARISANDI</t>
  </si>
  <si>
    <t>63e3be51-d7d3-11ee-ac36-0242ff9ee44d</t>
  </si>
  <si>
    <t>Wani</t>
  </si>
  <si>
    <t>3521161207460001</t>
  </si>
  <si>
    <t>63e3c7a5-d7d3-11ee-ac36-0242ff9ee44d</t>
  </si>
  <si>
    <t>WARDHONI</t>
  </si>
  <si>
    <t>3521102008650001</t>
  </si>
  <si>
    <t>63e3553a-d7d3-11ee-ac36-0242ff9ee44d</t>
  </si>
  <si>
    <t>Wardjito</t>
  </si>
  <si>
    <t>3521080301590002</t>
  </si>
  <si>
    <t>63e3a141-d7d3-11ee-ac36-0242ff9ee44d</t>
  </si>
  <si>
    <t>WARGITO</t>
  </si>
  <si>
    <t>63e3352a-d7d3-11ee-ac36-0242ff9ee44d</t>
  </si>
  <si>
    <t>WARISMAN</t>
  </si>
  <si>
    <t>63e39c27-d7d3-11ee-ac36-0242ff9ee44d</t>
  </si>
  <si>
    <t>Warsana</t>
  </si>
  <si>
    <t>3521133112760011</t>
  </si>
  <si>
    <t>63e39ea4-d7d3-11ee-ac36-0242ff9ee44d</t>
  </si>
  <si>
    <t>Warseno</t>
  </si>
  <si>
    <t>3521131011690003</t>
  </si>
  <si>
    <t>63e38e64-d7d3-11ee-ac36-0242ff9ee44d</t>
  </si>
  <si>
    <t>Warseto</t>
  </si>
  <si>
    <t>63e3a5b3-d7d3-11ee-ac36-0242ff9ee44d</t>
  </si>
  <si>
    <t>Warsi</t>
  </si>
  <si>
    <t>63e37ae3-d7d3-11ee-ac36-0242ff9ee44d</t>
  </si>
  <si>
    <t>Warsidi</t>
  </si>
  <si>
    <t>3521171603750002</t>
  </si>
  <si>
    <t>Dusun Banyuasin Timur</t>
  </si>
  <si>
    <t>63e3a295-d7d3-11ee-ac36-0242ff9ee44d</t>
  </si>
  <si>
    <t>3521131002680002</t>
  </si>
  <si>
    <t>63e3807e-d7d3-11ee-ac36-0242ff9ee44d</t>
  </si>
  <si>
    <t>WARSITO</t>
  </si>
  <si>
    <t>63e3ca2b-d7d3-11ee-ac36-0242ff9ee44d</t>
  </si>
  <si>
    <t>63e36736-d7d3-11ee-ac36-0242ff9ee44d</t>
  </si>
  <si>
    <t>3521121902800001</t>
  </si>
  <si>
    <t>Bulakpepe</t>
  </si>
  <si>
    <t>63e38f10-d7d3-11ee-ac36-0242ff9ee44d</t>
  </si>
  <si>
    <t>3521071302850002</t>
  </si>
  <si>
    <t>63e32813-d7d3-11ee-ac36-0242ff9ee44d</t>
  </si>
  <si>
    <t>warsito</t>
  </si>
  <si>
    <t>3521181703660001</t>
  </si>
  <si>
    <t>Tegalrejo</t>
  </si>
  <si>
    <t>63e36687-d7d3-11ee-ac36-0242ff9ee44d</t>
  </si>
  <si>
    <t>3521081006670002</t>
  </si>
  <si>
    <t>63e34986-d7d3-11ee-ac36-0242ff9ee44d</t>
  </si>
  <si>
    <t>WARTO</t>
  </si>
  <si>
    <t>63e349c7-d7d3-11ee-ac36-0242ff9ee44d</t>
  </si>
  <si>
    <t>Wartono</t>
  </si>
  <si>
    <t>3521091103660001</t>
  </si>
  <si>
    <t>Dsn.karangtejo RT 1 RW 7</t>
  </si>
  <si>
    <t>63e3991c-d7d3-11ee-ac36-0242ff9ee44d</t>
  </si>
  <si>
    <t>Wasis</t>
  </si>
  <si>
    <t>3521082402770001</t>
  </si>
  <si>
    <t>63e3a39a-d7d3-11ee-ac36-0242ff9ee44d</t>
  </si>
  <si>
    <t>Wasisto</t>
  </si>
  <si>
    <t>3521071306660002</t>
  </si>
  <si>
    <t>3521130704680005</t>
  </si>
  <si>
    <t>63e31645-d7d3-11ee-ac36-0242ff9ee44d</t>
  </si>
  <si>
    <t>Wasito</t>
  </si>
  <si>
    <t>3521191303740001</t>
  </si>
  <si>
    <t>Ca</t>
  </si>
  <si>
    <t>63e37f7c-d7d3-11ee-ac36-0242ff9ee44d</t>
  </si>
  <si>
    <t>Widayat</t>
  </si>
  <si>
    <t>3521071412720002</t>
  </si>
  <si>
    <t>3521122207770002</t>
  </si>
  <si>
    <t>63e38b18-d7d3-11ee-ac36-0242ff9ee44d</t>
  </si>
  <si>
    <t>Widiyanto</t>
  </si>
  <si>
    <t>3521072705730002</t>
  </si>
  <si>
    <t>63e3c5b7-d7d3-11ee-ac36-0242ff9ee44d</t>
  </si>
  <si>
    <t>WIDODO</t>
  </si>
  <si>
    <t>63e39c3c-d7d3-11ee-ac36-0242ff9ee44d</t>
  </si>
  <si>
    <t>Widodo</t>
  </si>
  <si>
    <t>3521130501740003</t>
  </si>
  <si>
    <t>63e3d00c-d7d3-11ee-ac36-0242ff9ee44d</t>
  </si>
  <si>
    <t>6472100103780001</t>
  </si>
  <si>
    <t>63e33516-d7d3-11ee-ac36-0242ff9ee44d</t>
  </si>
  <si>
    <t>63e3570d-d7d3-11ee-ac36-0242ff9ee44d</t>
  </si>
  <si>
    <t>63e33d5e-d7d3-11ee-ac36-0242ff9ee44d</t>
  </si>
  <si>
    <t>63e376ec-d7d3-11ee-ac36-0242ff9ee44d</t>
  </si>
  <si>
    <t>WIDODO P.U</t>
  </si>
  <si>
    <t>63e3af4c-d7d3-11ee-ac36-0242ff9ee44d</t>
  </si>
  <si>
    <t>Widyo cahyono, sp</t>
  </si>
  <si>
    <t>63e37177-d7d3-11ee-ac36-0242ff9ee44d</t>
  </si>
  <si>
    <t>WIJI R</t>
  </si>
  <si>
    <t>3521151904780001</t>
  </si>
  <si>
    <t>RT 02 RW 06 DSN KROMPOL</t>
  </si>
  <si>
    <t>63e32ca1-d7d3-11ee-ac36-0242ff9ee44d</t>
  </si>
  <si>
    <t>Wijianto</t>
  </si>
  <si>
    <t>3521172002770001</t>
  </si>
  <si>
    <t>63e3539d-d7d3-11ee-ac36-0242ff9ee44d</t>
  </si>
  <si>
    <t>WINAJI</t>
  </si>
  <si>
    <t>63e3bcee-d7d3-11ee-ac36-0242ff9ee44d</t>
  </si>
  <si>
    <t>Winarko</t>
  </si>
  <si>
    <t>3521120708680005</t>
  </si>
  <si>
    <t>63e3aca3-d7d3-11ee-ac36-0242ff9ee44d</t>
  </si>
  <si>
    <t>WINARKO</t>
  </si>
  <si>
    <t>63e391fe-d7d3-11ee-ac36-0242ff9ee44d</t>
  </si>
  <si>
    <t>Winarti</t>
  </si>
  <si>
    <t>3521075811840002</t>
  </si>
  <si>
    <t>63e38f25-d7d3-11ee-ac36-0242ff9ee44d</t>
  </si>
  <si>
    <t>Winarto</t>
  </si>
  <si>
    <t>63e32fd5-d7d3-11ee-ac36-0242ff9ee44d</t>
  </si>
  <si>
    <t>WINASRI</t>
  </si>
  <si>
    <t>63e33c65-d7d3-11ee-ac36-0242ff9ee44d</t>
  </si>
  <si>
    <t>WIRO SURAT</t>
  </si>
  <si>
    <t>63e37820-d7d3-11ee-ac36-0242ff9ee44d</t>
  </si>
  <si>
    <t>WIWIK NUROHMAN</t>
  </si>
  <si>
    <t>63e391d1-d7d3-11ee-ac36-0242ff9ee44d</t>
  </si>
  <si>
    <t>Wiwit Setyo Wahyudi</t>
  </si>
  <si>
    <t>3521072803820001</t>
  </si>
  <si>
    <t>63e3917e-d7d3-11ee-ac36-0242ff9ee44d</t>
  </si>
  <si>
    <t>Wiyono</t>
  </si>
  <si>
    <t>3521110107700011</t>
  </si>
  <si>
    <t>63e39ecf-d7d3-11ee-ac36-0242ff9ee44d</t>
  </si>
  <si>
    <t>3521131011720001</t>
  </si>
  <si>
    <t>63e340bc-d7d3-11ee-ac36-0242ff9ee44d</t>
  </si>
  <si>
    <t>Wuryantoko</t>
  </si>
  <si>
    <t>3521141304700001</t>
  </si>
  <si>
    <t>63e38c6a-d7d3-11ee-ac36-0242ff9ee44d</t>
  </si>
  <si>
    <t>Yadi</t>
  </si>
  <si>
    <t>63e3c26a-d7d3-11ee-ac36-0242ff9ee44d</t>
  </si>
  <si>
    <t>YAHMIN</t>
  </si>
  <si>
    <t>3521123012770007</t>
  </si>
  <si>
    <t>63e3b07a-d7d3-11ee-ac36-0242ff9ee44d</t>
  </si>
  <si>
    <t>YANTO</t>
  </si>
  <si>
    <t>3521091907780001</t>
  </si>
  <si>
    <t>Dsn.Ketanggi Lor</t>
  </si>
  <si>
    <t>63e37d27-d7d3-11ee-ac36-0242ff9ee44d</t>
  </si>
  <si>
    <t>Yatmin</t>
  </si>
  <si>
    <t>3521171206650002</t>
  </si>
  <si>
    <t>63e366a9-d7d3-11ee-ac36-0242ff9ee44d</t>
  </si>
  <si>
    <t xml:space="preserve">Yayuk, R.S. </t>
  </si>
  <si>
    <t>3521125610620002</t>
  </si>
  <si>
    <t>Walikukun Kulon Desa Walikukun</t>
  </si>
  <si>
    <t>63e3a303-d7d3-11ee-ac36-0242ff9ee44d</t>
  </si>
  <si>
    <t>Yeni Rahmawati</t>
  </si>
  <si>
    <t>31140d6f-0d33-4d6c-8389-d55d868e7579</t>
  </si>
  <si>
    <t>yfyfyguuh</t>
  </si>
  <si>
    <t>355557uugu888</t>
  </si>
  <si>
    <t>hjsjshsjjs</t>
  </si>
  <si>
    <t>63e39d60-d7d3-11ee-ac36-0242ff9ee44d</t>
  </si>
  <si>
    <t>YISO</t>
  </si>
  <si>
    <t>63e30fb8-d7d3-11ee-ac36-0242ff9ee44d</t>
  </si>
  <si>
    <t>Yono</t>
  </si>
  <si>
    <t>3521082710620002</t>
  </si>
  <si>
    <t>63e3adfa-d7d3-11ee-ac36-0242ff9ee44d</t>
  </si>
  <si>
    <t>Yoyok .A</t>
  </si>
  <si>
    <t>63e37ce8-d7d3-11ee-ac36-0242ff9ee44d</t>
  </si>
  <si>
    <t>YUDA WAHYU PRASTIYA</t>
  </si>
  <si>
    <t>3521121909960001</t>
  </si>
  <si>
    <t>63e34cd4-d7d3-11ee-ac36-0242ff9ee44d</t>
  </si>
  <si>
    <t>Yudha Teguh Priyanto</t>
  </si>
  <si>
    <t>3521110612760001</t>
  </si>
  <si>
    <t>63e3a242-d7d3-11ee-ac36-0242ff9ee44d</t>
  </si>
  <si>
    <t>Yudi Warih Suka</t>
  </si>
  <si>
    <t>63e3761a-d7d3-11ee-ac36-0242ff9ee44d</t>
  </si>
  <si>
    <t>Yudo Mulyono</t>
  </si>
  <si>
    <t>3521151801890002</t>
  </si>
  <si>
    <t>63e38d8e-d7d3-11ee-ac36-0242ff9ee44d</t>
  </si>
  <si>
    <t>YULI P</t>
  </si>
  <si>
    <t>3521155206820004</t>
  </si>
  <si>
    <t>63e3ca14-d7d3-11ee-ac36-0242ff9ee44d</t>
  </si>
  <si>
    <t>YULI PERTIWI</t>
  </si>
  <si>
    <t>63e3926c-d7d3-11ee-ac36-0242ff9ee44d</t>
  </si>
  <si>
    <t>Yuliana</t>
  </si>
  <si>
    <t>3521075007920001</t>
  </si>
  <si>
    <t>63e3ca6a-d7d3-11ee-ac36-0242ff9ee44d</t>
  </si>
  <si>
    <t>YULIANTO</t>
  </si>
  <si>
    <t>63e3cb2e-d7d3-11ee-ac36-0242ff9ee44d</t>
  </si>
  <si>
    <t>Yusup Efendi</t>
  </si>
  <si>
    <t>63e37e76-d7d3-11ee-ac36-0242ff9ee44d</t>
  </si>
  <si>
    <t>Yusup Mujianto</t>
  </si>
  <si>
    <t>3521120303840004</t>
  </si>
  <si>
    <t>63e33443-d7d3-11ee-ac36-0242ff9ee44d</t>
  </si>
  <si>
    <t>YUSUP SUPRIADI</t>
  </si>
  <si>
    <t>63e3a932-d7d3-11ee-ac36-0242ff9ee44d</t>
  </si>
  <si>
    <t>YUSUP SUROSO</t>
  </si>
  <si>
    <t>63e3a60a-d7d3-11ee-ac36-0242ff9ee44d</t>
  </si>
  <si>
    <t>Yuswantoro</t>
  </si>
  <si>
    <t>63e36cf4-d7d3-11ee-ac36-0242ff9ee44d</t>
  </si>
  <si>
    <t>YUYUK DWI SUSANTI</t>
  </si>
  <si>
    <t>3521157112780035</t>
  </si>
  <si>
    <t>63e30c5a-d7d3-11ee-ac36-0242ff9ee44d</t>
  </si>
  <si>
    <t>Zainal Arifin</t>
  </si>
  <si>
    <t>3521081004940002</t>
  </si>
  <si>
    <t>63e37a3b-d7d3-11ee-ac36-0242ff9ee44d</t>
  </si>
  <si>
    <t>ZAINAL AZIKIN</t>
  </si>
  <si>
    <t>63e334ec-d7d3-11ee-ac36-0242ff9ee44d</t>
  </si>
  <si>
    <t>ZAINAN NASIKIN</t>
  </si>
  <si>
    <t>63e3adb9-d7d3-11ee-ac36-0242ff9ee44d</t>
  </si>
  <si>
    <t>ZAINUL G</t>
  </si>
  <si>
    <t>RT. 04 RW. 01 SIMO</t>
  </si>
  <si>
    <t>629cf179-6bde-494e-a52a-1c480ff940f1</t>
  </si>
  <si>
    <t>zamzudin</t>
  </si>
  <si>
    <t>6471123456789012</t>
  </si>
  <si>
    <t>haha</t>
  </si>
  <si>
    <t>63e36bb0-d7d3-11ee-ac36-0242ff9ee44d</t>
  </si>
  <si>
    <t>Zayyin Multazam Sukri</t>
  </si>
  <si>
    <t>3521081010930001</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</si>
</sst>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b/>
      <color theme="1"/>
      <name val="Arial"/>
      <scheme val="minor"/>
    </font>
    <font>
      <color rgb="FF000000"/>
      <name val="Arial"/>
    </font>
    <font>
      <color theme="1"/>
      <name val="Arial"/>
      <scheme val="minor"/>
    </font>
    <font>
      <b/>
      <color theme="0"/>
      <name val="Arial"/>
      <scheme val="minor"/>
    </font>
    <font>
      <b/>
      <color rgb="FFFFFFFF"/>
      <name val="Arial"/>
      <scheme val="minor"/>
    </font>
  </fonts>
  <fills count="6">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8093B3"/>
        <bgColor rgb="FF8093B3"/>
      </patternFill>
    </fill>
    <fill>
      <patternFill patternType="solid">
        <fgColor rgb="FFEA9999"/>
        <bgColor rgb="FFEA9999"/>
      </patternFill>
    </fill>
  </fills>
  <borders count="4">
    <border/>
    <border>
      <left style="thin">
        <color rgb="FFCCCCCC"/>
      </left>
      <right style="thin">
        <color rgb="FFCCCCCC"/>
      </right>
      <top style="thin">
        <color rgb="FFCCCCCC"/>
      </top>
      <bottom style="thin">
        <color rgb="FFCCCCCC"/>
      </bottom>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1" numFmtId="0" xfId="0" applyAlignment="1" applyFill="1" applyFont="1">
      <alignment vertical="bottom"/>
    </xf>
    <xf borderId="0" fillId="3" fontId="1" numFmtId="0" xfId="0" applyAlignment="1" applyFill="1" applyFont="1">
      <alignment vertical="bottom"/>
    </xf>
    <xf borderId="0" fillId="0" fontId="1" numFmtId="49" xfId="0" applyAlignment="1" applyFont="1" applyNumberFormat="1">
      <alignment vertical="bottom"/>
    </xf>
    <xf borderId="0" fillId="0" fontId="1" numFmtId="0" xfId="0" applyAlignment="1" applyFont="1">
      <alignment horizontal="left" vertical="bottom"/>
    </xf>
    <xf borderId="0" fillId="0" fontId="2"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shrinkToFit="0" vertical="bottom" wrapText="0"/>
    </xf>
    <xf quotePrefix="1" borderId="0" fillId="0" fontId="2" numFmtId="0" xfId="0" applyAlignment="1" applyFont="1">
      <alignment horizontal="left" vertical="bottom"/>
    </xf>
    <xf borderId="0" fillId="0" fontId="5" numFmtId="0" xfId="0" applyAlignment="1" applyFont="1">
      <alignment readingOrder="0"/>
    </xf>
    <xf borderId="0" fillId="0" fontId="5" numFmtId="0" xfId="0" applyAlignment="1" applyFont="1">
      <alignment vertical="top"/>
    </xf>
    <xf borderId="0" fillId="0" fontId="2" numFmtId="0" xfId="0" applyAlignment="1" applyFont="1">
      <alignment vertical="bottom"/>
    </xf>
    <xf borderId="0" fillId="0" fontId="5" numFmtId="0" xfId="0" applyAlignment="1" applyFont="1">
      <alignment vertical="top"/>
    </xf>
    <xf borderId="0" fillId="2" fontId="2" numFmtId="0" xfId="0" applyAlignment="1" applyFill="1" applyFont="1">
      <alignment vertical="bottom"/>
    </xf>
    <xf borderId="0" fillId="0" fontId="5" numFmtId="0" xfId="0" applyAlignment="1" applyFont="1">
      <alignment shrinkToFit="0" vertical="top" wrapText="1"/>
    </xf>
    <xf borderId="0" fillId="0" fontId="2" numFmtId="0" xfId="0" applyAlignment="1" applyFont="1">
      <alignment horizontal="right" vertical="bottom"/>
    </xf>
    <xf borderId="0" fillId="0" fontId="2" numFmtId="0" xfId="0" applyAlignment="1" applyFont="1">
      <alignment vertical="bottom"/>
    </xf>
    <xf borderId="0" fillId="2" fontId="2" numFmtId="0" xfId="0" applyAlignment="1" applyFill="1" applyFont="1">
      <alignment vertical="bottom"/>
    </xf>
    <xf borderId="0" fillId="0" fontId="2" numFmtId="49" xfId="0" applyAlignment="1" applyFont="1" applyNumberFormat="1">
      <alignment horizontal="right" vertical="bottom"/>
    </xf>
    <xf borderId="0" fillId="0" fontId="2" numFmtId="0" xfId="0" applyAlignment="1" applyFont="1">
      <alignment horizontal="left" vertical="bottom"/>
    </xf>
    <xf borderId="0" fillId="3" fontId="2" numFmtId="0" xfId="0" applyAlignment="1" applyFill="1" applyFont="1">
      <alignment vertical="bottom"/>
    </xf>
    <xf borderId="0" fillId="3" fontId="2" numFmtId="0" xfId="0" applyAlignment="1" applyFill="1" applyFont="1">
      <alignment horizontal="right" vertical="bottom"/>
    </xf>
    <xf borderId="0" fillId="0" fontId="2" numFmtId="0" xfId="0" applyAlignment="1" applyFont="1">
      <alignment horizontal="right" vertical="bottom"/>
    </xf>
    <xf quotePrefix="1" borderId="0" fillId="0" fontId="2" numFmtId="0" xfId="0" applyAlignment="1" applyFont="1">
      <alignment horizontal="left" readingOrder="0" vertical="bottom"/>
    </xf>
    <xf quotePrefix="1" borderId="0" fillId="0" fontId="2" numFmtId="49" xfId="0" applyAlignment="1" applyFont="1" applyNumberFormat="1">
      <alignment horizontal="left" readingOrder="0" vertical="bottom"/>
    </xf>
    <xf borderId="0" fillId="0" fontId="2" numFmtId="0" xfId="0" applyAlignment="1" applyFont="1">
      <alignment readingOrder="0" vertical="top"/>
    </xf>
    <xf quotePrefix="1" borderId="0" fillId="0" fontId="2" numFmtId="49" xfId="0" applyAlignment="1" applyFont="1" applyNumberFormat="1">
      <alignment horizontal="left" readingOrder="0" vertical="top"/>
    </xf>
    <xf borderId="0" fillId="0" fontId="2" numFmtId="0" xfId="0" applyAlignment="1" applyFont="1">
      <alignment readingOrder="0" shrinkToFit="0" vertical="top" wrapText="1"/>
    </xf>
    <xf borderId="0" fillId="0" fontId="5" numFmtId="0" xfId="0" applyAlignment="1" applyFont="1">
      <alignment readingOrder="0" vertical="top"/>
    </xf>
    <xf quotePrefix="1" borderId="0" fillId="0" fontId="5" numFmtId="49" xfId="0" applyAlignment="1" applyFont="1" applyNumberFormat="1">
      <alignment readingOrder="0"/>
    </xf>
    <xf borderId="0" fillId="0" fontId="5" numFmtId="0" xfId="0" applyFont="1"/>
    <xf borderId="0" fillId="2" fontId="5" numFmtId="0" xfId="0" applyFill="1" applyFont="1"/>
    <xf borderId="0" fillId="3" fontId="5" numFmtId="0" xfId="0" applyFill="1" applyFont="1"/>
    <xf borderId="0" fillId="3" fontId="2" numFmtId="0" xfId="0" applyAlignment="1" applyFill="1" applyFont="1">
      <alignment readingOrder="0" vertical="bottom"/>
    </xf>
    <xf borderId="0" fillId="0" fontId="2" numFmtId="49" xfId="0" applyAlignment="1" applyFont="1" applyNumberFormat="1">
      <alignment horizontal="right" readingOrder="0" vertical="bottom"/>
    </xf>
    <xf quotePrefix="1" borderId="0" fillId="0" fontId="5" numFmtId="49" xfId="0" applyAlignment="1" applyFont="1" applyNumberFormat="1">
      <alignment readingOrder="0" vertical="top"/>
    </xf>
    <xf borderId="0" fillId="0" fontId="5" numFmtId="0" xfId="0" applyAlignment="1" applyFont="1">
      <alignment readingOrder="0" shrinkToFit="0" vertical="top" wrapText="1"/>
    </xf>
    <xf borderId="0" fillId="0" fontId="2" numFmtId="49" xfId="0" applyAlignment="1" applyFont="1" applyNumberFormat="1">
      <alignment readingOrder="0" vertical="bottom"/>
    </xf>
    <xf borderId="1" fillId="0" fontId="5" numFmtId="0" xfId="0" applyBorder="1" applyFont="1"/>
    <xf borderId="1" fillId="4" fontId="6" numFmtId="0" xfId="0" applyAlignment="1" applyBorder="1" applyFill="1" applyFont="1">
      <alignment readingOrder="0"/>
    </xf>
    <xf borderId="1" fillId="4" fontId="7" numFmtId="0" xfId="0" applyAlignment="1" applyBorder="1" applyFill="1" applyFont="1">
      <alignment readingOrder="0"/>
    </xf>
    <xf borderId="1" fillId="5" fontId="5" numFmtId="0" xfId="0" applyBorder="1" applyFill="1" applyFont="1"/>
    <xf borderId="0" fillId="5" fontId="5" numFmtId="0" xfId="0" applyFill="1" applyFont="1"/>
    <xf borderId="1" fillId="0" fontId="5" numFmtId="49" xfId="0" applyBorder="1" applyFont="1" applyNumberFormat="1"/>
    <xf borderId="2" fillId="0" fontId="5" numFmtId="0" xfId="0" applyBorder="1" applyFont="1"/>
    <xf borderId="3" fillId="0" fontId="5" numFmtId="0" xfId="0" applyBorder="1" applyFont="1"/>
  </cellXfs>
  <cellStyles count="1">
    <cellStyle xfId="0" name="Normal" builtinId="0"/>
  </cellStyles>
  <dxfs count="2">
    <dxf>
      <font/>
      <fill>
        <patternFill patternType="none"/>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403" sheet="Data Master"/>
  </cacheSource>
  <cacheFields>
    <cacheField name="Account ID" numFmtId="0">
      <sharedItems>
        <s v="614a1514-cc4c-4e91-9266-ee0ac24a0f9e"/>
        <s v="a14cb867-97bb-4b30-a7e3-dd21d94efc0f"/>
        <s v="5188691c-8b08-4109-b4bd-9772c849ebed"/>
        <s v="24a53d66-ab3f-428e-bfaf-2a84ab0fbcbc"/>
        <s v="af094e61-b1fa-4775-8747-eb23e3dd55f6"/>
        <s v="553815db-e8ee-47f6-ab6f-426e2efa43c4"/>
        <s v="cd578be9-49b2-406c-9d99-7b547218e663"/>
        <s v="cb7140a3-f029-4641-ba2b-e05f2f25c4a8"/>
        <s v="d2685b62-7abf-4345-bf09-11208ba62117"/>
        <s v="cee24984-6059-4308-ad15-6c6438a587e3"/>
        <s v="b2fc67f8-771f-4624-8eac-e59b3aefd758"/>
        <s v="d984dca0-ee95-40c0-9e97-4619a0fe4b34"/>
        <s v="64c386fe-3d2a-4d85-86af-c46cc047376d"/>
        <s v="b86ea2aa-c5d0-445c-be8f-f3e52c1194b7"/>
        <s v="63e30a6a-d7d3-11ee-ac36-0242ff9ee44d"/>
        <s v="70b9fc25-8f08-4b13-9735-786e195b7df7"/>
        <s v="f3c7238f-d4c3-49fc-860c-adc719b44f3f"/>
        <s v="d4fdfe19-06d4-465c-860b-a22f63c6d86a"/>
        <s v="b97708b1-5562-4a65-a664-ddd9b697d48b"/>
        <s v="eca6d216-3864-43d1-89df-bef14095826c"/>
        <s v="d68b193a-930b-4a54-8972-0f7eb7b2b575"/>
        <s v="74c1fa92-56ab-4d34-b0db-9d98826b0ac7"/>
        <s v="d900b90f-3d4b-44dd-98ea-e3c281e52730"/>
        <s v="8ad54e58-e387-4ed3-b92d-495dbab0a871"/>
        <s v="b665c2e2-18ce-47af-b408-d9fe02c32f2f"/>
        <s v="63e30a51-d7d3-11ee-ac36-0242ff9ee44d"/>
        <s v="550e8400-e29b-41d4-a716-446655440000"/>
        <s v="396b0fed-e0a6-4249-b0dc-025b1465e11e"/>
        <s v="d904b701-b07a-44b3-af8b-20937185b6a0"/>
        <s v="047f9116-8423-4d4e-97cf-0fa863b94aa4"/>
        <s v="6fa5806e-1610-4d7e-b205-544c78d04c75"/>
        <s v="ac370933-7b5b-45e2-bab3-98a6e1dcbb93"/>
        <s v="d92922e9-ec11-45e9-ac5d-510e6192c500"/>
        <s v="6426480d-d7d3-11ee-ac36-0242ff9ee44d"/>
        <s v="64264c55-d7d3-11ee-ac36-0242ff9ee44d"/>
        <s v="64264862-d7d3-11ee-ac36-0242ff9ee44d"/>
        <s v="64264c15-d7d3-11ee-ac36-0242ff9ee44d"/>
        <s v="a7210940-24f2-43d8-8e04-387c532a198a"/>
        <s v="6426492d-d7d3-11ee-ac36-0242ff9ee44d"/>
        <s v="64264a8e-d7d3-11ee-ac36-0242ff9ee44d"/>
        <s v="7a6b39b9-6972-4bc8-bda1-b04137f74aa5"/>
        <s v="64264914-d7d3-11ee-ac36-0242ff9ee44d"/>
        <s v="6426434d-d7d3-11ee-ac36-0242ff9ee44d"/>
        <s v="642641eb-d7d3-11ee-ac36-0242ff9ee44d"/>
        <s v="cd346386-3527-45ea-911a-83842cd904c9"/>
        <s v="64264734-d7d3-11ee-ac36-0242ff9ee44d"/>
        <s v="6426415c-d7d3-11ee-ac36-0242ff9ee44d"/>
        <s v="64264cb8-d7d3-11ee-ac36-0242ff9ee44d"/>
        <s v="642641a1-d7d3-11ee-ac36-0242ff9ee44d"/>
        <s v="64264957-d7d3-11ee-ac36-0242ff9ee44d"/>
        <s v="642640f9-d7d3-11ee-ac36-0242ff9ee44d"/>
        <s v="64264afe-d7d3-11ee-ac36-0242ff9ee44d"/>
        <s v="64264b40-d7d3-11ee-ac36-0242ff9ee44d"/>
        <s v="6426418a-d7d3-11ee-ac36-0242ff9ee44d"/>
        <s v="64264656-d7d3-11ee-ac36-0242ff9ee44d"/>
        <s v="1b5d9ef7-62f4-4ed8-a1f5-c50ac4e5abff"/>
        <s v="784507e1-3475-4552-97ff-3a96461202f8"/>
        <s v="d677e6f1-3ef5-4ca7-b958-d568b22241ee"/>
        <s v="642645cd-d7d3-11ee-ac36-0242ff9ee44d"/>
        <s v="64264942-d7d3-11ee-ac36-0242ff9ee44d"/>
        <s v="642649c2-d7d3-11ee-ac36-0242ff9ee44d"/>
        <s v="99acba58-65ad-4bd0-9da1-df5772cae0ed"/>
        <s v="6426463d-d7d3-11ee-ac36-0242ff9ee44d"/>
        <s v="64264764-d7d3-11ee-ac36-0242ff9ee44d"/>
        <s v="f45ee3fd-2246-4719-bf83-52deea935735"/>
        <s v="642647f8-d7d3-11ee-ac36-0242ff9ee44d"/>
        <s v="64264d38-d7d3-11ee-ac36-0242ff9ee44d"/>
        <s v="64264233-d7d3-11ee-ac36-0242ff9ee44d"/>
        <s v="6426478f-d7d3-11ee-ac36-0242ff9ee44d"/>
        <s v="642649d7-d7d3-11ee-ac36-0242ff9ee44d"/>
        <s v="64264bd4-d7d3-11ee-ac36-0242ff9ee44d"/>
        <s v="642642d4-d7d3-11ee-ac36-0242ff9ee44d"/>
        <s v="6426488d-d7d3-11ee-ac36-0242ff9ee44d"/>
        <s v="64264a5a-d7d3-11ee-ac36-0242ff9ee44d"/>
        <s v="034bb43a-e4ac-4d82-8368-4875ff295587"/>
        <s v="642640b9-d7d3-11ee-ac36-0242ff9ee44d"/>
        <s v="64269f22-d7d3-11ee-ac36-0242ff9ee44d"/>
        <s v="642641d4-d7d3-11ee-ac36-0242ff9ee44d"/>
        <s v="64264aba-d7d3-11ee-ac36-0242ff9ee44d"/>
        <s v="64264c8a-d7d3-11ee-ac36-0242ff9ee44d"/>
        <s v="64264b95-d7d3-11ee-ac36-0242ff9ee44d"/>
        <s v="642648a6-d7d3-11ee-ac36-0242ff9ee44d"/>
        <s v="a60b6200-42dd-48e0-8a88-f2336071daca"/>
        <s v="64264c70-d7d3-11ee-ac36-0242ff9ee44d"/>
        <s v="64264d23-d7d3-11ee-ac36-0242ff9ee44d"/>
        <s v="64264708-d7d3-11ee-ac36-0242ff9ee44d"/>
        <s v="64264a75-d7d3-11ee-ac36-0242ff9ee44d"/>
        <s v="64264ca2-d7d3-11ee-ac36-0242ff9ee44d"/>
        <s v="64264412-d7d3-11ee-ac36-0242ff9ee44d"/>
        <s v="642646c8-d7d3-11ee-ac36-0242ff9ee44d"/>
        <s v="64264bbf-d7d3-11ee-ac36-0242ff9ee44d"/>
        <s v="64264012-d7d3-11ee-ac36-0242ff9ee44d"/>
        <s v="642646b2-d7d3-11ee-ac36-0242ff9ee44d"/>
        <s v="64264337-d7d3-11ee-ac36-0242ff9ee44d"/>
        <s v="64264823-d7d3-11ee-ac36-0242ff9ee44d"/>
        <s v="f8675b63-9449-45f2-97fa-aa393c28b7c7"/>
        <s v="3a64c147-28fa-4875-8692-d8701febd571"/>
        <s v="94b7030c-910b-4986-a18f-97216b5de71d"/>
        <s v="64264264-d7d3-11ee-ac36-0242ff9ee44d"/>
        <s v="642646f2-d7d3-11ee-ac36-0242ff9ee44d"/>
        <s v="8b24f684-7053-498e-95ad-e4f17af23e76"/>
        <s v="64264a18-d7d3-11ee-ac36-0242ff9ee44d"/>
        <s v="64264428-d7d3-11ee-ac36-0242ff9ee44d"/>
        <s v="642642be-d7d3-11ee-ac36-0242ff9ee44d"/>
        <s v="642641ba-d7d3-11ee-ac36-0242ff9ee44d"/>
        <s v="6426427b-d7d3-11ee-ac36-0242ff9ee44d"/>
        <s v="642643e3-d7d3-11ee-ac36-0242ff9ee44d"/>
        <s v="986fd166-a261-4b47-87b9-7e0d7d257fac"/>
        <s v="64264997-d7d3-11ee-ac36-0242ff9ee44d"/>
        <s v="1fa6ce0d-2622-4bf3-8ff3-374a9c615de8"/>
        <s v="64264099-d7d3-11ee-ac36-0242ff9ee44d"/>
        <s v="4bcedea3-df27-4011-8a03-0762f1a4a370"/>
        <s v="64264877-d7d3-11ee-ac36-0242ff9ee44d"/>
        <s v="64264173-d7d3-11ee-ac36-0242ff9ee44d"/>
        <s v="6426424c-d7d3-11ee-ac36-0242ff9ee44d"/>
        <s v="64264be9-d7d3-11ee-ac36-0242ff9ee44d"/>
        <s v="303360ef-2184-4988-a923-729ce1d8cc58"/>
        <s v="642643fb-d7d3-11ee-ac36-0242ff9ee44d"/>
        <s v="6426443e-d7d3-11ee-ac36-0242ff9ee44d"/>
        <s v="642647ba-d7d3-11ee-ac36-0242ff9ee44d"/>
        <s v="6426474b-d7d3-11ee-ac36-0242ff9ee44d"/>
        <s v="6426460d-d7d3-11ee-ac36-0242ff9ee44d"/>
        <s v="642642a9-d7d3-11ee-ac36-0242ff9ee44d"/>
        <s v="107371f9-2475-43ba-9331-a5bb34870871"/>
        <s v="64264379-d7d3-11ee-ac36-0242ff9ee44d"/>
        <s v="64264127-d7d3-11ee-ac36-0242ff9ee44d"/>
        <s v="64264a42-d7d3-11ee-ac36-0242ff9ee44d"/>
        <s v="64264b6a-d7d3-11ee-ac36-0242ff9ee44d"/>
        <s v="64264d78-d7d3-11ee-ac36-0242ff9ee44d"/>
        <s v="36c463d2-4f0a-4a28-ab7b-28ea7b635d1a"/>
        <s v="64264b14-d7d3-11ee-ac36-0242ff9ee44d"/>
        <s v="642646dd-d7d3-11ee-ac36-0242ff9ee44d"/>
        <s v="642648fd-d7d3-11ee-ac36-0242ff9ee44d"/>
        <s v="642647e4-d7d3-11ee-ac36-0242ff9ee44d"/>
        <s v="910c8ba3-ba87-42c9-baad-d6bfad5f08bc"/>
        <s v="642643a2-d7d3-11ee-ac36-0242ff9ee44d"/>
        <s v="86074edc-02b3-4db4-b1bd-8ce4cfe9455f"/>
        <s v="64264d0e-d7d3-11ee-ac36-0242ff9ee44d"/>
        <s v="64264320-d7d3-11ee-ac36-0242ff9ee44d"/>
        <s v="425b52ab-8f18-4312-b7ab-2c917c33d6b9"/>
        <s v="3d37f629-9534-4a10-9119-f9f9b17b876b"/>
        <s v="6426496c-d7d3-11ee-ac36-0242ff9ee44d"/>
        <s v="51450137-62c0-4cde-b029-bed9bed10935"/>
        <s v="eb5bb891-1549-40ec-bdd4-711e7a3da29a"/>
        <s v="6426471d-d7d3-11ee-ac36-0242ff9ee44d"/>
        <s v="94fc16a9-de5d-4c97-9277-d09ce911b00d"/>
        <s v="642640e0-d7d3-11ee-ac36-0242ff9ee44d"/>
        <s v="6426421a-d7d3-11ee-ac36-0242ff9ee44d"/>
        <s v="64264cce-d7d3-11ee-ac36-0242ff9ee44d"/>
        <s v="f8a6535d-6643-44ac-b7d2-1dd4205ced19"/>
        <s v="642649ac-d7d3-11ee-ac36-0242ff9ee44d"/>
        <s v="64264143-d7d3-11ee-ac36-0242ff9ee44d"/>
        <s v="6426438d-d7d3-11ee-ac36-0242ff9ee44d"/>
        <s v="64264982-d7d3-11ee-ac36-0242ff9ee44d"/>
        <s v="64264baa-d7d3-11ee-ac36-0242ff9ee44d"/>
        <s v="91d93000-3911-497c-bc84-51342d56b850"/>
        <s v="64264ad1-d7d3-11ee-ac36-0242ff9ee44d"/>
        <s v="64264ae8-d7d3-11ee-ac36-0242ff9ee44d"/>
        <s v="642642eb-d7d3-11ee-ac36-0242ff9ee44d"/>
        <s v="6426469d-d7d3-11ee-ac36-0242ff9ee44d"/>
        <s v="64264a03-d7d3-11ee-ac36-0242ff9ee44d"/>
        <s v="64264b7f-d7d3-11ee-ac36-0242ff9ee44d"/>
        <s v="4b04ead1-500d-4f17-b373-544059fcf42d"/>
        <s v="64264292-d7d3-11ee-ac36-0242ff9ee44d"/>
        <s v="642647a4-d7d3-11ee-ac36-0242ff9ee44d"/>
        <s v="a2872793-d59b-4bd5-9020-8974b49ab381"/>
        <s v="642645e3-d7d3-11ee-ac36-0242ff9ee44d"/>
        <s v="642645f8-d7d3-11ee-ac36-0242ff9ee44d"/>
        <s v="6426477a-d7d3-11ee-ac36-0242ff9ee44d"/>
        <s v="bf81ef65-8899-49f7-9b29-c9874deb0869"/>
        <s v="6db606db-9386-4c06-a4f9-0c56d308ca50"/>
        <s v="6426484b-d7d3-11ee-ac36-0242ff9ee44d"/>
        <s v="35c75fe7-dcfa-4e22-b9c6-5befe065687b"/>
        <s v="427c10b3-4992-4b07-bd68-599cdede4451"/>
        <s v="642643b7-d7d3-11ee-ac36-0242ff9ee44d"/>
        <s v="64264cf8-d7d3-11ee-ac36-0242ff9ee44d"/>
        <s v="64264ce3-d7d3-11ee-ac36-0242ff9ee44d"/>
        <s v="d7010484-543b-4b52-a3b5-ad5f8ef71374"/>
        <s v="64264202-d7d3-11ee-ac36-0242ff9ee44d"/>
        <s v="b9747ec2-c2dc-40fc-a513-e35966cef7a5"/>
        <s v="64264c2a-d7d3-11ee-ac36-0242ff9ee44d"/>
        <s v="6426466f-d7d3-11ee-ac36-0242ff9ee44d"/>
        <s v="642648bc-d7d3-11ee-ac36-0242ff9ee44d"/>
        <s v="64264aa3-d7d3-11ee-ac36-0242ff9ee44d"/>
        <s v="642648e7-d7d3-11ee-ac36-0242ff9ee44d"/>
        <s v="f346d05f-4516-4531-aac5-d112d307122b"/>
        <s v="64264bff-d7d3-11ee-ac36-0242ff9ee44d"/>
        <s v="642649ed-d7d3-11ee-ac36-0242ff9ee44d"/>
        <s v="64264364-d7d3-11ee-ac36-0242ff9ee44d"/>
        <s v="64264305-d7d3-11ee-ac36-0242ff9ee44d"/>
        <s v="642643cd-d7d3-11ee-ac36-0242ff9ee44d"/>
        <s v="64264687-d7d3-11ee-ac36-0242ff9ee44d"/>
        <s v="642647cf-d7d3-11ee-ac36-0242ff9ee44d"/>
        <s v="64264d63-d7d3-11ee-ac36-0242ff9ee44d"/>
        <s v="64264b29-d7d3-11ee-ac36-0242ff9ee44d"/>
        <s v="64264c40-d7d3-11ee-ac36-0242ff9ee44d"/>
        <s v="64264d4d-d7d3-11ee-ac36-0242ff9ee44d"/>
        <s v="64264a2d-d7d3-11ee-ac36-0242ff9ee44d"/>
        <s v="642648d1-d7d3-11ee-ac36-0242ff9ee44d"/>
        <s v="64264b55-d7d3-11ee-ac36-0242ff9ee44d"/>
        <s v="2efdaab0-9a17-4a1e-b56f-c9a1e48f667d"/>
        <s v="63e38397-d7d3-11ee-ac36-0242ff9ee44d"/>
        <s v="63e378b3-d7d3-11ee-ac36-0242ff9ee44d"/>
        <s v="37ed72b0-c691-44eb-a028-5825ff8657a4"/>
        <s v="bfa060d6-6adf-4c0b-bcab-af24ab075a75"/>
        <s v="b8844d91-1481-4afa-8f02-6ccba053a26e"/>
        <s v="63e377a0-d7d3-11ee-ac36-0242ff9ee44d"/>
        <s v="63e325b5-d7d3-11ee-ac36-0242ff9ee44d"/>
        <s v="63e3c8a7-d7d3-11ee-ac36-0242ff9ee44d"/>
        <s v="63e39c10-d7d3-11ee-ac36-0242ff9ee44d"/>
        <s v="63e379bb-d7d3-11ee-ac36-0242ff9ee44d"/>
        <s v="63e39296-d7d3-11ee-ac36-0242ff9ee44d"/>
        <s v="63e3bb1c-d7d3-11ee-ac36-0242ff9ee44d"/>
        <s v="63e37af7-d7d3-11ee-ac36-0242ff9ee44d"/>
        <s v="63e38295-d7d3-11ee-ac36-0242ff9ee44d"/>
        <s v="63e345db-d7d3-11ee-ac36-0242ff9ee44d"/>
        <s v="63e3b450-d7d3-11ee-ac36-0242ff9ee44d"/>
        <s v="63e374ae-d7d3-11ee-ac36-0242ff9ee44d"/>
        <s v="63e35a53-d7d3-11ee-ac36-0242ff9ee44d"/>
        <s v="63e3b2a1-d7d3-11ee-ac36-0242ff9ee44d"/>
        <s v="63e396a9-d7d3-11ee-ac36-0242ff9ee44d"/>
        <s v="63e36fb1-d7d3-11ee-ac36-0242ff9ee44d"/>
        <s v="63e359e6-d7d3-11ee-ac36-0242ff9ee44d"/>
        <s v="63e37874-d7d3-11ee-ac36-0242ff9ee44d"/>
        <s v="63e31130-d7d3-11ee-ac36-0242ff9ee44d"/>
        <s v="63e37dbb-d7d3-11ee-ac36-0242ff9ee44d"/>
        <s v="63e3438a-d7d3-11ee-ac36-0242ff9ee44d"/>
        <s v="63e39d18-d7d3-11ee-ac36-0242ff9ee44d"/>
        <s v="63e3b466-d7d3-11ee-ac36-0242ff9ee44d"/>
        <s v="63e3370f-d7d3-11ee-ac36-0242ff9ee44d"/>
        <s v="63e3378e-d7d3-11ee-ac36-0242ff9ee44d"/>
        <s v="63e379cf-d7d3-11ee-ac36-0242ff9ee44d"/>
        <s v="63e379e5-d7d3-11ee-ac36-0242ff9ee44d"/>
        <s v="63e32625-d7d3-11ee-ac36-0242ff9ee44d"/>
        <s v="63e382a9-d7d3-11ee-ac36-0242ff9ee44d"/>
        <s v="63e382c0-d7d3-11ee-ac36-0242ff9ee44d"/>
        <s v="63e3b2b6-d7d3-11ee-ac36-0242ff9ee44d"/>
        <s v="63e3445e-d7d3-11ee-ac36-0242ff9ee44d"/>
        <s v="63e37b23-d7d3-11ee-ac36-0242ff9ee44d"/>
        <s v="63e374c3-d7d3-11ee-ac36-0242ff9ee44d"/>
        <s v="63e323b9-d7d3-11ee-ac36-0242ff9ee44d"/>
        <s v="63e382eb-d7d3-11ee-ac36-0242ff9ee44d"/>
        <s v="63e37b51-d7d3-11ee-ac36-0242ff9ee44d"/>
        <s v="63e37503-d7d3-11ee-ac36-0242ff9ee44d"/>
        <s v="63e32c4b-d7d3-11ee-ac36-0242ff9ee44d"/>
        <s v="63e3b47b-d7d3-11ee-ac36-0242ff9ee44d"/>
        <s v="63e3752c-d7d3-11ee-ac36-0242ff9ee44d"/>
        <s v="63e347b0-d7d3-11ee-ac36-0242ff9ee44d"/>
        <s v="63e3c475-d7d3-11ee-ac36-0242ff9ee44d"/>
        <s v="63e379fb-d7d3-11ee-ac36-0242ff9ee44d"/>
        <s v="63e37dcf-d7d3-11ee-ac36-0242ff9ee44d"/>
        <s v="63e31fe5-d7d3-11ee-ac36-0242ff9ee44d"/>
        <s v="63e34f11-d7d3-11ee-ac36-0242ff9ee44d"/>
        <s v="63e3b2cb-d7d3-11ee-ac36-0242ff9ee44d"/>
        <s v="63e34f65-d7d3-11ee-ac36-0242ff9ee44d"/>
        <s v="63e3adcf-d7d3-11ee-ac36-0242ff9ee44d"/>
        <s v="63e3bdb7-d7d3-11ee-ac36-0242ff9ee44d"/>
        <s v="63e378ef-d7d3-11ee-ac36-0242ff9ee44d"/>
        <s v="63e37df9-d7d3-11ee-ac36-0242ff9ee44d"/>
        <s v="63e37b67-d7d3-11ee-ac36-0242ff9ee44d"/>
        <s v="63e3b6f8-d7d3-11ee-ac36-0242ff9ee44d"/>
        <s v="63e39353-d7d3-11ee-ac36-0242ff9ee44d"/>
        <s v="63e37fe7-d7d3-11ee-ac36-0242ff9ee44d"/>
        <s v="63e36b73-d7d3-11ee-ac36-0242ff9ee44d"/>
        <s v="63e3519a-d7d3-11ee-ac36-0242ff9ee44d"/>
        <s v="63e3383c-d7d3-11ee-ac36-0242ff9ee44d"/>
        <s v="63e326a1-d7d3-11ee-ac36-0242ff9ee44d"/>
        <s v="63e37907-d7d3-11ee-ac36-0242ff9ee44d"/>
        <s v="63e31159-d7d3-11ee-ac36-0242ff9ee44d"/>
        <s v="63e36483-d7d3-11ee-ac36-0242ff9ee44d"/>
        <s v="63e36b9c-d7d3-11ee-ac36-0242ff9ee44d"/>
        <s v="63e3277a-d7d3-11ee-ac36-0242ff9ee44d"/>
        <s v="63e35663-d7d3-11ee-ac36-0242ff9ee44d"/>
        <s v="63e34ab1-d7d3-11ee-ac36-0242ff9ee44d"/>
        <s v="63e3374d-d7d3-11ee-ac36-0242ff9ee44d"/>
        <s v="63e3791f-d7d3-11ee-ac36-0242ff9ee44d"/>
        <s v="63e3726b-d7d3-11ee-ac36-0242ff9ee44d"/>
        <s v="63e30b34-d7d3-11ee-ac36-0242ff9ee44d"/>
        <s v="63e386bd-d7d3-11ee-ac36-0242ff9ee44d"/>
        <s v="63e34fc7-d7d3-11ee-ac36-0242ff9ee44d"/>
        <s v="63e33f2e-d7d3-11ee-ac36-0242ff9ee44d"/>
        <s v="63e356f8-d7d3-11ee-ac36-0242ff9ee44d"/>
        <s v="63e34d78-d7d3-11ee-ac36-0242ff9ee44d"/>
        <s v="63e34da4-d7d3-11ee-ac36-0242ff9ee44d"/>
        <s v="63e35722-d7d3-11ee-ac36-0242ff9ee44d"/>
        <s v="63e38026-d7d3-11ee-ac36-0242ff9ee44d"/>
        <s v="63e30b49-d7d3-11ee-ac36-0242ff9ee44d"/>
        <s v="63e33de2-d7d3-11ee-ac36-0242ff9ee44d"/>
        <s v="63e35b01-d7d3-11ee-ac36-0242ff9ee44d"/>
        <s v="63e3b490-d7d3-11ee-ac36-0242ff9ee44d"/>
        <s v="63e331f4-d7d3-11ee-ac36-0242ff9ee44d"/>
        <s v="63e3240c-d7d3-11ee-ac36-0242ff9ee44d"/>
        <s v="63e378c7-d7d3-11ee-ac36-0242ff9ee44d"/>
        <s v="63e38113-d7d3-11ee-ac36-0242ff9ee44d"/>
        <s v="63e373fb-d7d3-11ee-ac36-0242ff9ee44d"/>
        <s v="63e33df7-d7d3-11ee-ac36-0242ff9ee44d"/>
        <s v="63e345f1-d7d3-11ee-ac36-0242ff9ee44d"/>
        <s v="63e3b98b-d7d3-11ee-ac36-0242ff9ee44d"/>
        <s v="63e33cf7-d7d3-11ee-ac36-0242ff9ee44d"/>
        <s v="63e36e47-d7d3-11ee-ac36-0242ff9ee44d"/>
        <s v="63e3699c-d7d3-11ee-ac36-0242ff9ee44d"/>
        <s v="63e3a406-d7d3-11ee-ac36-0242ff9ee44d"/>
        <s v="63e3574e-d7d3-11ee-ac36-0242ff9ee44d"/>
        <s v="63e3b760-d7d3-11ee-ac36-0242ff9ee44d"/>
        <s v="63e38053-d7d3-11ee-ac36-0242ff9ee44d"/>
        <s v="63e377b8-d7d3-11ee-ac36-0242ff9ee44d"/>
        <s v="63e3b9b6-d7d3-11ee-ac36-0242ff9ee44d"/>
        <s v="63e3946d-d7d3-11ee-ac36-0242ff9ee44d"/>
        <s v="63e3ac0e-d7d3-11ee-ac36-0242ff9ee44d"/>
        <s v="63e33ab5-d7d3-11ee-ac36-0242ff9ee44d"/>
        <s v="63e32d9f-d7d3-11ee-ac36-0242ff9ee44d"/>
        <s v="63e32231-d7d3-11ee-ac36-0242ff9ee44d"/>
        <s v="63e33580-d7d3-11ee-ac36-0242ff9ee44d"/>
        <s v="63e314ba-d7d3-11ee-ac36-0242ff9ee44d"/>
        <s v="63e383d6-d7d3-11ee-ac36-0242ff9ee44d"/>
        <s v="63e332da-d7d3-11ee-ac36-0242ff9ee44d"/>
        <s v="63e31c1d-d7d3-11ee-ac36-0242ff9ee44d"/>
        <s v="63e32d4b-d7d3-11ee-ac36-0242ff9ee44d"/>
        <s v="63e37295-d7d3-11ee-ac36-0242ff9ee44d"/>
        <s v="63e38094-d7d3-11ee-ac36-0242ff9ee44d"/>
        <s v="63e33177-d7d3-11ee-ac36-0242ff9ee44d"/>
        <s v="63e380a8-d7d3-11ee-ac36-0242ff9ee44d"/>
        <s v="63e36e5b-d7d3-11ee-ac36-0242ff9ee44d"/>
        <s v="63e380bd-d7d3-11ee-ac36-0242ff9ee44d"/>
        <s v="63e3692d-d7d3-11ee-ac36-0242ff9ee44d"/>
        <s v="63e34b7f-d7d3-11ee-ac36-0242ff9ee44d"/>
        <s v="63e3b4a7-d7d3-11ee-ac36-0242ff9ee44d"/>
        <s v="63e316c2-d7d3-11ee-ac36-0242ff9ee44d"/>
        <s v="63e317a4-d7d3-11ee-ac36-0242ff9ee44d"/>
        <s v="63e3254b-d7d3-11ee-ac36-0242ff9ee44d"/>
        <s v="63e3b68d-d7d3-11ee-ac36-0242ff9ee44d"/>
        <s v="63e38400-d7d3-11ee-ac36-0242ff9ee44d"/>
        <s v="63e34dd0-d7d3-11ee-ac36-0242ff9ee44d"/>
        <s v="63e341f9-d7d3-11ee-ac36-0242ff9ee44d"/>
        <s v="63e377e0-d7d3-11ee-ac36-0242ff9ee44d"/>
        <s v="63e3b7a0-d7d3-11ee-ac36-0242ff9ee44d"/>
        <s v="63e31a9a-d7d3-11ee-ac36-0242ff9ee44d"/>
        <s v="63e3999c-d7d3-11ee-ac36-0242ff9ee44d"/>
        <s v="63e37e0e-d7d3-11ee-ac36-0242ff9ee44d"/>
        <s v="63e36d32-d7d3-11ee-ac36-0242ff9ee44d"/>
        <s v="63e377f5-d7d3-11ee-ac36-0242ff9ee44d"/>
        <s v="63e3967e-d7d3-11ee-ac36-0242ff9ee44d"/>
        <s v="63e30f79-d7d3-11ee-ac36-0242ff9ee44d"/>
        <s v="63e37e38-d7d3-11ee-ac36-0242ff9ee44d"/>
        <s v="63e3367b-d7d3-11ee-ac36-0242ff9ee44d"/>
        <s v="63e38930-d7d3-11ee-ac36-0242ff9ee44d"/>
        <s v="63e3ac24-d7d3-11ee-ac36-0242ff9ee44d"/>
        <s v="63e3bb31-d7d3-11ee-ac36-0242ff9ee44d"/>
        <s v="63e364d1-d7d3-11ee-ac36-0242ff9ee44d"/>
        <s v="63e3a2ab-d7d3-11ee-ac36-0242ff9ee44d"/>
        <s v="63e335aa-d7d3-11ee-ac36-0242ff9ee44d"/>
        <s v="63e35c44-d7d3-11ee-ac36-0242ff9ee44d"/>
        <s v="63e399f9-d7d3-11ee-ac36-0242ff9ee44d"/>
        <s v="63e35925-d7d3-11ee-ac36-0242ff9ee44d"/>
        <s v="63e389b0-d7d3-11ee-ac36-0242ff9ee44d"/>
        <s v="63e37da5-d7d3-11ee-ac36-0242ff9ee44d"/>
        <s v="63e37991-d7d3-11ee-ac36-0242ff9ee44d"/>
        <s v="63e37644-d7d3-11ee-ac36-0242ff9ee44d"/>
        <s v="63e34cf8-d7d3-11ee-ac36-0242ff9ee44d"/>
        <s v="63e38c2b-d7d3-11ee-ac36-0242ff9ee44d"/>
        <s v="63e318f4-d7d3-11ee-ac36-0242ff9ee44d"/>
        <s v="63e37659-d7d3-11ee-ac36-0242ff9ee44d"/>
        <s v="63e35b7d-d7d3-11ee-ac36-0242ff9ee44d"/>
        <s v="63e3a3b1-d7d3-11ee-ac36-0242ff9ee44d"/>
        <s v="63e39561-d7d3-11ee-ac36-0242ff9ee44d"/>
        <s v="63e3499a-d7d3-11ee-ac36-0242ff9ee44d"/>
        <s v="63e34e14-d7d3-11ee-ac36-0242ff9ee44d"/>
        <s v="63e31104-d7d3-11ee-ac36-0242ff9ee44d"/>
        <s v="63e3a5c9-d7d3-11ee-ac36-0242ff9ee44d"/>
        <s v="63e33c45-d7d3-11ee-ac36-0242ff9ee44d"/>
        <s v="63e344de-d7d3-11ee-ac36-0242ff9ee44d"/>
        <s v="63e3501a-d7d3-11ee-ac36-0242ff9ee44d"/>
        <s v="63e3158b-d7d3-11ee-ac36-0242ff9ee44d"/>
        <s v="63e37412-d7d3-11ee-ac36-0242ff9ee44d"/>
        <s v="63e35965-d7d3-11ee-ac36-0242ff9ee44d"/>
        <s v="63e34e3d-d7d3-11ee-ac36-0242ff9ee44d"/>
        <s v="63e3ba36-d7d3-11ee-ac36-0242ff9ee44d"/>
        <s v="63e37cbb-d7d3-11ee-ac36-0242ff9ee44d"/>
        <s v="63e34b53-d7d3-11ee-ac36-0242ff9ee44d"/>
        <s v="63e39369-d7d3-11ee-ac36-0242ff9ee44d"/>
        <s v="63e357ce-d7d3-11ee-ac36-0242ff9ee44d"/>
        <s v="63e34572-d7d3-11ee-ac36-0242ff9ee44d"/>
        <s v="63e3ca96-d7d3-11ee-ac36-0242ff9ee44d"/>
        <s v="63e3c48a-d7d3-11ee-ac36-0242ff9ee44d"/>
        <s v="63e38a6e-d7d3-11ee-ac36-0242ff9ee44d"/>
        <s v="63e31343-d7d3-11ee-ac36-0242ff9ee44d"/>
        <s v="63e3827f-d7d3-11ee-ac36-0242ff9ee44d"/>
        <s v="63e38fd5-d7d3-11ee-ac36-0242ff9ee44d"/>
        <s v="63e3c041-d7d3-11ee-ac36-0242ff9ee44d"/>
        <s v="63e3b60f-d7d3-11ee-ac36-0242ff9ee44d"/>
        <s v="63e3937e-d7d3-11ee-ac36-0242ff9ee44d"/>
        <s v="63e38efa-d7d3-11ee-ac36-0242ff9ee44d"/>
        <s v="63e3bb84-d7d3-11ee-ac36-0242ff9ee44d"/>
        <s v="63e3661e-d7d3-11ee-ac36-0242ff9ee44d"/>
        <s v="63e3ba60-d7d3-11ee-ac36-0242ff9ee44d"/>
        <s v="63e34e52-d7d3-11ee-ac36-0242ff9ee44d"/>
        <s v="63e31bfa-d7d3-11ee-ac36-0242ff9ee44d"/>
        <s v="63e38492-d7d3-11ee-ac36-0242ff9ee44d"/>
        <s v="63e3ba88-d7d3-11ee-ac36-0242ff9ee44d"/>
        <s v="63e3be30-d7d3-11ee-ac36-0242ff9ee44d"/>
        <s v="63e35aeb-d7d3-11ee-ac36-0242ff9ee44d"/>
        <s v="63e3b1e1-d7d3-11ee-ac36-0242ff9ee44d"/>
        <s v="63e37498-d7d3-11ee-ac36-0242ff9ee44d"/>
        <s v="63e396be-d7d3-11ee-ac36-0242ff9ee44d"/>
        <s v="63e33f05-d7d3-11ee-ac36-0242ff9ee44d"/>
        <s v="63e396ec-d7d3-11ee-ac36-0242ff9ee44d"/>
        <s v="63e369b1-d7d3-11ee-ac36-0242ff9ee44d"/>
        <s v="63e36d46-d7d3-11ee-ac36-0242ff9ee44d"/>
        <s v="63e3b849-d7d3-11ee-ac36-0242ff9ee44d"/>
        <s v="63e36ddb-d7d3-11ee-ac36-0242ff9ee44d"/>
        <s v="63e3c2ab-d7d3-11ee-ac36-0242ff9ee44d"/>
        <s v="63e3bb99-d7d3-11ee-ac36-0242ff9ee44d"/>
        <s v="63e363a9-d7d3-11ee-ac36-0242ff9ee44d"/>
        <s v="63e34409-d7d3-11ee-ac36-0242ff9ee44d"/>
        <s v="63e30ac6-d7d3-11ee-ac36-0242ff9ee44d"/>
        <s v="63e3aee2-d7d3-11ee-ac36-0242ff9ee44d"/>
        <s v="63e396d5-d7d3-11ee-ac36-0242ff9ee44d"/>
        <s v="63e3a32c-d7d3-11ee-ac36-0242ff9ee44d"/>
        <s v="63e33e35-d7d3-11ee-ac36-0242ff9ee44d"/>
        <s v="63e32577-d7d3-11ee-ac36-0242ff9ee44d"/>
        <s v="63e34586-d7d3-11ee-ac36-0242ff9ee44d"/>
        <s v="63e3c4e0-d7d3-11ee-ac36-0242ff9ee44d"/>
        <s v="63e386d2-d7d3-11ee-ac36-0242ff9ee44d"/>
        <s v="63e39704-d7d3-11ee-ac36-0242ff9ee44d"/>
        <s v="63e37ed2-d7d3-11ee-ac36-0242ff9ee44d"/>
        <s v="63e3116e-d7d3-11ee-ac36-0242ff9ee44d"/>
        <s v="63e3441d-d7d3-11ee-ac36-0242ff9ee44d"/>
        <s v="63e377cc-d7d3-11ee-ac36-0242ff9ee44d"/>
        <s v="63e34473-d7d3-11ee-ac36-0242ff9ee44d"/>
        <s v="63e331cb-d7d3-11ee-ac36-0242ff9ee44d"/>
        <s v="63e31ee3-d7d3-11ee-ac36-0242ff9ee44d"/>
        <s v="63e3b1f6-d7d3-11ee-ac36-0242ff9ee44d"/>
        <s v="63e35058-d7d3-11ee-ac36-0242ff9ee44d"/>
        <s v="63e3c2eb-d7d3-11ee-ac36-0242ff9ee44d"/>
        <s v="63e37683-d7d3-11ee-ac36-0242ff9ee44d"/>
        <s v="63e32421-d7d3-11ee-ac36-0242ff9ee44d"/>
        <s v="63e39576-d7d3-11ee-ac36-0242ff9ee44d"/>
        <s v="63e379a6-d7d3-11ee-ac36-0242ff9ee44d"/>
        <s v="63e35082-d7d3-11ee-ac36-0242ff9ee44d"/>
        <s v="63e34b69-d7d3-11ee-ac36-0242ff9ee44d"/>
        <s v="63e37f13-d7d3-11ee-ac36-0242ff9ee44d"/>
        <s v="63e37d90-d7d3-11ee-ac36-0242ff9ee44d"/>
        <s v="63e30b62-d7d3-11ee-ac36-0242ff9ee44d"/>
        <s v="63e338a6-d7d3-11ee-ac36-0242ff9ee44d"/>
        <s v="63e35097-d7d3-11ee-ac36-0242ff9ee44d"/>
        <s v="63e3c97f-d7d3-11ee-ac36-0242ff9ee44d"/>
        <s v="63e39081-d7d3-11ee-ac36-0242ff9ee44d"/>
        <s v="63e3c32a-d7d3-11ee-ac36-0242ff9ee44d"/>
        <s v="63e34e7c-d7d3-11ee-ac36-0242ff9ee44d"/>
        <s v="63e3393a-d7d3-11ee-ac36-0242ff9ee44d"/>
        <s v="63e3469d-d7d3-11ee-ac36-0242ff9ee44d"/>
        <s v="63e386e9-d7d3-11ee-ac36-0242ff9ee44d"/>
        <s v="63e32d8a-d7d3-11ee-ac36-0242ff9ee44d"/>
        <s v="63e3a7c5-d7d3-11ee-ac36-0242ff9ee44d"/>
        <s v="63e33f59-d7d3-11ee-ac36-0242ff9ee44d"/>
        <s v="63e39e7a-d7d3-11ee-ac36-0242ff9ee44d"/>
        <s v="63e350d7-d7d3-11ee-ac36-0242ff9ee44d"/>
        <s v="63e3251f-d7d3-11ee-ac36-0242ff9ee44d"/>
        <s v="63e388af-d7d3-11ee-ac36-0242ff9ee44d"/>
        <s v="63e32ab2-d7d3-11ee-ac36-0242ff9ee44d"/>
        <s v="63e393fe-d7d3-11ee-ac36-0242ff9ee44d"/>
        <s v="63e3a358-d7d3-11ee-ac36-0242ff9ee44d"/>
        <s v="63e37698-d7d3-11ee-ac36-0242ff9ee44d"/>
        <s v="63e37c91-d7d3-11ee-ac36-0242ff9ee44d"/>
        <s v="63e325df-d7d3-11ee-ac36-0242ff9ee44d"/>
        <s v="63e36e70-d7d3-11ee-ac36-0242ff9ee44d"/>
        <s v="63e3b7c9-d7d3-11ee-ac36-0242ff9ee44d"/>
        <s v="63e39746-d7d3-11ee-ac36-0242ff9ee44d"/>
        <s v="63e32246-d7d3-11ee-ac36-0242ff9ee44d"/>
        <s v="63e34f4f-d7d3-11ee-ac36-0242ff9ee44d"/>
        <s v="63e3a4c8-d7d3-11ee-ac36-0242ff9ee44d"/>
        <s v="63e3cb86-d7d3-11ee-ac36-0242ff9ee44d"/>
        <s v="63e3274f-d7d3-11ee-ac36-0242ff9ee44d"/>
        <s v="63e3788a-d7d3-11ee-ac36-0242ff9ee44d"/>
        <s v="63e37ba9-d7d3-11ee-ac36-0242ff9ee44d"/>
        <s v="63e39537-d7d3-11ee-ac36-0242ff9ee44d"/>
        <s v="63e32c36-d7d3-11ee-ac36-0242ff9ee44d"/>
        <s v="63e32010-d7d3-11ee-ac36-0242ff9ee44d"/>
        <s v="63e392ab-d7d3-11ee-ac36-0242ff9ee44d"/>
        <s v="63e30b8b-d7d3-11ee-ac36-0242ff9ee44d"/>
        <s v="63e330d0-d7d3-11ee-ac36-0242ff9ee44d"/>
        <s v="63e3b3a4-d7d3-11ee-ac36-0242ff9ee44d"/>
        <s v="63e3a988-d7d3-11ee-ac36-0242ff9ee44d"/>
        <s v="63e34786-d7d3-11ee-ac36-0242ff9ee44d"/>
        <s v="63e3cb45-d7d3-11ee-ac36-0242ff9ee44d"/>
        <s v="63e322e8-d7d3-11ee-ac36-0242ff9ee44d"/>
        <s v="63e344f3-d7d3-11ee-ac36-0242ff9ee44d"/>
        <s v="63e32b06-d7d3-11ee-ac36-0242ff9ee44d"/>
        <s v="63e36d5d-d7d3-11ee-ac36-0242ff9ee44d"/>
        <s v="63e3ab4f-d7d3-11ee-ac36-0242ff9ee44d"/>
        <s v="63e38700-d7d3-11ee-ac36-0242ff9ee44d"/>
        <s v="63e33345-d7d3-11ee-ac36-0242ff9ee44d"/>
        <s v="63e3b85f-d7d3-11ee-ac36-0242ff9ee44d"/>
        <s v="63e37f91-d7d3-11ee-ac36-0242ff9ee44d"/>
        <s v="63e344c9-d7d3-11ee-ac36-0242ff9ee44d"/>
        <s v="63e32ba0-d7d3-11ee-ac36-0242ff9ee44d"/>
        <s v="63e3225e-d7d3-11ee-ac36-0242ff9ee44d"/>
        <s v="63e3a385-d7d3-11ee-ac36-0242ff9ee44d"/>
        <s v="63e335d5-d7d3-11ee-ac36-0242ff9ee44d"/>
        <s v="63e3971a-d7d3-11ee-ac36-0242ff9ee44d"/>
        <s v="63e34ea6-d7d3-11ee-ac36-0242ff9ee44d"/>
        <s v="63e371fc-d7d3-11ee-ac36-0242ff9ee44d"/>
        <s v="63e323f7-d7d3-11ee-ac36-0242ff9ee44d"/>
        <s v="63e37ffd-d7d3-11ee-ac36-0242ff9ee44d"/>
        <s v="63e33fd6-d7d3-11ee-ac36-0242ff9ee44d"/>
        <s v="63e3b94a-d7d3-11ee-ac36-0242ff9ee44d"/>
        <s v="63e3cb71-d7d3-11ee-ac36-0242ff9ee44d"/>
        <s v="63e39ab6-d7d3-11ee-ac36-0242ff9ee44d"/>
        <s v="63e31608-d7d3-11ee-ac36-0242ff9ee44d"/>
        <s v="63e349b0-d7d3-11ee-ac36-0242ff9ee44d"/>
        <s v="63e3cf8c-d7d3-11ee-ac36-0242ff9ee44d"/>
        <s v="63e36101-d7d3-11ee-ac36-0242ff9ee44d"/>
        <s v="63e38a44-d7d3-11ee-ac36-0242ff9ee44d"/>
        <s v="63e3cc36-d7d3-11ee-ac36-0242ff9ee44d"/>
        <s v="63e33a36-d7d3-11ee-ac36-0242ff9ee44d"/>
        <s v="63e397b1-d7d3-11ee-ac36-0242ff9ee44d"/>
        <s v="63e34eba-d7d3-11ee-ac36-0242ff9ee44d"/>
        <s v="63e3972f-d7d3-11ee-ac36-0242ff9ee44d"/>
        <s v="63e36e07-d7d3-11ee-ac36-0242ff9ee44d"/>
        <s v="63e36df0-d7d3-11ee-ac36-0242ff9ee44d"/>
        <s v="63e39b78-d7d3-11ee-ac36-0242ff9ee44d"/>
        <s v="63e36d73-d7d3-11ee-ac36-0242ff9ee44d"/>
        <s v="63e3a786-d7d3-11ee-ac36-0242ff9ee44d"/>
        <s v="63e349db-d7d3-11ee-ac36-0242ff9ee44d"/>
        <s v="63e371ba-d7d3-11ee-ac36-0242ff9ee44d"/>
        <s v="63e39694-d7d3-11ee-ac36-0242ff9ee44d"/>
        <s v="63e32b88-d7d3-11ee-ac36-0242ff9ee44d"/>
        <s v="63e330bc-d7d3-11ee-ac36-0242ff9ee44d"/>
        <s v="63e3bbc6-d7d3-11ee-ac36-0242ff9ee44d"/>
        <s v="63e31e2d-d7d3-11ee-ac36-0242ff9ee44d"/>
        <s v="63e3cf4c-d7d3-11ee-ac36-0242ff9ee44d"/>
        <s v="63e3c059-d7d3-11ee-ac36-0242ff9ee44d"/>
        <s v="63e39e65-d7d3-11ee-ac36-0242ff9ee44d"/>
        <s v="63e3a08d-d7d3-11ee-ac36-0242ff9ee44d"/>
        <s v="63e34bbe-d7d3-11ee-ac36-0242ff9ee44d"/>
        <s v="63e397c9-d7d3-11ee-ac36-0242ff9ee44d"/>
        <s v="63e36384-d7d3-11ee-ac36-0242ff9ee44d"/>
        <s v="63e33fea-d7d3-11ee-ac36-0242ff9ee44d"/>
        <s v="63e39e39-d7d3-11ee-ac36-0242ff9ee44d"/>
        <s v="63e32e99-d7d3-11ee-ac36-0242ff9ee44d"/>
        <s v="63e3c969-d7d3-11ee-ac36-0242ff9ee44d"/>
        <s v="63e37b0d-d7d3-11ee-ac36-0242ff9ee44d"/>
        <s v="63e3b9a0-d7d3-11ee-ac36-0242ff9ee44d"/>
        <s v="63e38c7f-d7d3-11ee-ac36-0242ff9ee44d"/>
        <s v="63e376c2-d7d3-11ee-ac36-0242ff9ee44d"/>
        <s v="63e3244e-d7d3-11ee-ac36-0242ff9ee44d"/>
        <s v="63e335ff-d7d3-11ee-ac36-0242ff9ee44d"/>
        <s v="63e33a4c-d7d3-11ee-ac36-0242ff9ee44d"/>
        <s v="63e33028-d7d3-11ee-ac36-0242ff9ee44d"/>
        <s v="63e3a620-d7d3-11ee-ac36-0242ff9ee44d"/>
        <s v="63e3a2d9-d7d3-11ee-ac36-0242ff9ee44d"/>
        <s v="63e333c3-d7d3-11ee-ac36-0242ff9ee44d"/>
        <s v="63e3c6fb-d7d3-11ee-ac36-0242ff9ee44d"/>
        <s v="63e3451e-d7d3-11ee-ac36-0242ff9ee44d"/>
        <s v="63e3ae4e-d7d3-11ee-ac36-0242ff9ee44d"/>
        <s v="63e36fdb-d7d3-11ee-ac36-0242ff9ee44d"/>
        <s v="63e36aa0-d7d3-11ee-ac36-0242ff9ee44d"/>
        <s v="63e39cbf-d7d3-11ee-ac36-0242ff9ee44d"/>
        <s v="63e3975c-d7d3-11ee-ac36-0242ff9ee44d"/>
        <s v="63e3a508-d7d3-11ee-ac36-0242ff9ee44d"/>
        <s v="63e32be1-d7d3-11ee-ac36-0242ff9ee44d"/>
        <s v="63e3c8fc-d7d3-11ee-ac36-0242ff9ee44d"/>
        <s v="63e34a05-d7d3-11ee-ac36-0242ff9ee44d"/>
        <s v="63e39772-d7d3-11ee-ac36-0242ff9ee44d"/>
        <s v="63e3c072-d7d3-11ee-ac36-0242ff9ee44d"/>
        <s v="63e3297d-d7d3-11ee-ac36-0242ff9ee44d"/>
        <s v="63e350ec-d7d3-11ee-ac36-0242ff9ee44d"/>
        <s v="63e37c13-d7d3-11ee-ac36-0242ff9ee44d"/>
        <s v="63e3b28d-d7d3-11ee-ac36-0242ff9ee44d"/>
        <s v="63e33e9c-d7d3-11ee-ac36-0242ff9ee44d"/>
        <s v="63e374d8-d7d3-11ee-ac36-0242ff9ee44d"/>
        <s v="63e37556-d7d3-11ee-ac36-0242ff9ee44d"/>
        <s v="63e32639-d7d3-11ee-ac36-0242ff9ee44d"/>
        <s v="63e3cad7-d7d3-11ee-ac36-0242ff9ee44d"/>
        <s v="63e36e1b-d7d3-11ee-ac36-0242ff9ee44d"/>
        <s v="63e38e11-d7d3-11ee-ac36-0242ff9ee44d"/>
        <s v="63e32bcc-d7d3-11ee-ac36-0242ff9ee44d"/>
        <s v="63e386a8-d7d3-11ee-ac36-0242ff9ee44d"/>
        <s v="63e33bb2-d7d3-11ee-ac36-0242ff9ee44d"/>
        <s v="63e34a1b-d7d3-11ee-ac36-0242ff9ee44d"/>
        <s v="63e372aa-d7d3-11ee-ac36-0242ff9ee44d"/>
        <s v="63e3933e-d7d3-11ee-ac36-0242ff9ee44d"/>
        <s v="63e34224-d7d3-11ee-ac36-0242ff9ee44d"/>
        <s v="63e39786-d7d3-11ee-ac36-0242ff9ee44d"/>
        <s v="63e3aae3-d7d3-11ee-ac36-0242ff9ee44d"/>
        <s v="63e3b8b4-d7d3-11ee-ac36-0242ff9ee44d"/>
        <s v="63e34843-d7d3-11ee-ac36-0242ff9ee44d"/>
        <s v="63e376ad-d7d3-11ee-ac36-0242ff9ee44d"/>
        <s v="63e33ec6-d7d3-11ee-ac36-0242ff9ee44d"/>
        <s v="63e33ef0-d7d3-11ee-ac36-0242ff9ee44d"/>
        <s v="63e33aa0-d7d3-11ee-ac36-0242ff9ee44d"/>
        <s v="63e3766e-d7d3-11ee-ac36-0242ff9ee44d"/>
        <s v="63e35101-d7d3-11ee-ac36-0242ff9ee44d"/>
        <s v="63e31659-d7d3-11ee-ac36-0242ff9ee44d"/>
        <s v="63e32bf6-d7d3-11ee-ac36-0242ff9ee44d"/>
        <s v="63e3b3d0-d7d3-11ee-ac36-0242ff9ee44d"/>
        <s v="63e3816a-d7d3-11ee-ac36-0242ff9ee44d"/>
        <s v="63e36121-d7d3-11ee-ac36-0242ff9ee44d"/>
        <s v="63e3a51d-d7d3-11ee-ac36-0242ff9ee44d"/>
        <s v="63e35eee-d7d3-11ee-ac36-0242ff9ee44d"/>
        <s v="63e3268c-d7d3-11ee-ac36-0242ff9ee44d"/>
        <s v="63e37fbc-d7d3-11ee-ac36-0242ff9ee44d"/>
        <s v="63e314cf-d7d3-11ee-ac36-0242ff9ee44d"/>
        <s v="63e3a572-d7d3-11ee-ac36-0242ff9ee44d"/>
        <s v="63e3a59d-d7d3-11ee-ac36-0242ff9ee44d"/>
        <s v="63e31b9f-d7d3-11ee-ac36-0242ff9ee44d"/>
        <s v="63e3b90b-d7d3-11ee-ac36-0242ff9ee44d"/>
        <s v="63e35a7e-d7d3-11ee-ac36-0242ff9ee44d"/>
        <s v="63e39b09-d7d3-11ee-ac36-0242ff9ee44d"/>
        <s v="63e38feb-d7d3-11ee-ac36-0242ff9ee44d"/>
        <s v="63e37f3e-d7d3-11ee-ac36-0242ff9ee44d"/>
        <s v="63e36ec3-d7d3-11ee-ac36-0242ff9ee44d"/>
        <s v="63e3a55e-d7d3-11ee-ac36-0242ff9ee44d"/>
        <s v="63e32c77-d7d3-11ee-ac36-0242ff9ee44d"/>
        <s v="63e3c790-d7d3-11ee-ac36-0242ff9ee44d"/>
        <s v="63e3922a-d7d3-11ee-ac36-0242ff9ee44d"/>
        <s v="53317ba5-711b-4057-bca2-a092c2a1c0f1"/>
        <s v="63e351af-d7d3-11ee-ac36-0242ff9ee44d"/>
        <s v="63e35738-d7d3-11ee-ac36-0242ff9ee44d"/>
        <s v="63e317b9-d7d3-11ee-ac36-0242ff9ee44d"/>
        <s v="63e3958b-d7d3-11ee-ac36-0242ff9ee44d"/>
        <s v="63e3bc1b-d7d3-11ee-ac36-0242ff9ee44d"/>
        <s v="63e3979c-d7d3-11ee-ac36-0242ff9ee44d"/>
        <s v="63e3b81e-d7d3-11ee-ac36-0242ff9ee44d"/>
        <s v="63e36341-d7d3-11ee-ac36-0242ff9ee44d"/>
        <s v="63e32464-d7d3-11ee-ac36-0242ff9ee44d"/>
        <s v="63e38ad7-d7d3-11ee-ac36-0242ff9ee44d"/>
        <s v="63e329a1-d7d3-11ee-ac36-0242ff9ee44d"/>
        <s v="63e32cf4-d7d3-11ee-ac36-0242ff9ee44d"/>
        <s v="63e32765-d7d3-11ee-ac36-0242ff9ee44d"/>
        <s v="63e3c09f-d7d3-11ee-ac36-0242ff9ee44d"/>
        <s v="63e37fa6-d7d3-11ee-ac36-0242ff9ee44d"/>
        <s v="63e32025-d7d3-11ee-ac36-0242ff9ee44d"/>
        <s v="63e39cd8-d7d3-11ee-ac36-0242ff9ee44d"/>
        <s v="63e32276-d7d3-11ee-ac36-0242ff9ee44d"/>
        <s v="63e37541-d7d3-11ee-ac36-0242ff9ee44d"/>
        <s v="63e32478-d7d3-11ee-ac36-0242ff9ee44d"/>
        <s v="63e329f1-d7d3-11ee-ac36-0242ff9ee44d"/>
        <s v="63e3161c-d7d3-11ee-ac36-0242ff9ee44d"/>
        <s v="63e324a2-d7d3-11ee-ac36-0242ff9ee44d"/>
        <s v="63e3bc44-d7d3-11ee-ac36-0242ff9ee44d"/>
        <s v="63e33738-d7d3-11ee-ac36-0242ff9ee44d"/>
        <s v="63e3b9e1-d7d3-11ee-ac36-0242ff9ee44d"/>
        <s v="63e3a95d-d7d3-11ee-ac36-0242ff9ee44d"/>
        <s v="63e330e5-d7d3-11ee-ac36-0242ff9ee44d"/>
        <s v="63e33246-d7d3-11ee-ac36-0242ff9ee44d"/>
        <s v="63e311c2-d7d3-11ee-ac36-0242ff9ee44d"/>
        <s v="63e31b62-d7d3-11ee-ac36-0242ff9ee44d"/>
        <s v="63e3bc98-d7d3-11ee-ac36-0242ff9ee44d"/>
        <s v="63e36f45-d7d3-11ee-ac36-0242ff9ee44d"/>
        <s v="63e3bb6d-d7d3-11ee-ac36-0242ff9ee44d"/>
        <s v="63e38012-d7d3-11ee-ac36-0242ff9ee44d"/>
        <s v="63e324e1-d7d3-11ee-ac36-0242ff9ee44d"/>
        <s v="63e370c9-d7d3-11ee-ac36-0242ff9ee44d"/>
        <s v="63e3bbaf-d7d3-11ee-ac36-0242ff9ee44d"/>
        <s v="63e3203c-d7d3-11ee-ac36-0242ff9ee44d"/>
        <s v="63e38069-d7d3-11ee-ac36-0242ff9ee44d"/>
        <s v="63e3ca81-d7d3-11ee-ac36-0242ff9ee44d"/>
        <s v="63e395a0-d7d3-11ee-ac36-0242ff9ee44d"/>
        <s v="63e3bcd9-d7d3-11ee-ac36-0242ff9ee44d"/>
        <s v="63e37d3c-d7d3-11ee-ac36-0242ff9ee44d"/>
        <s v="63e3b591-d7d3-11ee-ac36-0242ff9ee44d"/>
        <s v="63e36fc6-d7d3-11ee-ac36-0242ff9ee44d"/>
        <s v="63e3bd99-d7d3-11ee-ac36-0242ff9ee44d"/>
        <s v="63e3b936-d7d3-11ee-ac36-0242ff9ee44d"/>
        <s v="63e3ce81-d7d3-11ee-ac36-0242ff9ee44d"/>
        <s v="63e3c0ca-d7d3-11ee-ac36-0242ff9ee44d"/>
        <s v="63e33a21-d7d3-11ee-ac36-0242ff9ee44d"/>
        <s v="63e34320-d7d3-11ee-ac36-0242ff9ee44d"/>
        <s v="63e329da-d7d3-11ee-ac36-0242ff9ee44d"/>
        <s v="63e342ba-d7d3-11ee-ac36-0242ff9ee44d"/>
        <s v="63e34bd3-d7d3-11ee-ac36-0242ff9ee44d"/>
        <s v="63e324b7-d7d3-11ee-ac36-0242ff9ee44d"/>
        <s v="63e36c4d-d7d3-11ee-ac36-0242ff9ee44d"/>
        <s v="63e32a1d-d7d3-11ee-ac36-0242ff9ee44d"/>
        <s v="63e311d8-d7d3-11ee-ac36-0242ff9ee44d"/>
        <s v="63e39281-d7d3-11ee-ac36-0242ff9ee44d"/>
        <s v="63e34be8-d7d3-11ee-ac36-0242ff9ee44d"/>
        <s v="63e33f44-d7d3-11ee-ac36-0242ff9ee44d"/>
        <s v="63e395b6-d7d3-11ee-ac36-0242ff9ee44d"/>
        <s v="63e3b70d-d7d3-11ee-ac36-0242ff9ee44d"/>
        <s v="63e3aa4c-d7d3-11ee-ac36-0242ff9ee44d"/>
        <s v="63e3b960-d7d3-11ee-ac36-0242ff9ee44d"/>
        <s v="63e38300-d7d3-11ee-ac36-0242ff9ee44d"/>
        <s v="63e3be74-d7d3-11ee-ac36-0242ff9ee44d"/>
        <s v="63e387c7-d7d3-11ee-ac36-0242ff9ee44d"/>
        <s v="63e395cb-d7d3-11ee-ac36-0242ff9ee44d"/>
        <s v="63e3c0f7-d7d3-11ee-ac36-0242ff9ee44d"/>
        <s v="63e395e0-d7d3-11ee-ac36-0242ff9ee44d"/>
        <s v="63e380d2-d7d3-11ee-ac36-0242ff9ee44d"/>
        <s v="63e31cfc-d7d3-11ee-ac36-0242ff9ee44d"/>
        <s v="63e3c7fe-d7d3-11ee-ac36-0242ff9ee44d"/>
        <s v="63e32052-d7d3-11ee-ac36-0242ff9ee44d"/>
        <s v="63e3424e-d7d3-11ee-ac36-0242ff9ee44d"/>
        <s v="63e372d3-d7d3-11ee-ac36-0242ff9ee44d"/>
        <s v="63e3c12a-d7d3-11ee-ac36-0242ff9ee44d"/>
        <s v="63e33a75-d7d3-11ee-ac36-0242ff9ee44d"/>
        <s v="63e363cc-d7d3-11ee-ac36-0242ff9ee44d"/>
        <s v="63e3c300-d7d3-11ee-ac36-0242ff9ee44d"/>
        <s v="63e36167-d7d3-11ee-ac36-0242ff9ee44d"/>
        <s v="63e38cd1-d7d3-11ee-ac36-0242ff9ee44d"/>
        <s v="63e3a49d-d7d3-11ee-ac36-0242ff9ee44d"/>
        <s v="63e3ad62-d7d3-11ee-ac36-0242ff9ee44d"/>
        <s v="63e3703d-d7d3-11ee-ac36-0242ff9ee44d"/>
        <s v="63e30e04-d7d3-11ee-ac36-0242ff9ee44d"/>
        <s v="63e3a888-d7d3-11ee-ac36-0242ff9ee44d"/>
        <s v="63e39eba-d7d3-11ee-ac36-0242ff9ee44d"/>
        <s v="63e380fe-d7d3-11ee-ac36-0242ff9ee44d"/>
        <s v="63e38c00-d7d3-11ee-ac36-0242ff9ee44d"/>
        <s v="63e3b921-d7d3-11ee-ac36-0242ff9ee44d"/>
        <s v="63e32290-d7d3-11ee-ac36-0242ff9ee44d"/>
        <s v="63e3c315-d7d3-11ee-ac36-0242ff9ee44d"/>
        <s v="63e324f6-d7d3-11ee-ac36-0242ff9ee44d"/>
        <s v="63e340a7-d7d3-11ee-ac36-0242ff9ee44d"/>
        <s v="63e3b3fb-d7d3-11ee-ac36-0242ff9ee44d"/>
        <s v="63e31a33-d7d3-11ee-ac36-0242ff9ee44d"/>
        <s v="63e33ade-d7d3-11ee-ac36-0242ff9ee44d"/>
        <s v="63e32c1f-d7d3-11ee-ac36-0242ff9ee44d"/>
        <s v="63e3c16b-d7d3-11ee-ac36-0242ff9ee44d"/>
        <s v="63e351c4-d7d3-11ee-ac36-0242ff9ee44d"/>
        <s v="63e3bbdc-d7d3-11ee-ac36-0242ff9ee44d"/>
        <s v="63e384d1-d7d3-11ee-ac36-0242ff9ee44d"/>
        <s v="63e3ad20-d7d3-11ee-ac36-0242ff9ee44d"/>
        <s v="63e313eb-d7d3-11ee-ac36-0242ff9ee44d"/>
        <s v="63e34d8e-d7d3-11ee-ac36-0242ff9ee44d"/>
        <s v="63e3962f-d7d3-11ee-ac36-0242ff9ee44d"/>
        <s v="63e322a6-d7d3-11ee-ac36-0242ff9ee44d"/>
        <s v="63e3a588-d7d3-11ee-ac36-0242ff9ee44d"/>
        <s v="63e356b9-d7d3-11ee-ac36-0242ff9ee44d"/>
        <s v="63e36945-d7d3-11ee-ac36-0242ff9ee44d"/>
        <s v="63e39414-d7d3-11ee-ac36-0242ff9ee44d"/>
        <s v="63e382d5-d7d3-11ee-ac36-0242ff9ee44d"/>
        <s v="63e3c340-d7d3-11ee-ac36-0242ff9ee44d"/>
        <s v="63e357f7-d7d3-11ee-ac36-0242ff9ee44d"/>
        <s v="63e35764-d7d3-11ee-ac36-0242ff9ee44d"/>
        <s v="63e3c0b5-d7d3-11ee-ac36-0242ff9ee44d"/>
        <s v="63e3a3f1-d7d3-11ee-ac36-0242ff9ee44d"/>
        <s v="63e31ce6-d7d3-11ee-ac36-0242ff9ee44d"/>
        <s v="63e3250a-d7d3-11ee-ac36-0242ff9ee44d"/>
        <s v="63e38342-d7d3-11ee-ac36-0242ff9ee44d"/>
        <s v="63e3b20c-d7d3-11ee-ac36-0242ff9ee44d"/>
        <s v="63e3278f-d7d3-11ee-ac36-0242ff9ee44d"/>
        <s v="63e3307c-d7d3-11ee-ac36-0242ff9ee44d"/>
        <s v="63e33a8a-d7d3-11ee-ac36-0242ff9ee44d"/>
        <s v="63e375f0-d7d3-11ee-ac36-0242ff9ee44d"/>
        <s v="63e383eb-d7d3-11ee-ac36-0242ff9ee44d"/>
        <s v="63e3b221-d7d3-11ee-ac36-0242ff9ee44d"/>
        <s v="63e3706d-d7d3-11ee-ac36-0242ff9ee44d"/>
        <s v="63e311ed-d7d3-11ee-ac36-0242ff9ee44d"/>
        <s v="63e399e4-d7d3-11ee-ac36-0242ff9ee44d"/>
        <s v="63e3b78b-d7d3-11ee-ac36-0242ff9ee44d"/>
        <s v="63e38ca9-d7d3-11ee-ac36-0242ff9ee44d"/>
        <s v="63e3620f-d7d3-11ee-ac36-0242ff9ee44d"/>
        <s v="63e31b41-d7d3-11ee-ac36-0242ff9ee44d"/>
        <s v="63e38140-d7d3-11ee-ac36-0242ff9ee44d"/>
        <s v="63e3942a-d7d3-11ee-ac36-0242ff9ee44d"/>
        <s v="63e3a704-d7d3-11ee-ac36-0242ff9ee44d"/>
        <s v="63e3bdf4-d7d3-11ee-ac36-0242ff9ee44d"/>
        <s v="63e37366-d7d3-11ee-ac36-0242ff9ee44d"/>
        <s v="63e31400-d7d3-11ee-ac36-0242ff9ee44d"/>
        <s v="63e38a59-d7d3-11ee-ac36-0242ff9ee44d"/>
        <s v="63e3bc06-d7d3-11ee-ac36-0242ff9ee44d"/>
        <s v="63e32c61-d7d3-11ee-ac36-0242ff9ee44d"/>
        <s v="63e3caec-d7d3-11ee-ac36-0242ff9ee44d"/>
        <s v="63e34d0e-d7d3-11ee-ac36-0242ff9ee44d"/>
        <s v="63e3843e-d7d3-11ee-ac36-0242ff9ee44d"/>
        <s v="63e336a6-d7d3-11ee-ac36-0242ff9ee44d"/>
        <s v="63e34335-d7d3-11ee-ac36-0242ff9ee44d"/>
        <s v="63e31670-d7d3-11ee-ac36-0242ff9ee44d"/>
        <s v="63e38468-d7d3-11ee-ac36-0242ff9ee44d"/>
        <s v="63e3577a-d7d3-11ee-ac36-0242ff9ee44d"/>
        <s v="63e39329-d7d3-11ee-ac36-0242ff9ee44d"/>
        <s v="63e360de-d7d3-11ee-ac36-0242ff9ee44d"/>
        <s v="63e3c7e9-d7d3-11ee-ac36-0242ff9ee44d"/>
        <s v="63e380e7-d7d3-11ee-ac36-0242ff9ee44d"/>
        <s v="63e36b0a-d7d3-11ee-ac36-0242ff9ee44d"/>
        <s v="63e34c57-d7d3-11ee-ac36-0242ff9ee44d"/>
        <s v="63e381ab-d7d3-11ee-ac36-0242ff9ee44d"/>
        <s v="63e3bc5a-d7d3-11ee-ac36-0242ff9ee44d"/>
        <s v="63e33779-d7d3-11ee-ac36-0242ff9ee44d"/>
        <s v="63e34647-d7d3-11ee-ac36-0242ff9ee44d"/>
        <s v="63e3912a-d7d3-11ee-ac36-0242ff9ee44d"/>
        <s v="63e3723e-d7d3-11ee-ac36-0242ff9ee44d"/>
        <s v="63e36bda-d7d3-11ee-ac36-0242ff9ee44d"/>
        <s v="63e340d4-d7d3-11ee-ac36-0242ff9ee44d"/>
        <s v="63e3a63a-d7d3-11ee-ac36-0242ff9ee44d"/>
        <s v="63e3c0e0-d7d3-11ee-ac36-0242ff9ee44d"/>
        <s v="63e34c12-d7d3-11ee-ac36-0242ff9ee44d"/>
        <s v="63e32562-d7d3-11ee-ac36-0242ff9ee44d"/>
        <s v="63e36255-d7d3-11ee-ac36-0242ff9ee44d"/>
        <s v="63e3c141-d7d3-11ee-ac36-0242ff9ee44d"/>
        <s v="63e31e4d-d7d3-11ee-ac36-0242ff9ee44d"/>
        <s v="63e336bb-d7d3-11ee-ac36-0242ff9ee44d"/>
        <s v="63e34c6c-d7d3-11ee-ac36-0242ff9ee44d"/>
        <s v="63e3b339-d7d3-11ee-ac36-0242ff9ee44d"/>
        <s v="63e33137-d7d3-11ee-ac36-0242ff9ee44d"/>
        <s v="63e3c892-d7d3-11ee-ac36-0242ff9ee44d"/>
        <s v="63e35861-d7d3-11ee-ac36-0242ff9ee44d"/>
        <s v="63e39652-d7d3-11ee-ac36-0242ff9ee44d"/>
        <s v="63e312b1-d7d3-11ee-ac36-0242ff9ee44d"/>
        <s v="63e384bd-d7d3-11ee-ac36-0242ff9ee44d"/>
        <s v="63e38c94-d7d3-11ee-ac36-0242ff9ee44d"/>
        <s v="63e34508-d7d3-11ee-ac36-0242ff9ee44d"/>
        <s v="63e31415-d7d3-11ee-ac36-0242ff9ee44d"/>
        <s v="63e35298-d7d3-11ee-ac36-0242ff9ee44d"/>
        <s v="63e3ba74-d7d3-11ee-ac36-0242ff9ee44d"/>
        <s v="63e351d9-d7d3-11ee-ac36-0242ff9ee44d"/>
        <s v="63e35219-d7d3-11ee-ac36-0242ff9ee44d"/>
        <s v="63e310c7-d7d3-11ee-ac36-0242ff9ee44d"/>
        <s v="63e34d4e-d7d3-11ee-ac36-0242ff9ee44d"/>
        <s v="63e3b236-d7d3-11ee-ac36-0242ff9ee44d"/>
        <s v="63e3142b-d7d3-11ee-ac36-0242ff9ee44d"/>
        <s v="63e35612-d7d3-11ee-ac36-0242ff9ee44d"/>
        <s v="63e332c5-d7d3-11ee-ac36-0242ff9ee44d"/>
        <s v="63e314e3-d7d3-11ee-ac36-0242ff9ee44d"/>
        <s v="63e3a42f-d7d3-11ee-ac36-0242ff9ee44d"/>
        <s v="63e37743-d7d3-11ee-ac36-0242ff9ee44d"/>
        <s v="63e3a062-d7d3-11ee-ac36-0242ff9ee44d"/>
        <s v="63e36278-d7d3-11ee-ac36-0242ff9ee44d"/>
        <s v="63e34a44-d7d3-11ee-ac36-0242ff9ee44d"/>
        <s v="63e36b33-d7d3-11ee-ac36-0242ff9ee44d"/>
        <s v="63e32662-d7d3-11ee-ac36-0242ff9ee44d"/>
        <s v="63e3af62-d7d3-11ee-ac36-0242ff9ee44d"/>
        <s v="63e3b24c-d7d3-11ee-ac36-0242ff9ee44d"/>
        <s v="63e31b21-d7d3-11ee-ac36-0242ff9ee44d"/>
        <s v="63e358ce-d7d3-11ee-ac36-0242ff9ee44d"/>
        <s v="63e33330-d7d3-11ee-ac36-0242ff9ee44d"/>
        <s v="63e36189-d7d3-11ee-ac36-0242ff9ee44d"/>
        <s v="63e31aef-d7d3-11ee-ac36-0242ff9ee44d"/>
        <s v="63e31fa2-d7d3-11ee-ac36-0242ff9ee44d"/>
        <s v="63e39a77-d7d3-11ee-ac36-0242ff9ee44d"/>
        <s v="63e3accd-d7d3-11ee-ac36-0242ff9ee44d"/>
        <s v="63e3cb02-d7d3-11ee-ac36-0242ff9ee44d"/>
        <s v="63e348c4-d7d3-11ee-ac36-0242ff9ee44d"/>
        <s v="63e39ee4-d7d3-11ee-ac36-0242ff9ee44d"/>
        <s v="63e3a0ff-d7d3-11ee-ac36-0242ff9ee44d"/>
        <s v="63e37ab7-d7d3-11ee-ac36-0242ff9ee44d"/>
        <s v="63e3c1b1-d7d3-11ee-ac36-0242ff9ee44d"/>
        <s v="63e34a6f-d7d3-11ee-ac36-0242ff9ee44d"/>
        <s v="63e381d7-d7d3-11ee-ac36-0242ff9ee44d"/>
        <s v="63e39930-d7d3-11ee-ac36-0242ff9ee44d"/>
        <s v="63e33f1a-d7d3-11ee-ac36-0242ff9ee44d"/>
        <s v="63e33ca2-d7d3-11ee-ac36-0242ff9ee44d"/>
        <s v="63e327d2-d7d3-11ee-ac36-0242ff9ee44d"/>
        <s v="63e34ac6-d7d3-11ee-ac36-0242ff9ee44d"/>
        <s v="63e392d5-d7d3-11ee-ac36-0242ff9ee44d"/>
        <s v="63e32cb6-d7d3-11ee-ac36-0242ff9ee44d"/>
        <s v="63e33eb1-d7d3-11ee-ac36-0242ff9ee44d"/>
        <s v="63e336f9-d7d3-11ee-ac36-0242ff9ee44d"/>
        <s v="63e31a09-d7d3-11ee-ac36-0242ff9ee44d"/>
        <s v="63e31c3e-d7d3-11ee-ac36-0242ff9ee44d"/>
        <s v="63e3b14f-d7d3-11ee-ac36-0242ff9ee44d"/>
        <s v="63e3ba9d-d7d3-11ee-ac36-0242ff9ee44d"/>
        <s v="63e39f3d-d7d3-11ee-ac36-0242ff9ee44d"/>
        <s v="63e3cbf2-d7d3-11ee-ac36-0242ff9ee44d"/>
        <s v="63e39669-d7d3-11ee-ac36-0242ff9ee44d"/>
        <s v="63e31359-d7d3-11ee-ac36-0242ff9ee44d"/>
        <s v="63e3a2ef-d7d3-11ee-ac36-0242ff9ee44d"/>
        <s v="63e30d72-d7d3-11ee-ac36-0242ff9ee44d"/>
        <s v="63e3198d-d7d3-11ee-ac36-0242ff9ee44d"/>
        <s v="63e36c71-d7d3-11ee-ac36-0242ff9ee44d"/>
        <s v="63e348f0-d7d3-11ee-ac36-0242ff9ee44d"/>
        <s v="63e316ec-d7d3-11ee-ac36-0242ff9ee44d"/>
        <s v="63e361ad-d7d3-11ee-ac36-0242ff9ee44d"/>
        <s v="63e39fcf-d7d3-11ee-ac36-0242ff9ee44d"/>
        <s v="63e32c8c-d7d3-11ee-ac36-0242ff9ee44d"/>
        <s v="63e39906-d7d3-11ee-ac36-0242ff9ee44d"/>
        <s v="63e3bdd7-d7d3-11ee-ac36-0242ff9ee44d"/>
        <s v="63e324cb-d7d3-11ee-ac36-0242ff9ee44d"/>
        <s v="63e3465c-d7d3-11ee-ac36-0242ff9ee44d"/>
        <s v="63e3b34e-d7d3-11ee-ac36-0242ff9ee44d"/>
        <s v="63e322bc-d7d3-11ee-ac36-0242ff9ee44d"/>
        <s v="63e32ce0-d7d3-11ee-ac36-0242ff9ee44d"/>
        <s v="63e31caa-d7d3-11ee-ac36-0242ff9ee44d"/>
        <s v="63e3c9bf-d7d3-11ee-ac36-0242ff9ee44d"/>
        <s v="63e36971-d7d3-11ee-ac36-0242ff9ee44d"/>
        <s v="63e3cbc8-d7d3-11ee-ac36-0242ff9ee44d"/>
        <s v="63e33628-d7d3-11ee-ac36-0242ff9ee44d"/>
        <s v="63e33b88-d7d3-11ee-ac36-0242ff9ee44d"/>
        <s v="63e3caab-d7d3-11ee-ac36-0242ff9ee44d"/>
        <s v="63e32d75-d7d3-11ee-ac36-0242ff9ee44d"/>
        <s v="63e3c111-d7d3-11ee-ac36-0242ff9ee44d"/>
        <s v="63e3143f-d7d3-11ee-ac36-0242ff9ee44d"/>
        <s v="63e33a0c-d7d3-11ee-ac36-0242ff9ee44d"/>
        <s v="63e32d61-d7d3-11ee-ac36-0242ff9ee44d"/>
        <s v="63e3c626-d7d3-11ee-ac36-0242ff9ee44d"/>
        <s v="63e33652-d7d3-11ee-ac36-0242ff9ee44d"/>
        <s v="63e3260e-d7d3-11ee-ac36-0242ff9ee44d"/>
        <s v="63e33c24-d7d3-11ee-ac36-0242ff9ee44d"/>
        <s v="63e34128-d7d3-11ee-ac36-0242ff9ee44d"/>
        <s v="63e37fd1-d7d3-11ee-ac36-0242ff9ee44d"/>
        <s v="63e33826-d7d3-11ee-ac36-0242ff9ee44d"/>
        <s v="63e3329c-d7d3-11ee-ac36-0242ff9ee44d"/>
        <s v="63e39860-d7d3-11ee-ac36-0242ff9ee44d"/>
        <s v="63e322d1-d7d3-11ee-ac36-0242ff9ee44d"/>
        <s v="63e3cb5c-d7d3-11ee-ac36-0242ff9ee44d"/>
        <s v="63e361ec-d7d3-11ee-ac36-0242ff9ee44d"/>
        <s v="2d870104-8620-4dee-8c23-311105779d7c"/>
        <s v="37f69996-18fc-4e25-b56a-144e39b63750"/>
        <s v="63e3a4de-d7d3-11ee-ac36-0242ff9ee44d"/>
        <s v="63e3803d-d7d3-11ee-ac36-0242ff9ee44d"/>
        <s v="63e3cf61-d7d3-11ee-ac36-0242ff9ee44d"/>
        <s v="63e3177b-d7d3-11ee-ac36-0242ff9ee44d"/>
        <s v="63e33e88-d7d3-11ee-ac36-0242ff9ee44d"/>
        <s v="da3afcfe-a70b-4551-ba63-b1517cf373f5"/>
        <s v="63e3486d-d7d3-11ee-ac36-0242ff9ee44d"/>
        <s v="63e39d30-d7d3-11ee-ac36-0242ff9ee44d"/>
        <s v="63e3c725-d7d3-11ee-ac36-0242ff9ee44d"/>
        <s v="63e39d48-d7d3-11ee-ac36-0242ff9ee44d"/>
        <s v="63e38984-d7d3-11ee-ac36-0242ff9ee44d"/>
        <s v="63e38f95-d7d3-11ee-ac36-0242ff9ee44d"/>
        <s v="63e3cec8-d7d3-11ee-ac36-0242ff9ee44d"/>
        <s v="63e3c20c-d7d3-11ee-ac36-0242ff9ee44d"/>
        <s v="63e32366-d7d3-11ee-ac36-0242ff9ee44d"/>
        <s v="63e37c28-d7d3-11ee-ac36-0242ff9ee44d"/>
        <s v="63e31e69-d7d3-11ee-ac36-0242ff9ee44d"/>
        <s v="63e39df3-d7d3-11ee-ac36-0242ff9ee44d"/>
        <s v="63e3cfe2-d7d3-11ee-ac36-0242ff9ee44d"/>
        <s v="63e30ee7-d7d3-11ee-ac36-0242ff9ee44d"/>
        <s v="63e39254-d7d3-11ee-ac36-0242ff9ee44d"/>
        <s v="63e3283e-d7d3-11ee-ac36-0242ff9ee44d"/>
        <s v="63e37bfe-d7d3-11ee-ac36-0242ff9ee44d"/>
        <s v="63e331a2-d7d3-11ee-ac36-0242ff9ee44d"/>
        <s v="63e3c181-d7d3-11ee-ac36-0242ff9ee44d"/>
        <s v="63e3bc30-d7d3-11ee-ac36-0242ff9ee44d"/>
        <s v="63e3c222-d7d3-11ee-ac36-0242ff9ee44d"/>
        <s v="63e32a73-d7d3-11ee-ac36-0242ff9ee44d"/>
        <s v="63e327fe-d7d3-11ee-ac36-0242ff9ee44d"/>
        <s v="63e38513-d7d3-11ee-ac36-0242ff9ee44d"/>
        <s v="63e3a9c8-d7d3-11ee-ac36-0242ff9ee44d"/>
        <s v="63e35ddf-d7d3-11ee-ac36-0242ff9ee44d"/>
        <s v="63e3812a-d7d3-11ee-ac36-0242ff9ee44d"/>
        <s v="63e341ba-d7d3-11ee-ac36-0242ff9ee44d"/>
        <s v="63e32db4-d7d3-11ee-ac36-0242ff9ee44d"/>
        <s v="63e31215-d7d3-11ee-ac36-0242ff9ee44d"/>
        <s v="63e32eaf-d7d3-11ee-ac36-0242ff9ee44d"/>
        <s v="63e357a4-d7d3-11ee-ac36-0242ff9ee44d"/>
        <s v="63e31685-d7d3-11ee-ac36-0242ff9ee44d"/>
        <s v="63e33e21-d7d3-11ee-ac36-0242ff9ee44d"/>
        <s v="63e3123f-d7d3-11ee-ac36-0242ff9ee44d"/>
        <s v="63e33051-d7d3-11ee-ac36-0242ff9ee44d"/>
        <s v="63e32113-d7d3-11ee-ac36-0242ff9ee44d"/>
        <s v="63e3903f-d7d3-11ee-ac36-0242ff9ee44d"/>
        <s v="63e38a2f-d7d3-11ee-ac36-0242ff9ee44d"/>
        <s v="63e31454-d7d3-11ee-ac36-0242ff9ee44d"/>
        <s v="63e33d16-d7d3-11ee-ac36-0242ff9ee44d"/>
        <s v="63e3258c-d7d3-11ee-ac36-0242ff9ee44d"/>
        <s v="63e31383-d7d3-11ee-ac36-0242ff9ee44d"/>
        <s v="63e3597b-d7d3-11ee-ac36-0242ff9ee44d"/>
        <s v="63e35f36-d7d3-11ee-ac36-0242ff9ee44d"/>
        <s v="63e3a804-d7d3-11ee-ac36-0242ff9ee44d"/>
        <s v="63e31e0c-d7d3-11ee-ac36-0242ff9ee44d"/>
        <s v="63e3a719-d7d3-11ee-ac36-0242ff9ee44d"/>
        <s v="63e322fe-d7d3-11ee-ac36-0242ff9ee44d"/>
        <s v="63e3c02d-d7d3-11ee-ac36-0242ff9ee44d"/>
        <s v="63e31d3b-d7d3-11ee-ac36-0242ff9ee44d"/>
        <s v="63e32e30-d7d3-11ee-ac36-0242ff9ee44d"/>
        <s v="63e33dcc-d7d3-11ee-ac36-0242ff9ee44d"/>
        <s v="63e36a33-d7d3-11ee-ac36-0242ff9ee44d"/>
        <s v="63e391e8-d7d3-11ee-ac36-0242ff9ee44d"/>
        <s v="63e39a62-d7d3-11ee-ac36-0242ff9ee44d"/>
        <s v="63e3420f-d7d3-11ee-ac36-0242ff9ee44d"/>
        <s v="63e39af4-d7d3-11ee-ac36-0242ff9ee44d"/>
        <s v="63e3c9e9-d7d3-11ee-ac36-0242ff9ee44d"/>
        <s v="63e36234-d7d3-11ee-ac36-0242ff9ee44d"/>
        <s v="63e32dc8-d7d3-11ee-ac36-0242ff9ee44d"/>
        <s v="63e34279-d7d3-11ee-ac36-0242ff9ee44d"/>
        <s v="63e33f83-d7d3-11ee-ac36-0242ff9ee44d"/>
        <s v="63e3cfb8-d7d3-11ee-ac36-0242ff9ee44d"/>
        <s v="63e342e3-d7d3-11ee-ac36-0242ff9ee44d"/>
        <s v="63e31f8c-d7d3-11ee-ac36-0242ff9ee44d"/>
        <s v="63e39d8a-d7d3-11ee-ac36-0242ff9ee44d"/>
        <s v="63e37de4-d7d3-11ee-ac36-0242ff9ee44d"/>
        <s v="63e3bec4-d7d3-11ee-ac36-0242ff9ee44d"/>
        <s v="63e3491a-d7d3-11ee-ac36-0242ff9ee44d"/>
        <s v="63e34adb-d7d3-11ee-ac36-0242ff9ee44d"/>
        <s v="63e32d34-d7d3-11ee-ac36-0242ff9ee44d"/>
        <s v="63e33e0c-d7d3-11ee-ac36-0242ff9ee44d"/>
        <s v="63e38fc0-d7d3-11ee-ac36-0242ff9ee44d"/>
        <s v="63e37a8d-d7d3-11ee-ac36-0242ff9ee44d"/>
        <s v="63e3ace2-d7d3-11ee-ac36-0242ff9ee44d"/>
        <s v="63e34cbe-d7d3-11ee-ac36-0242ff9ee44d"/>
        <s v="63e30f26-d7d3-11ee-ac36-0242ff9ee44d"/>
        <s v="63e342cf-d7d3-11ee-ac36-0242ff9ee44d"/>
        <s v="63e312d6-d7d3-11ee-ac36-0242ff9ee44d"/>
        <s v="63e35525-d7d3-11ee-ac36-0242ff9ee44d"/>
        <s v="63e33209-d7d3-11ee-ac36-0242ff9ee44d"/>
        <s v="63e3193b-d7d3-11ee-ac36-0242ff9ee44d"/>
        <s v="63e34151-d7d3-11ee-ac36-0242ff9ee44d"/>
        <s v="63e3407d-d7d3-11ee-ac36-0242ff9ee44d"/>
        <s v="63e3522f-d7d3-11ee-ac36-0242ff9ee44d"/>
        <s v="63e314f8-d7d3-11ee-ac36-0242ff9ee44d"/>
        <s v="63e32069-d7d3-11ee-ac36-0242ff9ee44d"/>
        <s v="63e3709c-d7d3-11ee-ac36-0242ff9ee44d"/>
        <s v="63e31468-d7d3-11ee-ac36-0242ff9ee44d"/>
        <s v="63e3590e-d7d3-11ee-ac36-0242ff9ee44d"/>
        <s v="63e3b262-d7d3-11ee-ac36-0242ff9ee44d"/>
        <s v="63e38f7d-d7d3-11ee-ac36-0242ff9ee44d"/>
        <s v="63e3a04e-d7d3-11ee-ac36-0242ff9ee44d"/>
        <s v="63e3906a-d7d3-11ee-ac36-0242ff9ee44d"/>
        <s v="63e388d9-d7d3-11ee-ac36-0242ff9ee44d"/>
        <s v="63e3abba-d7d3-11ee-ac36-0242ff9ee44d"/>
        <s v="63e3c395-d7d3-11ee-ac36-0242ff9ee44d"/>
        <s v="63e339e2-d7d3-11ee-ac36-0242ff9ee44d"/>
        <s v="63e34b06-d7d3-11ee-ac36-0242ff9ee44d"/>
        <s v="63e37f68-d7d3-11ee-ac36-0242ff9ee44d"/>
        <s v="63e3492e-d7d3-11ee-ac36-0242ff9ee44d"/>
        <s v="63e39c52-d7d3-11ee-ac36-0242ff9ee44d"/>
        <s v="63e34d38-d7d3-11ee-ac36-0242ff9ee44d"/>
        <s v="63e334ad-d7d3-11ee-ac36-0242ff9ee44d"/>
        <s v="63e3461b-d7d3-11ee-ac36-0242ff9ee44d"/>
        <s v="63e38e8f-d7d3-11ee-ac36-0242ff9ee44d"/>
        <s v="63e359bb-d7d3-11ee-ac36-0242ff9ee44d"/>
        <s v="63e38b6e-d7d3-11ee-ac36-0242ff9ee44d"/>
        <s v="63e3a41a-d7d3-11ee-ac36-0242ff9ee44d"/>
        <s v="63e33f97-d7d3-11ee-ac36-0242ff9ee44d"/>
        <s v="63e39ca8-d7d3-11ee-ac36-0242ff9ee44d"/>
        <s v="63e3b277-d7d3-11ee-ac36-0242ff9ee44d"/>
        <s v="63e3923f-d7d3-11ee-ac36-0242ff9ee44d"/>
        <s v="63e32868-d7d3-11ee-ac36-0242ff9ee44d"/>
        <s v="63e31f2f-d7d3-11ee-ac36-0242ff9ee44d"/>
        <s v="63e31089-d7d3-11ee-ac36-0242ff9ee44d"/>
        <s v="63e372e8-d7d3-11ee-ac36-0242ff9ee44d"/>
        <s v="63e3a653-d7d3-11ee-ac36-0242ff9ee44d"/>
        <s v="63e39a0d-d7d3-11ee-ac36-0242ff9ee44d"/>
        <s v="63e3cfa2-d7d3-11ee-ac36-0242ff9ee44d"/>
        <s v="63e3b08f-d7d3-11ee-ac36-0242ff9ee44d"/>
        <s v="63e3756b-d7d3-11ee-ac36-0242ff9ee44d"/>
        <s v="63e3acf7-d7d3-11ee-ac36-0242ff9ee44d"/>
        <s v="63e31e87-d7d3-11ee-ac36-0242ff9ee44d"/>
        <s v="63e3526d-d7d3-11ee-ac36-0242ff9ee44d"/>
        <s v="63e32d1d-d7d3-11ee-ac36-0242ff9ee44d"/>
        <s v="63e337e6-d7d3-11ee-ac36-0242ff9ee44d"/>
        <s v="63e38e7a-d7d3-11ee-ac36-0242ff9ee44d"/>
        <s v="63e325c9-d7d3-11ee-ac36-0242ff9ee44d"/>
        <s v="63e3a0ba-d7d3-11ee-ac36-0242ff9ee44d"/>
        <s v="63e3c156-d7d3-11ee-ac36-0242ff9ee44d"/>
        <s v="63e34de8-d7d3-11ee-ac36-0242ff9ee44d"/>
        <s v="63e363f2-d7d3-11ee-ac36-0242ff9ee44d"/>
        <s v="63e3c5a2-d7d3-11ee-ac36-0242ff9ee44d"/>
        <s v="63e3a039-d7d3-11ee-ac36-0242ff9ee44d"/>
        <s v="63e3c536-d7d3-11ee-ac36-0242ff9ee44d"/>
        <s v="63e37758-d7d3-11ee-ac36-0242ff9ee44d"/>
        <s v="63e3237b-d7d3-11ee-ac36-0242ff9ee44d"/>
        <s v="63e3c9d3-d7d3-11ee-ac36-0242ff9ee44d"/>
        <s v="63e351ef-d7d3-11ee-ac36-0242ff9ee44d"/>
        <s v="63e3d022-d7d3-11ee-ac36-0242ff9ee44d"/>
        <s v="63e31305-d7d3-11ee-ac36-0242ff9ee44d"/>
        <s v="63e338fb-d7d3-11ee-ac36-0242ff9ee44d"/>
        <s v="63e34190-d7d3-11ee-ac36-0242ff9ee44d"/>
        <s v="63e328bb-d7d3-11ee-ac36-0242ff9ee44d"/>
        <s v="63e39455-d7d3-11ee-ac36-0242ff9ee44d"/>
        <s v="63e3293d-d7d3-11ee-ac36-0242ff9ee44d"/>
        <s v="63e3c611-d7d3-11ee-ac36-0242ff9ee44d"/>
        <s v="63e3b022-d7d3-11ee-ac36-0242ff9ee44d"/>
        <s v="63e328d0-d7d3-11ee-ac36-0242ff9ee44d"/>
        <s v="63e34533-d7d3-11ee-ac36-0242ff9ee44d"/>
        <s v="63e32ddc-d7d3-11ee-ac36-0242ff9ee44d"/>
        <s v="63e3207e-d7d3-11ee-ac36-0242ff9ee44d"/>
        <s v="63e39986-d7d3-11ee-ac36-0242ff9ee44d"/>
        <s v="63e3a8b4-d7d3-11ee-ac36-0242ff9ee44d"/>
        <s v="63e32093-d7d3-11ee-ac36-0242ff9ee44d"/>
        <s v="63e350c1-d7d3-11ee-ac36-0242ff9ee44d"/>
        <s v="63e355e9-d7d3-11ee-ac36-0242ff9ee44d"/>
        <s v="63e337fc-d7d3-11ee-ac36-0242ff9ee44d"/>
        <s v="63e36588-d7d3-11ee-ac36-0242ff9ee44d"/>
        <s v="63e31ac6-d7d3-11ee-ac36-0242ff9ee44d"/>
        <s v="63e3aeb9-d7d3-11ee-ac36-0242ff9ee44d"/>
        <s v="63e32f58-d7d3-11ee-ac36-0242ff9ee44d"/>
        <s v="63e389f0-d7d3-11ee-ac36-0242ff9ee44d"/>
        <s v="63e33edb-d7d3-11ee-ac36-0242ff9ee44d"/>
        <s v="63e3b638-d7d3-11ee-ac36-0242ff9ee44d"/>
        <s v="63e32853-d7d3-11ee-ac36-0242ff9ee44d"/>
        <s v="63e3c77a-d7d3-11ee-ac36-0242ff9ee44d"/>
        <s v="63e3b379-d7d3-11ee-ac36-0242ff9ee44d"/>
        <s v="63e33963-d7d3-11ee-ac36-0242ff9ee44d"/>
        <s v="63e34b94-d7d3-11ee-ac36-0242ff9ee44d"/>
        <s v="63e3434a-d7d3-11ee-ac36-0242ff9ee44d"/>
        <s v="63e32df2-d7d3-11ee-ac36-0242ff9ee44d"/>
        <s v="63e343b3-d7d3-11ee-ac36-0242ff9ee44d"/>
        <s v="63e39970-d7d3-11ee-ac36-0242ff9ee44d"/>
        <s v="63e30e2d-d7d3-11ee-ac36-0242ff9ee44d"/>
        <s v="63e3948f-d7d3-11ee-ac36-0242ff9ee44d"/>
        <s v="63e3150e-d7d3-11ee-ac36-0242ff9ee44d"/>
        <s v="63e31522-d7d3-11ee-ac36-0242ff9ee44d"/>
        <s v="63e3995b-d7d3-11ee-ac36-0242ff9ee44d"/>
        <s v="63e3be12-d7d3-11ee-ac36-0242ff9ee44d"/>
        <s v="63e35244-d7d3-11ee-ac36-0242ff9ee44d"/>
        <s v="63e32e70-d7d3-11ee-ac36-0242ff9ee44d"/>
        <s v="63e38c16-d7d3-11ee-ac36-0242ff9ee44d"/>
        <s v="63e32a9d-d7d3-11ee-ac36-0242ff9ee44d"/>
        <s v="63e332b0-d7d3-11ee-ac36-0242ff9ee44d"/>
        <s v="63e3a547-d7d3-11ee-ac36-0242ff9ee44d"/>
        <s v="63e31a5c-d7d3-11ee-ac36-0242ff9ee44d"/>
        <s v="63e3c296-d7d3-11ee-ac36-0242ff9ee44d"/>
        <s v="63e32ef0-d7d3-11ee-ac36-0242ff9ee44d"/>
        <s v="63e33866-d7d3-11ee-ac36-0242ff9ee44d"/>
        <s v="63e3a948-d7d3-11ee-ac36-0242ff9ee44d"/>
        <s v="63e3c954-d7d3-11ee-ac36-0242ff9ee44d"/>
        <s v="63e3147d-d7d3-11ee-ac36-0242ff9ee44d"/>
        <s v="63e33399-d7d3-11ee-ac36-0242ff9ee44d"/>
        <s v="63e3a3c7-d7d3-11ee-ac36-0242ff9ee44d"/>
        <s v="63e346dd-d7d3-11ee-ac36-0242ff9ee44d"/>
        <s v="63e33db8-d7d3-11ee-ac36-0242ff9ee44d"/>
        <s v="63e36b5d-d7d3-11ee-ac36-0242ff9ee44d"/>
        <s v="63e33724-d7d3-11ee-ac36-0242ff9ee44d"/>
        <s v="63e3aa1f-d7d3-11ee-ac36-0242ff9ee44d"/>
        <s v="63e31537-d7d3-11ee-ac36-0242ff9ee44d"/>
        <s v="63e39f52-d7d3-11ee-ac36-0242ff9ee44d"/>
        <s v="63e32ac7-d7d3-11ee-ac36-0242ff9ee44d"/>
        <s v="63e37717-d7d3-11ee-ac36-0242ff9ee44d"/>
        <s v="63e33540-d7d3-11ee-ac36-0242ff9ee44d"/>
        <s v="63e31254-d7d3-11ee-ac36-0242ff9ee44d"/>
        <s v="63e37ebc-d7d3-11ee-ac36-0242ff9ee44d"/>
        <s v="63e3a183-d7d3-11ee-ac36-0242ff9ee44d"/>
        <s v="63e32328-d7d3-11ee-ac36-0242ff9ee44d"/>
        <s v="63e31a86-d7d3-11ee-ac36-0242ff9ee44d"/>
        <s v="89624381-f159-4ee2-99a4-98eb441ba06b"/>
        <s v="63e33e5f-d7d3-11ee-ac36-0242ff9ee44d"/>
        <s v="63e31144-d7d3-11ee-ac36-0242ff9ee44d"/>
        <s v="63e3ae79-d7d3-11ee-ac36-0242ff9ee44d"/>
        <s v="63e33b35-d7d3-11ee-ac36-0242ff9ee44d"/>
        <s v="63e3794d-d7d3-11ee-ac36-0242ff9ee44d"/>
        <s v="63e38d25-d7d3-11ee-ac36-0242ff9ee44d"/>
        <s v="63e326b5-d7d3-11ee-ac36-0242ff9ee44d"/>
        <s v="63e3b4bd-d7d3-11ee-ac36-0242ff9ee44d"/>
        <s v="63e31492-d7d3-11ee-ac36-0242ff9ee44d"/>
        <s v="63e3532f-d7d3-11ee-ac36-0242ff9ee44d"/>
        <s v="63e34746-d7d3-11ee-ac36-0242ff9ee44d"/>
        <s v="63e328a5-d7d3-11ee-ac36-0242ff9ee44d"/>
        <s v="63e3954b-d7d3-11ee-ac36-0242ff9ee44d"/>
        <s v="63e3cc4c-d7d3-11ee-ac36-0242ff9ee44d"/>
        <s v="63e3b10f-d7d3-11ee-ac36-0242ff9ee44d"/>
        <s v="63e39b33-d7d3-11ee-ac36-0242ff9ee44d"/>
        <s v="63e31fcc-d7d3-11ee-ac36-0242ff9ee44d"/>
        <s v="63e3a4f2-d7d3-11ee-ac36-0242ff9ee44d"/>
        <s v="63e36cb3-d7d3-11ee-ac36-0242ff9ee44d"/>
        <s v="63e3b411-d7d3-11ee-ac36-0242ff9ee44d"/>
        <s v="63e31c94-d7d3-11ee-ac36-0242ff9ee44d"/>
        <s v="63e3b2f5-d7d3-11ee-ac36-0242ff9ee44d"/>
        <s v="63e315f3-d7d3-11ee-ac36-0242ff9ee44d"/>
        <s v="63e3173e-d7d3-11ee-ac36-0242ff9ee44d"/>
        <s v="63e3b04e-d7d3-11ee-ac36-0242ff9ee44d"/>
        <s v="63e3b80a-d7d3-11ee-ac36-0242ff9ee44d"/>
        <s v="63e35ea9-d7d3-11ee-ac36-0242ff9ee44d"/>
        <s v="63e3c416-d7d3-11ee-ac36-0242ff9ee44d"/>
        <s v="63e32fac-d7d3-11ee-ac36-0242ff9ee44d"/>
        <s v="63e320a8-d7d3-11ee-ac36-0242ff9ee44d"/>
        <s v="63e385e8-d7d3-11ee-ac36-0242ff9ee44d"/>
        <s v="63e35259-d7d3-11ee-ac36-0242ff9ee44d"/>
        <s v="63e3403f-d7d3-11ee-ac36-0242ff9ee44d"/>
        <s v="63e314a6-d7d3-11ee-ac36-0242ff9ee44d"/>
        <s v="63e3212f-d7d3-11ee-ac36-0242ff9ee44d"/>
        <s v="63e372fe-d7d3-11ee-ac36-0242ff9ee44d"/>
        <s v="63e3823e-d7d3-11ee-ac36-0242ff9ee44d"/>
        <s v="63e384a7-d7d3-11ee-ac36-0242ff9ee44d"/>
        <s v="63e3ac79-d7d3-11ee-ac36-0242ff9ee44d"/>
        <s v="63e3784b-d7d3-11ee-ac36-0242ff9ee44d"/>
        <s v="63e389c5-d7d3-11ee-ac36-0242ff9ee44d"/>
        <s v="63e3430b-d7d3-11ee-ac36-0242ff9ee44d"/>
        <s v="63e30fe2-d7d3-11ee-ac36-0242ff9ee44d"/>
        <s v="63e3342e-d7d3-11ee-ac36-0242ff9ee44d"/>
        <s v="63e37b7c-d7d3-11ee-ac36-0242ff9ee44d"/>
        <s v="63e39ffa-d7d3-11ee-ac36-0242ff9ee44d"/>
        <s v="63e35302-d7d3-11ee-ac36-0242ff9ee44d"/>
        <s v="63e30cdf-d7d3-11ee-ac36-0242ff9ee44d"/>
        <s v="63e3c750-d7d3-11ee-ac36-0242ff9ee44d"/>
        <s v="63e3335a-d7d3-11ee-ac36-0242ff9ee44d"/>
        <s v="63e38552-d7d3-11ee-ac36-0242ff9ee44d"/>
        <s v="63e376d7-d7d3-11ee-ac36-0242ff9ee44d"/>
        <s v="63e32b30-d7d3-11ee-ac36-0242ff9ee44d"/>
        <s v="63e35e66-d7d3-11ee-ac36-0242ff9ee44d"/>
        <s v="63e33499-d7d3-11ee-ac36-0242ff9ee44d"/>
        <s v="63e38592-d7d3-11ee-ac36-0242ff9ee44d"/>
        <s v="63e37e23-d7d3-11ee-ac36-0242ff9ee44d"/>
        <s v="63e31ea4-d7d3-11ee-ac36-0242ff9ee44d"/>
        <s v="63e365af-d7d3-11ee-ac36-0242ff9ee44d"/>
        <s v="63e36f86-d7d3-11ee-ac36-0242ff9ee44d"/>
        <s v="63e3896e-d7d3-11ee-ac36-0242ff9ee44d"/>
        <s v="63e3c3a9-d7d3-11ee-ac36-0242ff9ee44d"/>
        <s v="63e3331a-d7d3-11ee-ac36-0242ff9ee44d"/>
        <s v="63e32968-d7d3-11ee-ac36-0242ff9ee44d"/>
        <s v="63e37056-d7d3-11ee-ac36-0242ff9ee44d"/>
        <s v="63e329c3-d7d3-11ee-ac36-0242ff9ee44d"/>
        <s v="63e37427-d7d3-11ee-ac36-0242ff9ee44d"/>
        <s v="63e31699-d7d3-11ee-ac36-0242ff9ee44d"/>
        <s v="63e3336f-d7d3-11ee-ac36-0242ff9ee44d"/>
        <s v="63e312f1-d7d3-11ee-ac36-0242ff9ee44d"/>
        <s v="63e3a872-d7d3-11ee-ac36-0242ff9ee44d"/>
        <s v="63e35281-d7d3-11ee-ac36-0242ff9ee44d"/>
        <s v="63e3a0a4-d7d3-11ee-ac36-0242ff9ee44d"/>
        <s v="63e3b4d2-d7d3-11ee-ac36-0242ff9ee44d"/>
        <s v="63e383c2-d7d3-11ee-ac36-0242ff9ee44d"/>
        <s v="63e36439-d7d3-11ee-ac36-0242ff9ee44d"/>
        <s v="63e34883-d7d3-11ee-ac36-0242ff9ee44d"/>
        <s v="63e31822-d7d3-11ee-ac36-0242ff9ee44d"/>
        <s v="63e3394e-d7d3-11ee-ac36-0242ff9ee44d"/>
        <s v="63e3482e-d7d3-11ee-ac36-0242ff9ee44d"/>
        <s v="63e36364-d7d3-11ee-ac36-0242ff9ee44d"/>
        <s v="63e3762f-d7d3-11ee-ac36-0242ff9ee44d"/>
        <s v="63e32145-d7d3-11ee-ac36-0242ff9ee44d"/>
        <s v="63e3be9b-d7d3-11ee-ac36-0242ff9ee44d"/>
        <s v="63e333ae-d7d3-11ee-ac36-0242ff9ee44d"/>
        <s v="63e30d49-d7d3-11ee-ac36-0242ff9ee44d"/>
        <s v="63e384e8-d7d3-11ee-ac36-0242ff9ee44d"/>
        <s v="63e39b1e-d7d3-11ee-ac36-0242ff9ee44d"/>
        <s v="63e3a1c2-d7d3-11ee-ac36-0242ff9ee44d"/>
        <s v="63e30d32-d7d3-11ee-ac36-0242ff9ee44d"/>
        <s v="63e3c8d1-d7d3-11ee-ac36-0242ff9ee44d"/>
        <s v="63e39169-d7d3-11ee-ac36-0242ff9ee44d"/>
        <s v="63e32159-d7d3-11ee-ac36-0242ff9ee44d"/>
        <s v="63e36ed8-d7d3-11ee-ac36-0242ff9ee44d"/>
        <s v="63e32b71-d7d3-11ee-ac36-0242ff9ee44d"/>
        <s v="63e385d3-d7d3-11ee-ac36-0242ff9ee44d"/>
        <s v="63e3853d-d7d3-11ee-ac36-0242ff9ee44d"/>
        <s v="63e34e67-d7d3-11ee-ac36-0242ff9ee44d"/>
        <s v="63e33418-d7d3-11ee-ac36-0242ff9ee44d"/>
        <s v="63e3b062-d7d3-11ee-ac36-0242ff9ee44d"/>
        <s v="63e3216e-d7d3-11ee-ac36-0242ff9ee44d"/>
        <s v="63e3776e-d7d3-11ee-ac36-0242ff9ee44d"/>
        <s v="63e30f3a-d7d3-11ee-ac36-0242ff9ee44d"/>
        <s v="63e32e46-d7d3-11ee-ac36-0242ff9ee44d"/>
        <s v="63e32927-d7d3-11ee-ac36-0242ff9ee44d"/>
        <s v="63e32a08-d7d3-11ee-ac36-0242ff9ee44d"/>
        <s v="63e32a32-d7d3-11ee-ac36-0242ff9ee44d"/>
        <s v="63e33484-d7d3-11ee-ac36-0242ff9ee44d"/>
        <s v="63e31184-d7d3-11ee-ac36-0242ff9ee44d"/>
        <s v="63e3aaa3-d7d3-11ee-ac36-0242ff9ee44d"/>
        <s v="63e3448a-d7d3-11ee-ac36-0242ff9ee44d"/>
        <s v="63e31286-d7d3-11ee-ac36-0242ff9ee44d"/>
        <s v="63e38bac-d7d3-11ee-ac36-0242ff9ee44d"/>
        <s v="63e337d2-d7d3-11ee-ac36-0242ff9ee44d"/>
        <s v="63e33459-d7d3-11ee-ac36-0242ff9ee44d"/>
        <s v="63e38669-d7d3-11ee-ac36-0242ff9ee44d"/>
        <s v="63e35f11-d7d3-11ee-ac36-0242ff9ee44d"/>
        <s v="63e38aac-d7d3-11ee-ac36-0242ff9ee44d"/>
        <s v="63e32911-d7d3-11ee-ac36-0242ff9ee44d"/>
        <s v="63e37088-d7d3-11ee-ac36-0242ff9ee44d"/>
        <s v="63e390ff-d7d3-11ee-ac36-0242ff9ee44d"/>
        <s v="63e33763-d7d3-11ee-ac36-0242ff9ee44d"/>
        <s v="63e34100-d7d3-11ee-ac36-0242ff9ee44d"/>
        <s v="63e3154b-d7d3-11ee-ac36-0242ff9ee44d"/>
        <s v="63e326f4-d7d3-11ee-ac36-0242ff9ee44d"/>
        <s v="63e385fc-d7d3-11ee-ac36-0242ff9ee44d"/>
        <s v="63e372bf-d7d3-11ee-ac36-0242ff9ee44d"/>
        <s v="63e352d6-d7d3-11ee-ac36-0242ff9ee44d"/>
        <s v="63e31c7f-d7d3-11ee-ac36-0242ff9ee44d"/>
        <s v="63e3bcae-d7d3-11ee-ac36-0242ff9ee44d"/>
        <s v="63e337a7-d7d3-11ee-ac36-0242ff9ee44d"/>
        <s v="63e37701-d7d3-11ee-ac36-0242ff9ee44d"/>
        <s v="63e3417b-d7d3-11ee-ac36-0242ff9ee44d"/>
        <s v="63e31560-d7d3-11ee-ac36-0242ff9ee44d"/>
        <s v="63e34054-d7d3-11ee-ac36-0242ff9ee44d"/>
        <s v="63e30bf3-d7d3-11ee-ac36-0242ff9ee44d"/>
        <s v="63e31074-d7d3-11ee-ac36-0242ff9ee44d"/>
        <s v="63e32183-d7d3-11ee-ac36-0242ff9ee44d"/>
        <s v="63e385a7-d7d3-11ee-ac36-0242ff9ee44d"/>
        <s v="63e32197-d7d3-11ee-ac36-0242ff9ee44d"/>
        <s v="63e397f7-d7d3-11ee-ac36-0242ff9ee44d"/>
        <s v="63e367e1-d7d3-11ee-ac36-0242ff9ee44d"/>
        <s v="63e398b3-d7d3-11ee-ac36-0242ff9ee44d"/>
        <s v="63e362bf-d7d3-11ee-ac36-0242ff9ee44d"/>
        <s v="63e33287-d7d3-11ee-ac36-0242ff9ee44d"/>
        <s v="63e39836-d7d3-11ee-ac36-0242ff9ee44d"/>
        <s v="63e348af-d7d3-11ee-ac36-0242ff9ee44d"/>
        <s v="63e3cff7-d7d3-11ee-ac36-0242ff9ee44d"/>
        <s v="63e34607-d7d3-11ee-ac36-0242ff9ee44d"/>
        <s v="63e31574-d7d3-11ee-ac36-0242ff9ee44d"/>
        <s v="63e3c927-d7d3-11ee-ac36-0242ff9ee44d"/>
        <s v="63e3b4e7-d7d3-11ee-ac36-0242ff9ee44d"/>
        <s v="63e3c764-d7d3-11ee-ac36-0242ff9ee44d"/>
        <s v="63e39efb-d7d3-11ee-ac36-0242ff9ee44d"/>
        <s v="63e3c1e0-d7d3-11ee-ac36-0242ff9ee44d"/>
        <s v="63e35b5c-d7d3-11ee-ac36-0242ff9ee44d"/>
        <s v="63e34ca9-d7d3-11ee-ac36-0242ff9ee44d"/>
        <s v="63e3c3be-d7d3-11ee-ac36-0242ff9ee44d"/>
        <s v="63e345c5-d7d3-11ee-ac36-0242ff9ee44d"/>
        <s v="63e3314c-d7d3-11ee-ac36-0242ff9ee44d"/>
        <s v="63e3ad79-d7d3-11ee-ac36-0242ff9ee44d"/>
        <s v="63e381c1-d7d3-11ee-ac36-0242ff9ee44d"/>
        <s v="63e3413d-d7d3-11ee-ac36-0242ff9ee44d"/>
        <s v="63e3aa77-d7d3-11ee-ac36-0242ff9ee44d"/>
        <s v="63e391bc-d7d3-11ee-ac36-0242ff9ee44d"/>
        <s v="63e31875-d7d3-11ee-ac36-0242ff9ee44d"/>
        <s v="63e39f11-d7d3-11ee-ac36-0242ff9ee44d"/>
        <s v="63e3435e-d7d3-11ee-ac36-0242ff9ee44d"/>
        <s v="63e36f71-d7d3-11ee-ac36-0242ff9ee44d"/>
        <s v="63e36f9c-d7d3-11ee-ac36-0242ff9ee44d"/>
        <s v="63e32891-d7d3-11ee-ac36-0242ff9ee44d"/>
        <s v="63e394a4-d7d3-11ee-ac36-0242ff9ee44d"/>
        <s v="63e31716-d7d3-11ee-ac36-0242ff9ee44d"/>
        <s v="63e30db2-d7d3-11ee-ac36-0242ff9ee44d"/>
        <s v="63e30d1d-d7d3-11ee-ac36-0242ff9ee44d"/>
        <s v="63e39115-d7d3-11ee-ac36-0242ff9ee44d"/>
        <s v="63e30c30-d7d3-11ee-ac36-0242ff9ee44d"/>
        <s v="63e3c1c8-d7d3-11ee-ac36-0242ff9ee44d"/>
        <s v="63e3248d-d7d3-11ee-ac36-0242ff9ee44d"/>
        <s v="63e37605-d7d3-11ee-ac36-0242ff9ee44d"/>
        <s v="63e39a8b-d7d3-11ee-ac36-0242ff9ee44d"/>
        <s v="63e370f5-d7d3-11ee-ac36-0242ff9ee44d"/>
        <s v="63e30f64-d7d3-11ee-ac36-0242ff9ee44d"/>
        <s v="63e36f5c-d7d3-11ee-ac36-0242ff9ee44d"/>
        <s v="63e3bef9-d7d3-11ee-ac36-0242ff9ee44d"/>
        <s v="63e33403-d7d3-11ee-ac36-0242ff9ee44d"/>
        <s v="63e373ce-d7d3-11ee-ac36-0242ff9ee44d"/>
        <s v="63e39a23-d7d3-11ee-ac36-0242ff9ee44d"/>
        <s v="63e341e4-d7d3-11ee-ac36-0242ff9ee44d"/>
        <s v="63e31d8e-d7d3-11ee-ac36-0242ff9ee44d"/>
        <s v="63e369f3-d7d3-11ee-ac36-0242ff9ee44d"/>
        <s v="63e39521-d7d3-11ee-ac36-0242ff9ee44d"/>
        <s v="63e3c3d3-d7d3-11ee-ac36-0242ff9ee44d"/>
        <s v="63e38808-d7d3-11ee-ac36-0242ff9ee44d"/>
        <s v="63e30a97-d7d3-11ee-ac36-0242ff9ee44d"/>
        <s v="63e3b5a6-d7d3-11ee-ac36-0242ff9ee44d"/>
        <s v="63e334c2-d7d3-11ee-ac36-0242ff9ee44d"/>
        <s v="63e38ed0-d7d3-11ee-ac36-0242ff9ee44d"/>
        <s v="63e36811-d7d3-11ee-ac36-0242ff9ee44d"/>
        <s v="63e3bee2-d7d3-11ee-ac36-0242ff9ee44d"/>
        <s v="63e3233d-d7d3-11ee-ac36-0242ff9ee44d"/>
        <s v="63e31836-d7d3-11ee-ac36-0242ff9ee44d"/>
        <s v="63e334d7-d7d3-11ee-ac36-0242ff9ee44d"/>
        <s v="63e39b49-d7d3-11ee-ac36-0242ff9ee44d"/>
        <s v="63e338e6-d7d3-11ee-ac36-0242ff9ee44d"/>
        <s v="63e340ea-d7d3-11ee-ac36-0242ff9ee44d"/>
        <s v="63e394b9-d7d3-11ee-ac36-0242ff9ee44d"/>
        <s v="63e3a8c9-d7d3-11ee-ac36-0242ff9ee44d"/>
        <s v="63e34000-d7d3-11ee-ac36-0242ff9ee44d"/>
        <s v="63e36987-d7d3-11ee-ac36-0242ff9ee44d"/>
        <s v="63e39213-d7d3-11ee-ac36-0242ff9ee44d"/>
        <s v="63e31d50-d7d3-11ee-ac36-0242ff9ee44d"/>
        <s v="63e36414-d7d3-11ee-ac36-0242ff9ee44d"/>
        <s v="63e37ee8-d7d3-11ee-ac36-0242ff9ee44d"/>
        <s v="63e3b678-d7d3-11ee-ac36-0242ff9ee44d"/>
        <s v="63e338d0-d7d3-11ee-ac36-0242ff9ee44d"/>
        <s v="63e337bd-d7d3-11ee-ac36-0242ff9ee44d"/>
        <s v="63e3a973-d7d3-11ee-ac36-0242ff9ee44d"/>
        <s v="63e31b82-d7d3-11ee-ac36-0242ff9ee44d"/>
        <s v="63e3489a-d7d3-11ee-ac36-0242ff9ee44d"/>
        <s v="63e3cb19-d7d3-11ee-ac36-0242ff9ee44d"/>
        <s v="63e3c2d7-d7d3-11ee-ac36-0242ff9ee44d"/>
        <s v="63e3c868-d7d3-11ee-ac36-0242ff9ee44d"/>
        <s v="63e3ab8f-d7d3-11ee-ac36-0242ff9ee44d"/>
        <s v="63e36a09-d7d3-11ee-ac36-0242ff9ee44d"/>
        <s v="63e3aef8-d7d3-11ee-ac36-0242ff9ee44d"/>
        <s v="63e3a99d-d7d3-11ee-ac36-0242ff9ee44d"/>
        <s v="63e398f1-d7d3-11ee-ac36-0242ff9ee44d"/>
        <s v="63e3ce6a-d7d3-11ee-ac36-0242ff9ee44d"/>
        <s v="63e3cc62-d7d3-11ee-ac36-0242ff9ee44d"/>
        <s v="63e39b60-d7d3-11ee-ac36-0242ff9ee44d"/>
        <s v="63e3593b-d7d3-11ee-ac36-0242ff9ee44d"/>
        <s v="63e3ae24-d7d3-11ee-ac36-0242ff9ee44d"/>
        <s v="63e33812-d7d3-11ee-ac36-0242ff9ee44d"/>
        <s v="63e3b7f5-d7d3-11ee-ac36-0242ff9ee44d"/>
        <s v="63e3428e-d7d3-11ee-ac36-0242ff9ee44d"/>
        <s v="63e34db9-d7d3-11ee-ac36-0242ff9ee44d"/>
        <s v="63e32e06-d7d3-11ee-ac36-0242ff9ee44d"/>
        <s v="63e32e84-d7d3-11ee-ac36-0242ff9ee44d"/>
        <s v="63e316ae-d7d3-11ee-ac36-0242ff9ee44d"/>
        <s v="63e3131a-d7d3-11ee-ac36-0242ff9ee44d"/>
        <s v="63e328e5-d7d3-11ee-ac36-0242ff9ee44d"/>
        <s v="63e3abf8-d7d3-11ee-ac36-0242ff9ee44d"/>
        <s v="63e33851-d7d3-11ee-ac36-0242ff9ee44d"/>
        <s v="63e319a2-d7d3-11ee-ac36-0242ff9ee44d"/>
        <s v="63e3c36a-d7d3-11ee-ac36-0242ff9ee44d"/>
        <s v="63e3c45f-d7d3-11ee-ac36-0242ff9ee44d"/>
        <s v="63e3af7f-d7d3-11ee-ac36-0242ff9ee44d"/>
        <s v="63e3ada3-d7d3-11ee-ac36-0242ff9ee44d"/>
        <s v="63e35877-d7d3-11ee-ac36-0242ff9ee44d"/>
        <s v="63e39db4-d7d3-11ee-ac36-0242ff9ee44d"/>
        <s v="63e37efd-d7d3-11ee-ac36-0242ff9ee44d"/>
        <s v="63e3a8de-d7d3-11ee-ac36-0242ff9ee44d"/>
        <s v="63e39bba-d7d3-11ee-ac36-0242ff9ee44d"/>
        <s v="63e3b74b-d7d3-11ee-ac36-0242ff9ee44d"/>
        <s v="63e38c40-d7d3-11ee-ac36-0242ff9ee44d"/>
        <s v="63e39193-d7d3-11ee-ac36-0242ff9ee44d"/>
        <s v="63e38832-d7d3-11ee-ac36-0242ff9ee44d"/>
        <s v="63e310dc-d7d3-11ee-ac36-0242ff9ee44d"/>
        <s v="63e325a1-d7d3-11ee-ac36-0242ff9ee44d"/>
        <s v="63e3132f-d7d3-11ee-ac36-0242ff9ee44d"/>
        <s v="63e37d66-d7d3-11ee-ac36-0242ff9ee44d"/>
        <s v="63e354f8-d7d3-11ee-ac36-0242ff9ee44d"/>
        <s v="63e3727f-d7d3-11ee-ac36-0242ff9ee44d"/>
        <s v="63e3122a-d7d3-11ee-ac36-0242ff9ee44d"/>
        <s v="63e33091-d7d3-11ee-ac36-0242ff9ee44d"/>
        <s v="63e37517-d7d3-11ee-ac36-0242ff9ee44d"/>
        <s v="63e3b38e-d7d3-11ee-ac36-0242ff9ee44d"/>
        <s v="63e39dc9-d7d3-11ee-ac36-0242ff9ee44d"/>
        <s v="63e3c691-d7d3-11ee-ac36-0242ff9ee44d"/>
        <s v="63e39c93-d7d3-11ee-ac36-0242ff9ee44d"/>
        <s v="63e34905-d7d3-11ee-ac36-0242ff9ee44d"/>
        <s v="63e32677-d7d3-11ee-ac36-0242ff9ee44d"/>
        <s v="63e31ec2-d7d3-11ee-ac36-0242ff9ee44d"/>
        <s v="63e36143-d7d3-11ee-ac36-0242ff9ee44d"/>
        <s v="63e39d02-d7d3-11ee-ac36-0242ff9ee44d"/>
        <s v="63e3700a-d7d3-11ee-ac36-0242ff9ee44d"/>
        <s v="63e38d0f-d7d3-11ee-ac36-0242ff9ee44d"/>
        <s v="63e39be6-d7d3-11ee-ac36-0242ff9ee44d"/>
        <s v="63e36d9d-d7d3-11ee-ac36-0242ff9ee44d"/>
        <s v="63e36032-d7d3-11ee-ac36-0242ff9ee44d"/>
        <s v="63e3bf27-d7d3-11ee-ac36-0242ff9ee44d"/>
        <s v="63e3b0ce-d7d3-11ee-ac36-0242ff9ee44d"/>
        <s v="63e394cf-d7d3-11ee-ac36-0242ff9ee44d"/>
        <s v="63e32b1b-d7d3-11ee-ac36-0242ff9ee44d"/>
        <s v="63e394e3-d7d3-11ee-ac36-0242ff9ee44d"/>
        <s v="63e32a5e-d7d3-11ee-ac36-0242ff9ee44d"/>
        <s v="63e32351-d7d3-11ee-ac36-0242ff9ee44d"/>
        <s v="63e392ea-d7d3-11ee-ac36-0242ff9ee44d"/>
        <s v="63e3c711-d7d3-11ee-ac36-0242ff9ee44d"/>
        <s v="63e3a2c1-d7d3-11ee-ac36-0242ff9ee44d"/>
        <s v="63e31729-d7d3-11ee-ac36-0242ff9ee44d"/>
        <s v="63e36b87-d7d3-11ee-ac36-0242ff9ee44d"/>
        <s v="63e3cedf-d7d3-11ee-ac36-0242ff9ee44d"/>
        <s v="63e34449-d7d3-11ee-ac36-0242ff9ee44d"/>
        <s v="63e3ad8f-d7d3-11ee-ac36-0242ff9ee44d"/>
        <s v="63e3aaf8-d7d3-11ee-ac36-0242ff9ee44d"/>
        <s v="63e3c73a-d7d3-11ee-ac36-0242ff9ee44d"/>
        <s v="63e3a1ec-d7d3-11ee-ac36-0242ff9ee44d"/>
        <s v="63e30d9d-d7d3-11ee-ac36-0242ff9ee44d"/>
        <s v="63e35c66-d7d3-11ee-ac36-0242ff9ee44d"/>
        <s v="63e3a9de-d7d3-11ee-ac36-0242ff9ee44d"/>
        <s v="63e33890-d7d3-11ee-ac36-0242ff9ee44d"/>
        <s v="63e344b4-d7d3-11ee-ac36-0242ff9ee44d"/>
        <s v="63e38453-d7d3-11ee-ac36-0242ff9ee44d"/>
        <s v="63e31cd1-d7d3-11ee-ac36-0242ff9ee44d"/>
        <s v="63e339b8-d7d3-11ee-ac36-0242ff9ee44d"/>
        <s v="63e34771-d7d3-11ee-ac36-0242ff9ee44d"/>
        <s v="63e35d54-d7d3-11ee-ac36-0242ff9ee44d"/>
        <s v="63e37a79-d7d3-11ee-ac36-0242ff9ee44d"/>
        <s v="63e3a0d0-d7d3-11ee-ac36-0242ff9ee44d"/>
        <s v="63e3b364-d7d3-11ee-ac36-0242ff9ee44d"/>
        <s v="63e37a64-d7d3-11ee-ac36-0242ff9ee44d"/>
        <s v="63e3568d-d7d3-11ee-ac36-0242ff9ee44d"/>
        <s v="63e3479b-d7d3-11ee-ac36-0242ff9ee44d"/>
        <s v="63e35444-d7d3-11ee-ac36-0242ff9ee44d"/>
        <s v="63e3c5cd-d7d3-11ee-ac36-0242ff9ee44d"/>
        <s v="63e37c52-d7d3-11ee-ac36-0242ff9ee44d"/>
        <s v="63e366ee-d7d3-11ee-ac36-0242ff9ee44d"/>
        <s v="63e310b2-d7d3-11ee-ac36-0242ff9ee44d"/>
        <s v="63e38655-d7d3-11ee-ac36-0242ff9ee44d"/>
        <s v="63e3797a-d7d3-11ee-ac36-0242ff9ee44d"/>
        <s v="63e33a61-d7d3-11ee-ac36-0242ff9ee44d"/>
        <s v="63e3ad0c-d7d3-11ee-ac36-0242ff9ee44d"/>
        <s v="63e349f0-d7d3-11ee-ac36-0242ff9ee44d"/>
        <s v="63e31753-d7d3-11ee-ac36-0242ff9ee44d"/>
        <s v="63e34a85-d7d3-11ee-ac36-0242ff9ee44d"/>
        <s v="63e346f1-d7d3-11ee-ac36-0242ff9ee44d"/>
        <s v="63e394f7-d7d3-11ee-ac36-0242ff9ee44d"/>
        <s v="63e31f63-d7d3-11ee-ac36-0242ff9ee44d"/>
        <s v="63e30bca-d7d3-11ee-ac36-0242ff9ee44d"/>
        <s v="c75ff161-f601-4344-ad1e-2e3129a8a4c9"/>
        <s v="fd397a3a-ddd8-4f7c-b11c-bec64ffde438"/>
        <s v="16a44110-f257-41e9-96c8-ce03dce171b4"/>
        <s v="4729cf87-ee91-49f8-9115-b58ba5c6fe07"/>
        <s v="789a6e01-d6ab-4686-b8a3-702ca9f6111d"/>
        <s v="f861abc4-039f-4281-a255-1095c3f8c33a"/>
        <s v="1077304d-da15-4cce-9a67-1def149a6eb9"/>
        <s v="68b52d78-798b-4366-a3a3-292f4f2ffa66"/>
        <s v="63e32ed9-d7d3-11ee-ac36-0242ff9ee44d"/>
        <s v="63e34092-d7d3-11ee-ac36-0242ff9ee44d"/>
        <s v="63e3b1a1-d7d3-11ee-ac36-0242ff9ee44d"/>
        <s v="63e31d6f-d7d3-11ee-ac36-0242ff9ee44d"/>
        <s v="63e35b1f-d7d3-11ee-ac36-0242ff9ee44d"/>
        <s v="63e33ac9-d7d3-11ee-ac36-0242ff9ee44d"/>
        <s v="63e352ac-d7d3-11ee-ac36-0242ff9ee44d"/>
        <s v="63e35e44-d7d3-11ee-ac36-0242ff9ee44d"/>
        <s v="63e31a71-d7d3-11ee-ac36-0242ff9ee44d"/>
        <s v="63e3cf76-d7d3-11ee-ac36-0242ff9ee44d"/>
        <s v="63e3c50b-d7d3-11ee-ac36-0242ff9ee44d"/>
        <s v="63e3c6e6-d7d3-11ee-ac36-0242ff9ee44d"/>
        <s v="63e31f77-d7d3-11ee-ac36-0242ff9ee44d"/>
        <s v="63e3c1f6-d7d3-11ee-ac36-0242ff9ee44d"/>
        <s v="63e36aca-d7d3-11ee-ac36-0242ff9ee44d"/>
        <s v="63e34c95-d7d3-11ee-ac36-0242ff9ee44d"/>
        <s v="63e30d5d-d7d3-11ee-ac36-0242ff9ee44d"/>
        <s v="63e3ade4-d7d3-11ee-ac36-0242ff9ee44d"/>
        <s v="63e3a1d7-d7d3-11ee-ac36-0242ff9ee44d"/>
        <s v="63e33595-d7d3-11ee-ac36-0242ff9ee44d"/>
        <s v="63e3184b-d7d3-11ee-ac36-0242ff9ee44d"/>
        <s v="63e32f1a-d7d3-11ee-ac36-0242ff9ee44d"/>
        <s v="63e33613-d7d3-11ee-ac36-0242ff9ee44d"/>
        <s v="63e38a05-d7d3-11ee-ac36-0242ff9ee44d"/>
        <s v="63e38e26-d7d3-11ee-ac36-0242ff9ee44d"/>
        <s v="63e31d26-d7d3-11ee-ac36-0242ff9ee44d"/>
        <s v="63e30cc9-d7d3-11ee-ac36-0242ff9ee44d"/>
        <s v="63e33666-d7d3-11ee-ac36-0242ff9ee44d"/>
        <s v="63e3c4f5-d7d3-11ee-ac36-0242ff9ee44d"/>
        <s v="63e3535c-d7d3-11ee-ac36-0242ff9ee44d"/>
        <s v="63e315b5-d7d3-11ee-ac36-0242ff9ee44d"/>
        <s v="63e3b8f5-d7d3-11ee-ac36-0242ff9ee44d"/>
        <s v="63e3c54b-d7d3-11ee-ac36-0242ff9ee44d"/>
        <s v="63e39f90-d7d3-11ee-ac36-0242ff9ee44d"/>
        <s v="2f505f7e-17f8-43b5-9a73-f6e487d3d43d"/>
        <s v="63e31def-d7d3-11ee-ac36-0242ff9ee44d"/>
        <s v="63e3a257-d7d3-11ee-ac36-0242ff9ee44d"/>
        <s v="63e3a26c-d7d3-11ee-ac36-0242ff9ee44d"/>
        <s v="63e3aa35-d7d3-11ee-ac36-0242ff9ee44d"/>
        <s v="63e34944-d7d3-11ee-ac36-0242ff9ee44d"/>
        <s v="63e33501-d7d3-11ee-ac36-0242ff9ee44d"/>
        <s v="63e39e8f-d7d3-11ee-ac36-0242ff9ee44d"/>
        <s v="63e30c08-d7d3-11ee-ac36-0242ff9ee44d"/>
        <s v="63e33385-d7d3-11ee-ac36-0242ff9ee44d"/>
        <s v="63e39aa1-d7d3-11ee-ac36-0242ff9ee44d"/>
        <s v="63e31926-d7d3-11ee-ac36-0242ff9ee44d"/>
        <s v="63e338bb-d7d3-11ee-ac36-0242ff9ee44d"/>
        <s v="63e3310e-d7d3-11ee-ac36-0242ff9ee44d"/>
        <s v="63e392ff-d7d3-11ee-ac36-0242ff9ee44d"/>
        <s v="63e31979-d7d3-11ee-ac36-0242ff9ee44d"/>
        <s v="63e3512b-d7d3-11ee-ac36-0242ff9ee44d"/>
        <s v="63e3cfcd-d7d3-11ee-ac36-0242ff9ee44d"/>
        <s v="63e3a66d-d7d3-11ee-ac36-0242ff9ee44d"/>
        <s v="63e319f4-d7d3-11ee-ac36-0242ff9ee44d"/>
        <s v="63e32f44-d7d3-11ee-ac36-0242ff9ee44d"/>
        <s v="63e3303c-d7d3-11ee-ac36-0242ff9ee44d"/>
        <s v="63e34dfe-d7d3-11ee-ac36-0242ff9ee44d"/>
        <s v="63e37e4e-d7d3-11ee-ac36-0242ff9ee44d"/>
        <s v="63e3549a-d7d3-11ee-ac36-0242ff9ee44d"/>
        <s v="63e39a38-d7d3-11ee-ac36-0242ff9ee44d"/>
        <s v="63e33910-d7d3-11ee-ac36-0242ff9ee44d"/>
        <s v="63e37121-d7d3-11ee-ac36-0242ff9ee44d"/>
        <s v="63e32312-d7d3-11ee-ac36-0242ff9ee44d"/>
        <s v="63e399b3-d7d3-11ee-ac36-0242ff9ee44d"/>
        <s v="63e3475b-d7d3-11ee-ac36-0242ff9ee44d"/>
        <s v="63e3a6d9-d7d3-11ee-ac36-0242ff9ee44d"/>
        <s v="63e3c197-d7d3-11ee-ac36-0242ff9ee44d"/>
        <s v="63e399cf-d7d3-11ee-ac36-0242ff9ee44d"/>
        <s v="63e38611-d7d3-11ee-ac36-0242ff9ee44d"/>
        <s v="63e35c21-d7d3-11ee-ac36-0242ff9ee44d"/>
        <s v="63e3714c-d7d3-11ee-ac36-0242ff9ee44d"/>
        <s v="63e3943f-d7d3-11ee-ac36-0242ff9ee44d"/>
        <s v="63e3a5df-d7d3-11ee-ac36-0242ff9ee44d"/>
        <s v="63e3b124-d7d3-11ee-ac36-0242ff9ee44d"/>
        <s v="63e391a7-d7d3-11ee-ac36-0242ff9ee44d"/>
        <s v="63e32e5b-d7d3-11ee-ac36-0242ff9ee44d"/>
        <s v="63e34375-d7d3-11ee-ac36-0242ff9ee44d"/>
        <s v="63e3871a-d7d3-11ee-ac36-0242ff9ee44d"/>
        <s v="63e36a8b-d7d3-11ee-ac36-0242ff9ee44d"/>
        <s v="63e38730-d7d3-11ee-ac36-0242ff9ee44d"/>
        <s v="63e34970-d7d3-11ee-ac36-0242ff9ee44d"/>
        <s v="63e37580-d7d3-11ee-ac36-0242ff9ee44d"/>
        <s v="63e37211-d7d3-11ee-ac36-0242ff9ee44d"/>
        <s v="63e34af0-d7d3-11ee-ac36-0242ff9ee44d"/>
        <s v="63e34efb-d7d3-11ee-ac36-0242ff9ee44d"/>
        <s v="63e31398-d7d3-11ee-ac36-0242ff9ee44d"/>
        <s v="63e38746-d7d3-11ee-ac36-0242ff9ee44d"/>
        <s v="63e3363d-d7d3-11ee-ac36-0242ff9ee44d"/>
        <s v="63e316d7-d7d3-11ee-ac36-0242ff9ee44d"/>
        <s v="63e3545a-d7d3-11ee-ac36-0242ff9ee44d"/>
        <s v="63e34a59-d7d3-11ee-ac36-0242ff9ee44d"/>
        <s v="63e35d99-d7d3-11ee-ac36-0242ff9ee44d"/>
        <s v="63e3b3e5-d7d3-11ee-ac36-0242ff9ee44d"/>
        <s v="63e326df-d7d3-11ee-ac36-0242ff9ee44d"/>
        <s v="63e30def-d7d3-11ee-ac36-0242ff9ee44d"/>
        <s v="63e37a11-d7d3-11ee-ac36-0242ff9ee44d"/>
        <s v="63e387f2-d7d3-11ee-ac36-0242ff9ee44d"/>
        <s v="63e34263-d7d3-11ee-ac36-0242ff9ee44d"/>
        <s v="63e33da3-d7d3-11ee-ac36-0242ff9ee44d"/>
        <s v="63e3b552-d7d3-11ee-ac36-0242ff9ee44d"/>
        <s v="63e34ed0-d7d3-11ee-ac36-0242ff9ee44d"/>
        <s v="63e3bf3e-d7d3-11ee-ac36-0242ff9ee44d"/>
        <s v="63e37786-d7d3-11ee-ac36-0242ff9ee44d"/>
        <s v="63e3bf6b-d7d3-11ee-ac36-0242ff9ee44d"/>
        <s v="63e365d6-d7d3-11ee-ac36-0242ff9ee44d"/>
        <s v="63e343de-d7d3-11ee-ac36-0242ff9ee44d"/>
        <s v="63e30ba0-d7d3-11ee-ac36-0242ff9ee44d"/>
        <s v="63e343f4-d7d3-11ee-ac36-0242ff9ee44d"/>
        <s v="63e32d08-d7d3-11ee-ac36-0242ff9ee44d"/>
        <s v="63e3471c-d7d3-11ee-ac36-0242ff9ee44d"/>
        <s v="63e3c521-d7d3-11ee-ac36-0242ff9ee44d"/>
        <s v="63e3c83d-d7d3-11ee-ac36-0242ff9ee44d"/>
        <s v="63e35a3b-d7d3-11ee-ac36-0242ff9ee44d"/>
        <s v="63e330a6-d7d3-11ee-ac36-0242ff9ee44d"/>
        <s v="63e34fb2-d7d3-11ee-ac36-0242ff9ee44d"/>
        <s v="63e3b6cd-d7d3-11ee-ac36-0242ff9ee44d"/>
        <s v="63e35cad-d7d3-11ee-ac36-0242ff9ee44d"/>
        <s v="63e33b4a-d7d3-11ee-ac36-0242ff9ee44d"/>
        <s v="63e3ae64-d7d3-11ee-ac36-0242ff9ee44d"/>
        <s v="63e36c04-d7d3-11ee-ac36-0242ff9ee44d"/>
        <s v="63e34166-d7d3-11ee-ac36-0242ff9ee44d"/>
        <s v="63e3743e-d7d3-11ee-ac36-0242ff9ee44d"/>
        <s v="63e33b74-d7d3-11ee-ac36-0242ff9ee44d"/>
        <s v="63e39946-d7d3-11ee-ac36-0242ff9ee44d"/>
        <s v="63e3c854-d7d3-11ee-ac36-0242ff9ee44d"/>
        <s v="63e330f9-d7d3-11ee-ac36-0242ff9ee44d"/>
        <s v="63e37bd2-d7d3-11ee-ac36-0242ff9ee44d"/>
        <s v="63e367b3-d7d3-11ee-ac36-0242ff9ee44d"/>
        <s v="63e35184-d7d3-11ee-ac36-0242ff9ee44d"/>
        <s v="63e3afa0-d7d3-11ee-ac36-0242ff9ee44d"/>
        <s v="63e3bf94-d7d3-11ee-ac36-0242ff9ee44d"/>
        <s v="63e31767-d7d3-11ee-ac36-0242ff9ee44d"/>
        <s v="63e39314-d7d3-11ee-ac36-0242ff9ee44d"/>
        <s v="63e32af2-d7d3-11ee-ac36-0242ff9ee44d"/>
        <s v="63e3bfc0-d7d3-11ee-ac36-0242ff9ee44d"/>
        <s v="63e35ced-d7d3-11ee-ac36-0242ff9ee44d"/>
        <s v="63e34fdc-d7d3-11ee-ac36-0242ff9ee44d"/>
        <s v="63e357e2-d7d3-11ee-ac36-0242ff9ee44d"/>
        <s v="63e352c1-d7d3-11ee-ac36-0242ff9ee44d"/>
        <s v="63e33bf3-d7d3-11ee-ac36-0242ff9ee44d"/>
        <s v="63e39393-d7d3-11ee-ac36-0242ff9ee44d"/>
        <s v="63e387b1-d7d3-11ee-ac36-0242ff9ee44d"/>
        <s v="63e36dc7-d7d3-11ee-ac36-0242ff9ee44d"/>
        <s v="63e36d87-d7d3-11ee-ac36-0242ff9ee44d"/>
        <s v="63e315a0-d7d3-11ee-ac36-0242ff9ee44d"/>
        <s v="63e33cbe-d7d3-11ee-ac36-0242ff9ee44d"/>
        <s v="63e37228-d7d3-11ee-ac36-0242ff9ee44d"/>
        <s v="63e398c7-d7d3-11ee-ac36-0242ff9ee44d"/>
        <s v="63e393a8-d7d3-11ee-ac36-0242ff9ee44d"/>
        <s v="63e33d78-d7d3-11ee-ac36-0242ff9ee44d"/>
        <s v="63e3899b-d7d3-11ee-ac36-0242ff9ee44d"/>
        <s v="63e347cd-d7d3-11ee-ac36-0242ff9ee44d"/>
        <s v="63e38f3a-d7d3-11ee-ac36-0242ff9ee44d"/>
        <s v="63e37d7b-d7d3-11ee-ac36-0242ff9ee44d"/>
        <s v="63e359fb-d7d3-11ee-ac36-0242ff9ee44d"/>
        <s v="63e3645d-d7d3-11ee-ac36-0242ff9ee44d"/>
        <s v="63e3aff8-d7d3-11ee-ac36-0242ff9ee44d"/>
        <s v="63e390ab-d7d3-11ee-ac36-0242ff9ee44d"/>
        <s v="63e3325b-d7d3-11ee-ac36-0242ff9ee44d"/>
        <s v="63e31ffa-d7d3-11ee-ac36-0242ff9ee44d"/>
        <s v="63e32bb7-d7d3-11ee-ac36-0242ff9ee44d"/>
        <s v="63e35e01-d7d3-11ee-ac36-0242ff9ee44d"/>
        <s v="63e326ca-d7d3-11ee-ac36-0242ff9ee44d"/>
        <s v="63e37cd2-d7d3-11ee-ac36-0242ff9ee44d"/>
        <s v="63e34433-d7d3-11ee-ac36-0242ff9ee44d"/>
        <s v="63e3881d-d7d3-11ee-ac36-0242ff9ee44d"/>
        <s v="63e38ee5-d7d3-11ee-ac36-0242ff9ee44d"/>
        <s v="63e39bfb-d7d3-11ee-ac36-0242ff9ee44d"/>
        <s v="63e3bfeb-d7d3-11ee-ac36-0242ff9ee44d"/>
        <s v="63e34670-d7d3-11ee-ac36-0242ff9ee44d"/>
        <s v="63e35ad5-d7d3-11ee-ac36-0242ff9ee44d"/>
        <s v="63e388ee-d7d3-11ee-ac36-0242ff9ee44d"/>
        <s v="63e3629c-d7d3-11ee-ac36-0242ff9ee44d"/>
        <s v="63e35406-d7d3-11ee-ac36-0242ff9ee44d"/>
        <s v="63e38a83-d7d3-11ee-ac36-0242ff9ee44d"/>
        <s v="63e3badd-d7d3-11ee-ac36-0242ff9ee44d"/>
        <s v="63e373b9-d7d3-11ee-ac36-0242ff9ee44d"/>
        <s v="cad5269d-d479-43c5-8283-b146f8b57837"/>
        <s v="63e36ff2-d7d3-11ee-ac36-0242ff9ee44d"/>
        <s v="63e3c560-d7d3-11ee-ac36-0242ff9ee44d"/>
        <s v="63e393bc-d7d3-11ee-ac36-0242ff9ee44d"/>
        <s v="63e3875b-d7d3-11ee-ac36-0242ff9ee44d"/>
        <s v="63e33f6d-d7d3-11ee-ac36-0242ff9ee44d"/>
        <s v="63e383ac-d7d3-11ee-ac36-0242ff9ee44d"/>
        <s v="63e3ab0e-d7d3-11ee-ac36-0242ff9ee44d"/>
        <s v="63e35204-d7d3-11ee-ac36-0242ff9ee44d"/>
        <s v="63e3ad37-d7d3-11ee-ac36-0242ff9ee44d"/>
        <s v="63e3baf1-d7d3-11ee-ac36-0242ff9ee44d"/>
        <s v="63e33925-d7d3-11ee-ac36-0242ff9ee44d"/>
        <s v="63e3c813-d7d3-11ee-ac36-0242ff9ee44d"/>
        <s v="63e3c6d1-d7d3-11ee-ac36-0242ff9ee44d"/>
        <s v="63e3ac8f-d7d3-11ee-ac36-0242ff9ee44d"/>
        <s v="63e38fab-d7d3-11ee-ac36-0242ff9ee44d"/>
        <s v="63e3bb06-d7d3-11ee-ac36-0242ff9ee44d"/>
        <s v="63e37326-d7d3-11ee-ac36-0242ff9ee44d"/>
        <s v="63e38770-d7d3-11ee-ac36-0242ff9ee44d"/>
        <s v="63e3867e-d7d3-11ee-ac36-0242ff9ee44d"/>
        <s v="63e39d75-d7d3-11ee-ac36-0242ff9ee44d"/>
        <s v="63e3194f-d7d3-11ee-ac36-0242ff9ee44d"/>
        <s v="63e336d0-d7d3-11ee-ac36-0242ff9ee44d"/>
        <s v="63e3c5e5-d7d3-11ee-ac36-0242ff9ee44d"/>
        <s v="63e36711-d7d3-11ee-ac36-0242ff9ee44d"/>
        <s v="63e35821-d7d3-11ee-ac36-0242ff9ee44d"/>
        <s v="63e37836-d7d3-11ee-ac36-0242ff9ee44d"/>
        <s v="63e30b76-d7d3-11ee-ac36-0242ff9ee44d"/>
        <s v="63e3b527-d7d3-11ee-ac36-0242ff9ee44d"/>
        <s v="63e38785-d7d3-11ee-ac36-0242ff9ee44d"/>
        <s v="63e3b623-d7d3-11ee-ac36-0242ff9ee44d"/>
        <s v="63e3ac64-d7d3-11ee-ac36-0242ff9ee44d"/>
        <s v="63e35836-d7d3-11ee-ac36-0242ff9ee44d"/>
        <s v="63e39fe4-d7d3-11ee-ac36-0242ff9ee44d"/>
        <s v="63e393d1-d7d3-11ee-ac36-0242ff9ee44d"/>
        <s v="63e318a6-d7d3-11ee-ac36-0242ff9ee44d"/>
        <s v="63e3a79b-d7d3-11ee-ac36-0242ff9ee44d"/>
        <s v="63e3c355-d7d3-11ee-ac36-0242ff9ee44d"/>
        <s v="63e318d0-d7d3-11ee-ac36-0242ff9ee44d"/>
        <s v="63e38c55-d7d3-11ee-ac36-0242ff9ee44d"/>
        <s v="63e38f50-d7d3-11ee-ac36-0242ff9ee44d"/>
        <s v="63e3c000-d7d3-11ee-ac36-0242ff9ee44d"/>
        <s v="63e313ac-d7d3-11ee-ac36-0242ff9ee44d"/>
        <s v="63e33fc1-d7d3-11ee-ac36-0242ff9ee44d"/>
        <s v="63e33d8d-d7d3-11ee-ac36-0242ff9ee44d"/>
        <s v="63e35aa9-d7d3-11ee-ac36-0242ff9ee44d"/>
        <s v="63e313c2-d7d3-11ee-ac36-0242ff9ee44d"/>
        <s v="63e32ffe-d7d3-11ee-ac36-0242ff9ee44d"/>
        <s v="63e3aea4-d7d3-11ee-ac36-0242ff9ee44d"/>
        <s v="63e3b5bb-d7d3-11ee-ac36-0242ff9ee44d"/>
        <s v="63e313d6-d7d3-11ee-ac36-0242ff9ee44d"/>
        <s v="63e36e98-d7d3-11ee-ac36-0242ff9ee44d"/>
        <s v="63e34ff1-d7d3-11ee-ac36-0242ff9ee44d"/>
        <s v="63e370b3-d7d3-11ee-ac36-0242ff9ee44d"/>
        <s v="63e38a1b-d7d3-11ee-ac36-0242ff9ee44d"/>
        <s v="63e390ea-d7d3-11ee-ac36-0242ff9ee44d"/>
        <s v="63e31036-d7d3-11ee-ac36-0242ff9ee44d"/>
        <s v="63e35005-d7d3-11ee-ac36-0242ff9ee44d"/>
        <s v="63e3b179-d7d3-11ee-ac36-0242ff9ee44d"/>
        <s v="63e3a6c3-d7d3-11ee-ac36-0242ff9ee44d"/>
        <s v="63e387dc-d7d3-11ee-ac36-0242ff9ee44d"/>
        <s v="63e30efc-d7d3-11ee-ac36-0242ff9ee44d"/>
        <s v="63e3502f-d7d3-11ee-ac36-0242ff9ee44d"/>
        <s v="63e3584b-d7d3-11ee-ac36-0242ff9ee44d"/>
        <s v="63e37255-d7d3-11ee-ac36-0242ff9ee44d"/>
        <s v="63e328fc-d7d3-11ee-ac36-0242ff9ee44d"/>
        <s v="63e36a49-d7d3-11ee-ac36-0242ff9ee44d"/>
        <s v="63e37bbd-d7d3-11ee-ac36-0242ff9ee44d"/>
        <s v="63e35f7d-d7d3-11ee-ac36-0242ff9ee44d"/>
        <s v="63e35043-d7d3-11ee-ac36-0242ff9ee44d"/>
        <s v="63e37f53-d7d3-11ee-ac36-0242ff9ee44d"/>
        <s v="63e30b09-d7d3-11ee-ac36-0242ff9ee44d"/>
        <s v="63e31fb7-d7d3-11ee-ac36-0242ff9ee44d"/>
        <s v="63e38254-d7d3-11ee-ac36-0242ff9ee44d"/>
        <s v="63e34c28-d7d3-11ee-ac36-0242ff9ee44d"/>
        <s v="63e38dfb-d7d3-11ee-ac36-0242ff9ee44d"/>
        <s v="63e3aacd-d7d3-11ee-ac36-0242ff9ee44d"/>
        <s v="63e38aec-d7d3-11ee-ac36-0242ff9ee44d"/>
        <s v="63e3b57c-d7d3-11ee-ac36-0242ff9ee44d"/>
        <s v="63e3104b-d7d3-11ee-ac36-0242ff9ee44d"/>
        <s v="63e3746c-d7d3-11ee-ac36-0242ff9ee44d"/>
        <s v="63e3c3e8-d7d3-11ee-ac36-0242ff9ee44d"/>
        <s v="63e310f0-d7d3-11ee-ac36-0242ff9ee44d"/>
        <s v="63e33232-d7d3-11ee-ac36-0242ff9ee44d"/>
        <s v="63e3bf7f-d7d3-11ee-ac36-0242ff9ee44d"/>
        <s v="63e38b96-d7d3-11ee-ac36-0242ff9ee44d"/>
        <s v="63e31b04-d7d3-11ee-ac36-0242ff9ee44d"/>
        <s v="63e3588e-d7d3-11ee-ac36-0242ff9ee44d"/>
        <s v="63e38196-d7d3-11ee-ac36-0242ff9ee44d"/>
        <s v="63e321ac-d7d3-11ee-ac36-0242ff9ee44d"/>
        <s v="63e31201-d7d3-11ee-ac36-0242ff9ee44d"/>
        <s v="63e371d0-d7d3-11ee-ac36-0242ff9ee44d"/>
        <s v="63e3554f-d7d3-11ee-ac36-0242ff9ee44d"/>
        <s v="63e317ce-d7d3-11ee-ac36-0242ff9ee44d"/>
        <s v="63e315ca-d7d3-11ee-ac36-0242ff9ee44d"/>
        <s v="63e35a68-d7d3-11ee-ac36-0242ff9ee44d"/>
        <s v="63e3cef6-d7d3-11ee-ac36-0242ff9ee44d"/>
        <s v="63e31ada-d7d3-11ee-ac36-0242ff9ee44d"/>
        <s v="63e3a0e7-d7d3-11ee-ac36-0242ff9ee44d"/>
        <s v="63e30ff7-d7d3-11ee-ac36-0242ff9ee44d"/>
        <s v="63e3b43b-d7d3-11ee-ac36-0242ff9ee44d"/>
        <s v="63e37964-d7d3-11ee-ac36-0242ff9ee44d"/>
        <s v="63e341cf-d7d3-11ee-ac36-0242ff9ee44d"/>
        <s v="63e3a85c-d7d3-11ee-ac36-0242ff9ee44d"/>
        <s v="63e339a3-d7d3-11ee-ac36-0242ff9ee44d"/>
        <s v="63e3c7be-d7d3-11ee-ac36-0242ff9ee44d"/>
        <s v="63e362df-d7d3-11ee-ac36-0242ff9ee44d"/>
        <s v="63e3c08a-d7d3-11ee-ac36-0242ff9ee44d"/>
        <s v="63e30d09-d7d3-11ee-ac36-0242ff9ee44d"/>
        <s v="63e3b5d0-d7d3-11ee-ac36-0242ff9ee44d"/>
        <s v="63e39054-d7d3-11ee-ac36-0242ff9ee44d"/>
        <s v="63e3b7e0-d7d3-11ee-ac36-0242ff9ee44d"/>
        <s v="63e37d12-d7d3-11ee-ac36-0242ff9ee44d"/>
        <s v="63e339cc-d7d3-11ee-ac36-0242ff9ee44d"/>
        <s v="63e32390-d7d3-11ee-ac36-0242ff9ee44d"/>
        <s v="63e339f7-d7d3-11ee-ac36-0242ff9ee44d"/>
        <s v="63e36a76-d7d3-11ee-ac36-0242ff9ee44d"/>
        <s v="63e32fc0-d7d3-11ee-ac36-0242ff9ee44d"/>
        <s v="63e3a698-d7d3-11ee-ac36-0242ff9ee44d"/>
        <s v="63e31964-d7d3-11ee-ac36-0242ff9ee44d"/>
        <s v="63e3a3dc-d7d3-11ee-ac36-0242ff9ee44d"/>
        <s v="63e30d87-d7d3-11ee-ac36-0242ff9ee44d"/>
        <s v="63e3b53d-d7d3-11ee-ac36-0242ff9ee44d"/>
        <s v="63e35c00-d7d3-11ee-ac36-0242ff9ee44d"/>
        <s v="63e37351-d7d3-11ee-ac36-0242ff9ee44d"/>
        <s v="63e3180c-d7d3-11ee-ac36-0242ff9ee44d"/>
        <s v="63e3710a-d7d3-11ee-ac36-0242ff9ee44d"/>
        <s v="63e3832b-d7d3-11ee-ac36-0242ff9ee44d"/>
        <s v="63e34b3e-d7d3-11ee-ac36-0242ff9ee44d"/>
        <s v="63e3950c-d7d3-11ee-ac36-0242ff9ee44d"/>
        <s v="63e36640-d7d3-11ee-ac36-0242ff9ee44d"/>
        <s v="63e355a7-d7d3-11ee-ac36-0242ff9ee44d"/>
        <s v="63e38ebb-d7d3-11ee-ac36-0242ff9ee44d"/>
        <s v="63e3516e-d7d3-11ee-ac36-0242ff9ee44d"/>
        <s v="63e33b20-d7d3-11ee-ac36-0242ff9ee44d"/>
        <s v="63e388c4-d7d3-11ee-ac36-0242ff9ee44d"/>
        <s v="63e38cfb-d7d3-11ee-ac36-0242ff9ee44d"/>
        <s v="63e331df-d7d3-11ee-ac36-0242ff9ee44d"/>
        <s v="63e38903-d7d3-11ee-ac36-0242ff9ee44d"/>
        <s v="63e34b1b-d7d3-11ee-ac36-0242ff9ee44d"/>
        <s v="63e375c3-d7d3-11ee-ac36-0242ff9ee44d"/>
        <s v="63e34114-d7d3-11ee-ac36-0242ff9ee44d"/>
        <s v="63e35b9c-d7d3-11ee-ac36-0242ff9ee44d"/>
        <s v="63e36d1d-d7d3-11ee-ac36-0242ff9ee44d"/>
        <s v="63e3b776-d7d3-11ee-ac36-0242ff9ee44d"/>
        <s v="63e3718b-d7d3-11ee-ac36-0242ff9ee44d"/>
        <s v="63e354b4-d7d3-11ee-ac36-0242ff9ee44d"/>
        <s v="63e34707-d7d3-11ee-ac36-0242ff9ee44d"/>
        <s v="63e37ca6-d7d3-11ee-ac36-0242ff9ee44d"/>
        <s v="63e3bb46-d7d3-11ee-ac36-0242ff9ee44d"/>
        <s v="63e33bc7-d7d3-11ee-ac36-0242ff9ee44d"/>
        <s v="63e36771-d7d3-11ee-ac36-0242ff9ee44d"/>
        <s v="63e3b722-d7d3-11ee-ac36-0242ff9ee44d"/>
        <s v="63e37137-d7d3-11ee-ac36-0242ff9ee44d"/>
        <s v="63e36af6-d7d3-11ee-ac36-0242ff9ee44d"/>
        <s v="63e39ae0-d7d3-11ee-ac36-0242ff9ee44d"/>
        <s v="63e3afb7-d7d3-11ee-ac36-0242ff9ee44d"/>
        <s v="63e34a30-d7d3-11ee-ac36-0242ff9ee44d"/>
        <s v="63e30ea8-d7d3-11ee-ac36-0242ff9ee44d"/>
        <s v="63e358e4-d7d3-11ee-ac36-0242ff9ee44d"/>
        <s v="63e36eae-d7d3-11ee-ac36-0242ff9ee44d"/>
        <s v="63e3b4fc-d7d3-11ee-ac36-0242ff9ee44d"/>
        <s v="63e371e6-d7d3-11ee-ac36-0242ff9ee44d"/>
        <s v="63e33cdb-d7d3-11ee-ac36-0242ff9ee44d"/>
        <s v="63e398dc-d7d3-11ee-ac36-0242ff9ee44d"/>
        <s v="63e3aab8-d7d3-11ee-ac36-0242ff9ee44d"/>
        <s v="63e31dad-d7d3-11ee-ac36-0242ff9ee44d"/>
        <s v="63e343c8-d7d3-11ee-ac36-0242ff9ee44d"/>
        <s v="63e35f58-d7d3-11ee-ac36-0242ff9ee44d"/>
        <s v="a885172a-afb2-4a98-a100-c4c709949eb9"/>
        <s v="63e392c0-d7d3-11ee-ac36-0242ff9ee44d"/>
        <s v="63e36c9e-d7d3-11ee-ac36-0242ff9ee44d"/>
        <s v="63e321bf-d7d3-11ee-ac36-0242ff9ee44d"/>
        <s v="63e3bf11-d7d3-11ee-ac36-0242ff9ee44d"/>
        <s v="63e3737b-d7d3-11ee-ac36-0242ff9ee44d"/>
        <s v="63e393e8-d7d3-11ee-ac36-0242ff9ee44d"/>
        <s v="63e345a1-d7d3-11ee-ac36-0242ff9ee44d"/>
        <s v="63e37022-d7d3-11ee-ac36-0242ff9ee44d"/>
        <s v="63e354e1-d7d3-11ee-ac36-0242ff9ee44d"/>
        <s v="63e348d9-d7d3-11ee-ac36-0242ff9ee44d"/>
        <s v="63e335ea-d7d3-11ee-ac36-0242ff9ee44d"/>
        <s v="63e358f9-d7d3-11ee-ac36-0242ff9ee44d"/>
        <s v="63e385bd-d7d3-11ee-ac36-0242ff9ee44d"/>
        <s v="63e32f82-d7d3-11ee-ac36-0242ff9ee44d"/>
        <s v="63e39c68-d7d3-11ee-ac36-0242ff9ee44d"/>
        <s v="63e38357-d7d3-11ee-ac36-0242ff9ee44d"/>
        <s v="63e390d5-d7d3-11ee-ac36-0242ff9ee44d"/>
        <s v="63e33d3a-d7d3-11ee-ac36-0242ff9ee44d"/>
        <s v="63e3a487-d7d3-11ee-ac36-0242ff9ee44d"/>
        <s v="63e321d6-d7d3-11ee-ac36-0242ff9ee44d"/>
        <s v="63e3af37-d7d3-11ee-ac36-0242ff9ee44d"/>
        <s v="63e317f8-d7d3-11ee-ac36-0242ff9ee44d"/>
        <s v="63e31a47-d7d3-11ee-ac36-0242ff9ee44d"/>
        <s v="63e3439e-d7d3-11ee-ac36-0242ff9ee44d"/>
        <s v="63e3111b-d7d3-11ee-ac36-0242ff9ee44d"/>
        <s v="63e37595-d7d3-11ee-ac36-0242ff9ee44d"/>
        <s v="63e37be7-d7d3-11ee-ac36-0242ff9ee44d"/>
        <s v="63e3984b-d7d3-11ee-ac36-0242ff9ee44d"/>
        <s v="63e346c8-d7d3-11ee-ac36-0242ff9ee44d"/>
        <s v="63e3bf54-d7d3-11ee-ac36-0242ff9ee44d"/>
        <s v="63e37390-d7d3-11ee-ac36-0242ff9ee44d"/>
        <s v="63e366cb-d7d3-11ee-ac36-0242ff9ee44d"/>
        <s v="63e35b3f-d7d3-11ee-ac36-0242ff9ee44d"/>
        <s v="63e37b3a-d7d3-11ee-ac36-0242ff9ee44d"/>
        <s v="63e35abe-d7d3-11ee-ac36-0242ff9ee44d"/>
        <s v="63e3a024-d7d3-11ee-ac36-0242ff9ee44d"/>
        <s v="63e3cc1e-d7d3-11ee-ac36-0242ff9ee44d"/>
        <s v="63e36ab4-d7d3-11ee-ac36-0242ff9ee44d"/>
        <s v="63e35371-d7d3-11ee-ac36-0242ff9ee44d"/>
        <s v="63e353c7-d7d3-11ee-ac36-0242ff9ee44d"/>
        <s v="63e3bbf1-d7d3-11ee-ac36-0242ff9ee44d"/>
        <s v="63e34014-d7d3-11ee-ac36-0242ff9ee44d"/>
        <s v="63e3546e-d7d3-11ee-ac36-0242ff9ee44d"/>
        <s v="63e38b2d-d7d3-11ee-ac36-0242ff9ee44d"/>
        <s v="63e3a7ef-d7d3-11ee-ac36-0242ff9ee44d"/>
        <s v="63e30ca6-d7d3-11ee-ac36-0242ff9ee44d"/>
        <s v="63e35345-d7d3-11ee-ac36-0242ff9ee44d"/>
        <s v="63e3651a-d7d3-11ee-ac36-0242ff9ee44d"/>
        <s v="63e37a26-d7d3-11ee-ac36-0242ff9ee44d"/>
        <s v="63e38528-d7d3-11ee-ac36-0242ff9ee44d"/>
        <s v="63e38d3a-d7d3-11ee-ac36-0242ff9ee44d"/>
        <s v="63e3a36e-d7d3-11ee-ac36-0242ff9ee44d"/>
        <s v="63e37f28-d7d3-11ee-ac36-0242ff9ee44d"/>
        <s v="63e327e8-d7d3-11ee-ac36-0242ff9ee44d"/>
        <s v="63e38ce6-d7d3-11ee-ac36-0242ff9ee44d"/>
        <s v="63e37e92-d7d3-11ee-ac36-0242ff9ee44d"/>
        <s v="63e34549-d7d3-11ee-ac36-0242ff9ee44d"/>
        <s v="63e30ed3-d7d3-11ee-ac36-0242ff9ee44d"/>
        <s v="63e3cb9d-d7d3-11ee-ac36-0242ff9ee44d"/>
        <s v="63e3100c-d7d3-11ee-ac36-0242ff9ee44d"/>
        <s v="63e3b835-d7d3-11ee-ac36-0242ff9ee44d"/>
        <s v="63e38da4-d7d3-11ee-ac36-0242ff9ee44d"/>
        <s v="63e38414-d7d3-11ee-ac36-0242ff9ee44d"/>
        <s v="63e35950-d7d3-11ee-ac36-0242ff9ee44d"/>
        <s v="63e36c89-d7d3-11ee-ac36-0242ff9ee44d"/>
        <s v="63e35590-d7d3-11ee-ac36-0242ff9ee44d"/>
        <s v="63e39f7b-d7d3-11ee-ac36-0242ff9ee44d"/>
        <s v="63e3a744-d7d3-11ee-ac36-0242ff9ee44d"/>
        <s v="63e3a846-d7d3-11ee-ac36-0242ff9ee44d"/>
        <s v="63e3c8e7-d7d3-11ee-ac36-0242ff9ee44d"/>
        <s v="63e38bc0-d7d3-11ee-ac36-0242ff9ee44d"/>
        <s v="63e36b1f-d7d3-11ee-ac36-0242ff9ee44d"/>
        <s v="63e33b5f-d7d3-11ee-ac36-0242ff9ee44d"/>
        <s v="63e358a4-d7d3-11ee-ac36-0242ff9ee44d"/>
        <s v="63e3c37f-d7d3-11ee-ac36-0242ff9ee44d"/>
        <s v="63e39fba-d7d3-11ee-ac36-0242ff9ee44d"/>
        <s v="63e369dd-d7d3-11ee-ac36-0242ff9ee44d"/>
        <s v="63e373e4-d7d3-11ee-ac36-0242ff9ee44d"/>
        <s v="63e30fcc-d7d3-11ee-ac36-0242ff9ee44d"/>
        <s v="63e35484-d7d3-11ee-ac36-0242ff9ee44d"/>
        <s v="63e3b037-d7d3-11ee-ac36-0242ff9ee44d"/>
        <s v="63e3857d-d7d3-11ee-ac36-0242ff9ee44d"/>
        <s v="63e35ccd-d7d3-11ee-ac36-0242ff9ee44d"/>
        <s v="63e3a158-d7d3-11ee-ac36-0242ff9ee44d"/>
        <s v="63e3ad4d-d7d3-11ee-ac36-0242ff9ee44d"/>
        <s v="63e3600d-d7d3-11ee-ac36-0242ff9ee44d"/>
        <s v="63e38886-d7d3-11ee-ac36-0242ff9ee44d"/>
        <s v="63e3b30b-d7d3-11ee-ac36-0242ff9ee44d"/>
        <s v="63e3879c-d7d3-11ee-ac36-0242ff9ee44d"/>
        <s v="63e36788-d7d3-11ee-ac36-0242ff9ee44d"/>
        <s v="63e3b874-d7d3-11ee-ac36-0242ff9ee44d"/>
        <s v="63e30e7f-d7d3-11ee-ac36-0242ff9ee44d"/>
        <s v="63e3af0d-d7d3-11ee-ac36-0242ff9ee44d"/>
        <s v="63e3ae3a-d7d3-11ee-ac36-0242ff9ee44d"/>
        <s v="63e34c40-d7d3-11ee-ac36-0242ff9ee44d"/>
        <s v="63e39822-d7d3-11ee-ac36-0242ff9ee44d"/>
        <s v="63e3b737-d7d3-11ee-ac36-0242ff9ee44d"/>
        <s v="63e3ab3b-d7d3-11ee-ac36-0242ff9ee44d"/>
        <s v="63e3c017-d7d3-11ee-ac36-0242ff9ee44d"/>
        <s v="63e32b5b-d7d3-11ee-ac36-0242ff9ee44d"/>
        <s v="63e36320-d7d3-11ee-ac36-0242ff9ee44d"/>
        <s v="63e3c23a-d7d3-11ee-ac36-0242ff9ee44d"/>
        <s v="63e35e23-d7d3-11ee-ac36-0242ff9ee44d"/>
        <s v="63e36bc6-d7d3-11ee-ac36-0242ff9ee44d"/>
        <s v="63e31911-d7d3-11ee-ac36-0242ff9ee44d"/>
        <s v="63e32a88-d7d3-11ee-ac36-0242ff9ee44d"/>
        <s v="63e3abe4-d7d3-11ee-ac36-0242ff9ee44d"/>
        <s v="63e3a6ad-d7d3-11ee-ac36-0242ff9ee44d"/>
        <s v="63e30e56-d7d3-11ee-ac36-0242ff9ee44d"/>
        <s v="63e35ecb-d7d3-11ee-ac36-0242ff9ee44d"/>
        <s v="63e335bf-d7d3-11ee-ac36-0242ff9ee44d"/>
        <s v="63e3c911-d7d3-11ee-ac36-0242ff9ee44d"/>
        <s v="63e36a1f-d7d3-11ee-ac36-0242ff9ee44d"/>
        <s v="63e33b9e-d7d3-11ee-ac36-0242ff9ee44d"/>
        <s v="63e38871-d7d3-11ee-ac36-0242ff9ee44d"/>
        <s v="63e3b1cc-d7d3-11ee-ac36-0242ff9ee44d"/>
        <s v="63e30f8e-d7d3-11ee-ac36-0242ff9ee44d"/>
        <s v="63e3bfa9-d7d3-11ee-ac36-0242ff9ee44d"/>
        <s v="63e33e4a-d7d3-11ee-ac36-0242ff9ee44d"/>
        <s v="63e32a46-d7d3-11ee-ac36-0242ff9ee44d"/>
        <s v="63e36e32-d7d3-11ee-ac36-0242ff9ee44d"/>
        <s v="63e37aa2-d7d3-11ee-ac36-0242ff9ee44d"/>
        <s v="63e38213-d7d3-11ee-ac36-0242ff9ee44d"/>
        <s v="63e39acb-d7d3-11ee-ac36-0242ff9ee44d"/>
        <s v="63e3c67b-d7d3-11ee-ac36-0242ff9ee44d"/>
        <s v="63e38269-d7d3-11ee-ac36-0242ff9ee44d"/>
        <s v="63e39e50-d7d3-11ee-ac36-0242ff9ee44d"/>
        <s v="63e30dc6-d7d3-11ee-ac36-0242ff9ee44d"/>
        <s v="63e31020-d7d3-11ee-ac36-0242ff9ee44d"/>
        <s v="63e333ee-d7d3-11ee-ac36-0242ff9ee44d"/>
        <s v="63e38626-d7d3-11ee-ac36-0242ff9ee44d"/>
        <s v="63e3885c-d7d3-11ee-ac36-0242ff9ee44d"/>
        <s v="63e3675a-d7d3-11ee-ac36-0242ff9ee44d"/>
        <s v="63e373a5-d7d3-11ee-ac36-0242ff9ee44d"/>
        <s v="63e38dcf-d7d3-11ee-ac36-0242ff9ee44d"/>
        <s v="63e3bfd6-d7d3-11ee-ac36-0242ff9ee44d"/>
        <s v="63e3b6e2-d7d3-11ee-ac36-0242ff9ee44d"/>
        <s v="63e3913e-d7d3-11ee-ac36-0242ff9ee44d"/>
        <s v="63e3b567-d7d3-11ee-ac36-0242ff9ee44d"/>
        <s v="63e38b42-d7d3-11ee-ac36-0242ff9ee44d"/>
        <s v="63e35bde-d7d3-11ee-ac36-0242ff9ee44d"/>
        <s v="63e3b513-d7d3-11ee-ac36-0242ff9ee44d"/>
        <s v="63e39dde-d7d3-11ee-ac36-0242ff9ee44d"/>
        <s v="63e3c93f-d7d3-11ee-ac36-0242ff9ee44d"/>
        <s v="63e34d63-d7d3-11ee-ac36-0242ff9ee44d"/>
        <s v="63e39f66-d7d3-11ee-ac36-0242ff9ee44d"/>
        <s v="63e3a281-d7d3-11ee-ac36-0242ff9ee44d"/>
        <s v="63e35fe8-d7d3-11ee-ac36-0242ff9ee44d"/>
        <s v="63e3cf0c-d7d3-11ee-ac36-0242ff9ee44d"/>
        <s v="63e3a318-d7d3-11ee-ac36-0242ff9ee44d"/>
        <s v="63e33af4-d7d3-11ee-ac36-0242ff9ee44d"/>
        <s v="63e355d4-d7d3-11ee-ac36-0242ff9ee44d"/>
        <s v="63e30c45-d7d3-11ee-ac36-0242ff9ee44d"/>
        <s v="63e33691-d7d3-11ee-ac36-0242ff9ee44d"/>
        <s v="63e3270a-d7d3-11ee-ac36-0242ff9ee44d"/>
        <s v="63e3b00d-d7d3-11ee-ac36-0242ff9ee44d"/>
        <s v="63e3c42d-d7d3-11ee-ac36-0242ff9ee44d"/>
        <s v="63e3989f-d7d3-11ee-ac36-0242ff9ee44d"/>
        <s v="63e3449f-d7d3-11ee-ac36-0242ff9ee44d"/>
        <s v="63e38e3a-d7d3-11ee-ac36-0242ff9ee44d"/>
        <s v="63e32fea-d7d3-11ee-ac36-0242ff9ee44d"/>
        <s v="63e3455d-d7d3-11ee-ac36-0242ff9ee44d"/>
        <s v="63e3b0b9-d7d3-11ee-ac36-0242ff9ee44d"/>
        <s v="63e39cec-d7d3-11ee-ac36-0242ff9ee44d"/>
        <s v="63e3318d-d7d3-11ee-ac36-0242ff9ee44d"/>
        <s v="63e356e3-d7d3-11ee-ac36-0242ff9ee44d"/>
        <s v="63e336e5-d7d3-11ee-ac36-0242ff9ee44d"/>
        <s v="63e3ab7a-d7d3-11ee-ac36-0242ff9ee44d"/>
        <s v="63e33123-d7d3-11ee-ac36-0242ff9ee44d"/>
        <s v="63e32f97-d7d3-11ee-ac36-0242ff9ee44d"/>
        <s v="63e35a10-d7d3-11ee-ac36-0242ff9ee44d"/>
        <s v="63e3c9a9-d7d3-11ee-ac36-0242ff9ee44d"/>
        <s v="63e3b164-d7d3-11ee-ac36-0242ff9ee44d"/>
        <s v="63e36b48-d7d3-11ee-ac36-0242ff9ee44d"/>
        <s v="63e31bdc-d7d3-11ee-ac36-0242ff9ee44d"/>
        <s v="63e39d9f-d7d3-11ee-ac36-0242ff9ee44d"/>
        <s v="63e3b6a2-d7d3-11ee-ac36-0242ff9ee44d"/>
        <s v="63e333d9-d7d3-11ee-ac36-0242ff9ee44d"/>
        <s v="63e3513f-d7d3-11ee-ac36-0242ff9ee44d"/>
        <s v="63e381ec-d7d3-11ee-ac36-0242ff9ee44d"/>
        <s v="63e3b974-d7d3-11ee-ac36-0242ff9ee44d"/>
        <s v="63e32ccb-d7d3-11ee-ac36-0242ff9ee44d"/>
        <s v="63e3980d-d7d3-11ee-ac36-0242ff9ee44d"/>
        <s v="63e3287d-d7d3-11ee-ac36-0242ff9ee44d"/>
        <s v="63e3a12c-d7d3-11ee-ac36-0242ff9ee44d"/>
        <s v="63e367c8-d7d3-11ee-ac36-0242ff9ee44d"/>
        <s v="63e31701-d7d3-11ee-ac36-0242ff9ee44d"/>
        <s v="63e37e62-d7d3-11ee-ac36-0242ff9ee44d"/>
        <s v="63e3ac3a-d7d3-11ee-ac36-0242ff9ee44d"/>
        <s v="63e38229-d7d3-11ee-ac36-0242ff9ee44d"/>
        <s v="63e341a5-d7d3-11ee-ac36-0242ff9ee44d"/>
        <s v="63e3356a-d7d3-11ee-ac36-0242ff9ee44d"/>
        <s v="63e3ceb2-d7d3-11ee-ac36-0242ff9ee44d"/>
        <s v="63e32f30-d7d3-11ee-ac36-0242ff9ee44d"/>
        <s v="63e3b2e0-d7d3-11ee-ac36-0242ff9ee44d"/>
        <s v="63e31f49-d7d3-11ee-ac36-0242ff9ee44d"/>
        <s v="63e30b1f-d7d3-11ee-ac36-0242ff9ee44d"/>
        <s v="63e37c7b-d7d3-11ee-ac36-0242ff9ee44d"/>
        <s v="63e39a4d-d7d3-11ee-ac36-0242ff9ee44d"/>
        <s v="63e38a97-d7d3-11ee-ac36-0242ff9ee44d"/>
        <s v="63e353f1-d7d3-11ee-ac36-0242ff9ee44d"/>
        <s v="63e3cc09-d7d3-11ee-ac36-0242ff9ee44d"/>
        <s v="63e31199-d7d3-11ee-ac36-0242ff9ee44d"/>
        <s v="63e317e2-d7d3-11ee-ac36-0242ff9ee44d"/>
        <s v="63e3b139-d7d3-11ee-ac36-0242ff9ee44d"/>
        <s v="63e3a198-d7d3-11ee-ac36-0242ff9ee44d"/>
        <s v="63e3542f-d7d3-11ee-ac36-0242ff9ee44d"/>
        <s v="63e36db2-d7d3-11ee-ac36-0242ff9ee44d"/>
        <s v="63e319cb-d7d3-11ee-ac36-0242ff9ee44d"/>
        <s v="63e34a9a-d7d3-11ee-ac36-0242ff9ee44d"/>
        <s v="63e3a22d-d7d3-11ee-ac36-0242ff9ee44d"/>
        <s v="63e38ea7-d7d3-11ee-ac36-0242ff9ee44d"/>
        <s v="63e32204-d7d3-11ee-ac36-0242ff9ee44d"/>
        <s v="63e3c651-d7d3-11ee-ac36-0242ff9ee44d"/>
        <s v="63e35387-d7d3-11ee-ac36-0242ff9ee44d"/>
        <s v="63e3557a-d7d3-11ee-ac36-0242ff9ee44d"/>
        <s v="b9db3653-a09b-4859-b2e9-ed7648ec053a"/>
        <s v="63e3ab24-d7d3-11ee-ac36-0242ff9ee44d"/>
        <s v="63e384fd-d7d3-11ee-ac36-0242ff9ee44d"/>
        <s v="63e39fa5-d7d3-11ee-ac36-0242ff9ee44d"/>
        <s v="63e3a9b2-d7d3-11ee-ac36-0242ff9ee44d"/>
        <s v="63e38315-d7d3-11ee-ac36-0242ff9ee44d"/>
        <s v="63e375ab-d7d3-11ee-ac36-0242ff9ee44d"/>
        <s v="63e33272-d7d3-11ee-ac36-0242ff9ee44d"/>
        <s v="63e353b2-d7d3-11ee-ac36-0242ff9ee44d"/>
        <s v="63e38cbd-d7d3-11ee-ac36-0242ff9ee44d"/>
        <s v="63e31c69-d7d3-11ee-ac36-0242ff9ee44d"/>
        <s v="63e31630-d7d3-11ee-ac36-0242ff9ee44d"/>
        <s v="63e3264e-d7d3-11ee-ac36-0242ff9ee44d"/>
        <s v="63e38dba-d7d3-11ee-ac36-0242ff9ee44d"/>
        <s v="63e30e41-d7d3-11ee-ac36-0242ff9ee44d"/>
        <s v="63e3847d-d7d3-11ee-ac36-0242ff9ee44d"/>
        <s v="63e356a4-d7d3-11ee-ac36-0242ff9ee44d"/>
        <s v="63e34d24-d7d3-11ee-ac36-0242ff9ee44d"/>
        <s v="63e357b9-d7d3-11ee-ac36-0242ff9ee44d"/>
        <s v="63e3c576-d7d3-11ee-ac36-0242ff9ee44d"/>
        <s v="63e353dc-d7d3-11ee-ac36-0242ff9ee44d"/>
        <s v="63e39f28-d7d3-11ee-ac36-0242ff9ee44d"/>
        <s v="63e30e18-d7d3-11ee-ac36-0242ff9ee44d"/>
        <s v="63e35dbc-d7d3-11ee-ac36-0242ff9ee44d"/>
        <s v="63e35fc2-d7d3-11ee-ac36-0242ff9ee44d"/>
        <s v="63e32e1b-d7d3-11ee-ac36-0242ff9ee44d"/>
        <s v="63e3bc6e-d7d3-11ee-ac36-0242ff9ee44d"/>
        <s v="63e37c3d-d7d3-11ee-ac36-0242ff9ee44d"/>
        <s v="63e38382-d7d3-11ee-ac36-0242ff9ee44d"/>
        <s v="63e35d31-d7d3-11ee-ac36-0242ff9ee44d"/>
        <s v="63e35156-d7d3-11ee-ac36-0242ff9ee44d"/>
        <s v="63e3b64d-d7d3-11ee-ac36-0242ff9ee44d"/>
        <s v="63e3679e-d7d3-11ee-ac36-0242ff9ee44d"/>
        <s v="63e37cfd-d7d3-11ee-ac36-0242ff9ee44d"/>
        <s v="63e34c80-d7d3-11ee-ac36-0242ff9ee44d"/>
        <s v="63e38180-d7d3-11ee-ac36-0242ff9ee44d"/>
        <s v="63e32952-d7d3-11ee-ac36-0242ff9ee44d"/>
        <s v="63e350ad-d7d3-11ee-ac36-0242ff9ee44d"/>
        <s v="63e35990-d7d3-11ee-ac36-0242ff9ee44d"/>
        <s v="63e3b8c9-d7d3-11ee-ac36-0242ff9ee44d"/>
        <s v="63e3a342-d7d3-11ee-ac36-0242ff9ee44d"/>
        <s v="63e3b88a-d7d3-11ee-ac36-0242ff9ee44d"/>
        <s v="63e32438-d7d3-11ee-ac36-0242ff9ee44d"/>
        <s v="63e3c827-d7d3-11ee-ac36-0242ff9ee44d"/>
        <s v="63e37456-d7d3-11ee-ac36-0242ff9ee44d"/>
        <s v="63e3b0fa-d7d3-11ee-ac36-0242ff9ee44d"/>
        <s v="63e39b8f-d7d3-11ee-ac36-0242ff9ee44d"/>
        <s v="63e33c82-d7d3-11ee-ac36-0242ff9ee44d"/>
        <s v="63e354c8-d7d3-11ee-ac36-0242ff9ee44d"/>
        <s v="63e3a81a-d7d3-11ee-ac36-0242ff9ee44d"/>
        <s v="63e39015-d7d3-11ee-ac36-0242ff9ee44d"/>
        <s v="63e30e6a-d7d3-11ee-ac36-0242ff9ee44d"/>
        <s v="63e3541b-d7d3-11ee-ac36-0242ff9ee44d"/>
        <s v="63e3387c-d7d3-11ee-ac36-0242ff9ee44d"/>
        <s v="63e3a830-d7d3-11ee-ac36-0242ff9ee44d"/>
        <s v="63e33e73-d7d3-11ee-ac36-0242ff9ee44d"/>
        <s v="63e39ba4-d7d3-11ee-ac36-0242ff9ee44d"/>
        <s v="63e30ebe-d7d3-11ee-ac36-0242ff9ee44d"/>
        <s v="63e33013-d7d3-11ee-ac36-0242ff9ee44d"/>
        <s v="63e3aa8e-d7d3-11ee-ac36-0242ff9ee44d"/>
        <s v="63e375da-d7d3-11ee-ac36-0242ff9ee44d"/>
        <s v="63e369c7-d7d3-11ee-ac36-0242ff9ee44d"/>
        <s v="63e3a471-d7d3-11ee-ac36-0242ff9ee44d"/>
        <s v="63e37482-d7d3-11ee-ac36-0242ff9ee44d"/>
        <s v="63e389db-d7d3-11ee-ac36-0242ff9ee44d"/>
        <s v="63e36d09-d7d3-11ee-ac36-0242ff9ee44d"/>
        <s v="63e3a45a-d7d3-11ee-ac36-0242ff9ee44d"/>
        <s v="63e3b0e3-d7d3-11ee-ac36-0242ff9ee44d"/>
        <s v="63e3ab65-d7d3-11ee-ac36-0242ff9ee44d"/>
        <s v="63e39153-d7d3-11ee-ac36-0242ff9ee44d"/>
        <s v="63e3902a-d7d3-11ee-ac36-0242ff9ee44d"/>
        <s v="63e3a683-d7d3-11ee-ac36-0242ff9ee44d"/>
        <s v="63e36663-d7d3-11ee-ac36-0242ff9ee44d"/>
        <s v="63e38693-d7d3-11ee-ac36-0242ff9ee44d"/>
        <s v="63e3733c-d7d3-11ee-ac36-0242ff9ee44d"/>
        <s v="63e38ac1-d7d3-11ee-ac36-0242ff9ee44d"/>
        <s v="63e3c448-d7d3-11ee-ac36-0242ff9ee44d"/>
        <s v="63e3a76f-d7d3-11ee-ac36-0242ff9ee44d"/>
        <s v="63e3af22-d7d3-11ee-ac36-0242ff9ee44d"/>
        <s v="63e3321d-d7d3-11ee-ac36-0242ff9ee44d"/>
        <s v="63e36563-d7d3-11ee-ac36-0242ff9ee44d"/>
        <s v="63e3a218-d7d3-11ee-ac36-0242ff9ee44d"/>
        <s v="63e38945-d7d3-11ee-ac36-0242ff9ee44d"/>
        <s v="63e32ec4-d7d3-11ee-ac36-0242ff9ee44d"/>
        <s v="63e30e93-d7d3-11ee-ac36-0242ff9ee44d"/>
        <s v="63e3a5f4-d7d3-11ee-ac36-0242ff9ee44d"/>
        <s v="18d40e62-698d-4588-90db-eadedcfa1b6f"/>
        <s v="63e3b1b7-d7d3-11ee-ac36-0242ff9ee44d"/>
        <s v="63e32737-d7d3-11ee-ac36-0242ff9ee44d"/>
        <s v="63e32b46-d7d3-11ee-ac36-0242ff9ee44d"/>
        <s v="27bd15a8-36e5-4f59-8130-7b2fa0ec5789"/>
        <s v="63e38568-d7d3-11ee-ac36-0242ff9ee44d"/>
        <s v="63e3a8f4-d7d3-11ee-ac36-0242ff9ee44d"/>
        <s v="63e3a72e-d7d3-11ee-ac36-0242ff9ee44d"/>
        <s v="63e35a93-d7d3-11ee-ac36-0242ff9ee44d"/>
        <s v="63e3889a-d7d3-11ee-ac36-0242ff9ee44d"/>
        <s v="63e3b89e-d7d3-11ee-ac36-0242ff9ee44d"/>
        <s v="63e31860-d7d3-11ee-ac36-0242ff9ee44d"/>
        <s v="63e31f10-d7d3-11ee-ac36-0242ff9ee44d"/>
        <s v="63e38bd6-d7d3-11ee-ac36-0242ff9ee44d"/>
        <s v="63e3a00e-d7d3-11ee-ac36-0242ff9ee44d"/>
        <s v="63e3c6a7-d7d3-11ee-ac36-0242ff9ee44d"/>
        <s v="63e35d0e-d7d3-11ee-ac36-0242ff9ee44d"/>
        <s v="63e35d77-d7d3-11ee-ac36-0242ff9ee44d"/>
        <s v="63e3a202-d7d3-11ee-ac36-0242ff9ee44d"/>
        <s v="63e359d1-d7d3-11ee-ac36-0242ff9ee44d"/>
        <s v="63e31269-d7d3-11ee-ac36-0242ff9ee44d"/>
        <s v="63e3b7b4-d7d3-11ee-ac36-0242ff9ee44d"/>
        <s v="63e31790-d7d3-11ee-ac36-0242ff9ee44d"/>
        <s v="63e30f50-d7d3-11ee-ac36-0242ff9ee44d"/>
        <s v="63e3c252-d7d3-11ee-ac36-0242ff9ee44d"/>
        <s v="63e3a89e-d7d3-11ee-ac36-0242ff9ee44d"/>
        <s v="63e355fd-d7d3-11ee-ac36-0242ff9ee44d"/>
        <s v="63e342a5-d7d3-11ee-ac36-0242ff9ee44d"/>
        <s v="63e364f5-d7d3-11ee-ac36-0242ff9ee44d"/>
        <s v="63e30bdf-d7d3-11ee-ac36-0242ff9ee44d"/>
        <s v="63e3653e-d7d3-11ee-ac36-0242ff9ee44d"/>
        <s v="63e38beb-d7d3-11ee-ac36-0242ff9ee44d"/>
        <s v="63e35fa0-d7d3-11ee-ac36-0242ff9ee44d"/>
        <s v="63e38d4f-d7d3-11ee-ac36-0242ff9ee44d"/>
        <s v="63e35638-d7d3-11ee-ac36-0242ff9ee44d"/>
        <s v="63e3564e-d7d3-11ee-ac36-0242ff9ee44d"/>
        <s v="63e38959-d7d3-11ee-ac36-0242ff9ee44d"/>
        <s v="63e37935-d7d3-11ee-ac36-0242ff9ee44d"/>
        <s v="63e356cd-d7d3-11ee-ac36-0242ff9ee44d"/>
        <s v="63e3c5fb-d7d3-11ee-ac36-0242ff9ee44d"/>
        <s v="63e35679-d7d3-11ee-ac36-0242ff9ee44d"/>
        <s v="63e3bd71-d7d3-11ee-ac36-0242ff9ee44d"/>
        <s v="63e3506d-d7d3-11ee-ac36-0242ff9ee44d"/>
        <s v="63e3ce53-d7d3-11ee-ac36-0242ff9ee44d"/>
        <s v="63e3aa0b-d7d3-11ee-ac36-0242ff9ee44d"/>
        <s v="63e3b8e0-d7d3-11ee-ac36-0242ff9ee44d"/>
        <s v="63e30c1c-d7d3-11ee-ac36-0242ff9ee44d"/>
        <s v="63e3609a-d7d3-11ee-ac36-0242ff9ee44d"/>
        <s v="63e327ba-d7d3-11ee-ac36-0242ff9ee44d"/>
        <s v="63e3c2c1-d7d3-11ee-ac36-0242ff9ee44d"/>
        <s v="63e34e91-d7d3-11ee-ac36-0242ff9ee44d"/>
        <s v="63e390c0-d7d3-11ee-ac36-0242ff9ee44d"/>
        <s v="63e32535-d7d3-11ee-ac36-0242ff9ee44d"/>
        <s v="63e364ae-d7d3-11ee-ac36-0242ff9ee44d"/>
        <s v="63e3ac4e-d7d3-11ee-ac36-0242ff9ee44d"/>
        <s v="63e31ab0-d7d3-11ee-ac36-0242ff9ee44d"/>
        <s v="63e35565-d7d3-11ee-ac36-0242ff9ee44d"/>
        <s v="63e3a6ef-d7d3-11ee-ac36-0242ff9ee44d"/>
        <s v="63e3c63b-d7d3-11ee-ac36-0242ff9ee44d"/>
        <s v="63e3cbdd-d7d3-11ee-ac36-0242ff9ee44d"/>
        <s v="63e331b6-d7d3-11ee-ac36-0242ff9ee44d"/>
        <s v="63e34ba8-d7d3-11ee-ac36-0242ff9ee44d"/>
        <s v="63e38d64-d7d3-11ee-ac36-0242ff9ee44d"/>
        <s v="63e3aba4-d7d3-11ee-ac36-0242ff9ee44d"/>
        <s v="63e30c7e-d7d3-11ee-ac36-0242ff9ee44d"/>
        <s v="63e36c29-d7d3-11ee-ac36-0242ff9ee44d"/>
        <s v="63e34bfd-d7d3-11ee-ac36-0242ff9ee44d"/>
        <s v="63e37ace-d7d3-11ee-ac36-0242ff9ee44d"/>
        <s v="63e3221a-d7d3-11ee-ac36-0242ff9ee44d"/>
        <s v="63e397df-d7d3-11ee-ac36-0242ff9ee44d"/>
        <s v="63e3b9f7-d7d3-11ee-ac36-0242ff9ee44d"/>
        <s v="63e3988a-d7d3-11ee-ac36-0242ff9ee44d"/>
        <s v="63e3c8bc-d7d3-11ee-ac36-0242ff9ee44d"/>
        <s v="63e39bd0-d7d3-11ee-ac36-0242ff9ee44d"/>
        <s v="63e3a1ad-d7d3-11ee-ac36-0242ff9ee44d"/>
        <s v="63e35a25-d7d3-11ee-ac36-0242ff9ee44d"/>
        <s v="63e3c7d3-d7d3-11ee-ac36-0242ff9ee44d"/>
        <s v="63e38de4-d7d3-11ee-ac36-0242ff9ee44d"/>
        <s v="63e3a4b4-d7d3-11ee-ac36-0242ff9ee44d"/>
        <s v="63e3c400-d7d3-11ee-ac36-0242ff9ee44d"/>
        <s v="63e3a909-d7d3-11ee-ac36-0242ff9ee44d"/>
        <s v="63e36cde-d7d3-11ee-ac36-0242ff9ee44d"/>
        <s v="63e36cc8-d7d3-11ee-ac36-0242ff9ee44d"/>
        <s v="63e31dce-d7d3-11ee-ac36-0242ff9ee44d"/>
        <s v="63e33162-d7d3-11ee-ac36-0242ff9ee44d"/>
        <s v="63e371a3-d7d3-11ee-ac36-0242ff9ee44d"/>
        <s v="63e362ff-d7d3-11ee-ac36-0242ff9ee44d"/>
        <s v="63e38918-d7d3-11ee-ac36-0242ff9ee44d"/>
        <s v="63e359a6-d7d3-11ee-ac36-0242ff9ee44d"/>
        <s v="63e3afcd-d7d3-11ee-ac36-0242ff9ee44d"/>
        <s v="63e3b3bb-d7d3-11ee-ac36-0242ff9ee44d"/>
        <s v="63e311ad-d7d3-11ee-ac36-0242ff9ee44d"/>
        <s v="63e39096-d7d3-11ee-ac36-0242ff9ee44d"/>
        <s v="63e34731-d7d3-11ee-ac36-0242ff9ee44d"/>
        <s v="63e30f11-d7d3-11ee-ac36-0242ff9ee44d"/>
        <s v="63e39000-d7d3-11ee-ac36-0242ff9ee44d"/>
        <s v="63e3abcf-d7d3-11ee-ac36-0242ff9ee44d"/>
        <s v="63e3aecd-d7d3-11ee-ac36-0242ff9ee44d"/>
        <s v="63e3b5e5-d7d3-11ee-ac36-0242ff9ee44d"/>
        <s v="63e3a91e-d7d3-11ee-ac36-0242ff9ee44d"/>
        <s v="63e36bef-d7d3-11ee-ac36-0242ff9ee44d"/>
        <s v="63e34859-d7d3-11ee-ac36-0242ff9ee44d"/>
        <s v="63e3b426-d7d3-11ee-ac36-0242ff9ee44d"/>
        <s v="63e37160-d7d3-11ee-ac36-0242ff9ee44d"/>
        <s v="63e3b0a4-d7d3-11ee-ac36-0242ff9ee44d"/>
        <s v="63e31889-d7d3-11ee-ac36-0242ff9ee44d"/>
        <s v="63e34238-d7d3-11ee-ac36-0242ff9ee44d"/>
        <s v="63e37a4f-d7d3-11ee-ac36-0242ff9ee44d"/>
        <s v="63e38847-d7d3-11ee-ac36-0242ff9ee44d"/>
        <s v="63e33b0a-d7d3-11ee-ac36-0242ff9ee44d"/>
        <s v="63e3578e-d7d3-11ee-ac36-0242ff9ee44d"/>
        <s v="63e39c7e-d7d3-11ee-ac36-0242ff9ee44d"/>
        <s v="63e38b58-d7d3-11ee-ac36-0242ff9ee44d"/>
        <s v="63e37b93-d7d3-11ee-ac36-0242ff9ee44d"/>
        <s v="63e3550e-d7d3-11ee-ac36-0242ff9ee44d"/>
        <s v="63e36ade-d7d3-11ee-ac36-0242ff9ee44d"/>
        <s v="63e3105f-d7d3-11ee-ac36-0242ff9ee44d"/>
        <s v="63e35c8a-d7d3-11ee-ac36-0242ff9ee44d"/>
        <s v="63e374ec-d7d3-11ee-ac36-0242ff9ee44d"/>
        <s v="63e3a7b0-d7d3-11ee-ac36-0242ff9ee44d"/>
        <s v="63e30ddb-d7d3-11ee-ac36-0242ff9ee44d"/>
        <s v="63e3789e-d7d3-11ee-ac36-0242ff9ee44d"/>
        <s v="63e3c87d-d7d3-11ee-ac36-0242ff9ee44d"/>
        <s v="63e30fa4-d7d3-11ee-ac36-0242ff9ee44d"/>
        <s v="63e35e88-d7d3-11ee-ac36-0242ff9ee44d"/>
        <s v="63e3780a-d7d3-11ee-ac36-0242ff9ee44d"/>
        <s v="63e31bbc-d7d3-11ee-ac36-0242ff9ee44d"/>
        <s v="63e36054-d7d3-11ee-ac36-0242ff9ee44d"/>
        <s v="63e3695b-d7d3-11ee-ac36-0242ff9ee44d"/>
        <s v="63e3c994-d7d3-11ee-ac36-0242ff9ee44d"/>
        <s v="63e315df-d7d3-11ee-ac36-0242ff9ee44d"/>
        <s v="63e325f6-d7d3-11ee-ac36-0242ff9ee44d"/>
        <s v="63e3ae0f-d7d3-11ee-ac36-0242ff9ee44d"/>
        <s v="63e38429-d7d3-11ee-ac36-0242ff9ee44d"/>
        <s v="63e3d038-d7d3-11ee-ac36-0242ff9ee44d"/>
        <s v="63e35bbd-d7d3-11ee-ac36-0242ff9ee44d"/>
        <s v="63e34ee6-d7d3-11ee-ac36-0242ff9ee44d"/>
        <s v="63e3580c-d7d3-11ee-ac36-0242ff9ee44d"/>
        <s v="63e3c281-d7d3-11ee-ac36-0242ff9ee44d"/>
        <s v="63e31d11-d7d3-11ee-ac36-0242ff9ee44d"/>
        <s v="63e30cf5-d7d3-11ee-ac36-0242ff9ee44d"/>
        <s v="63e3863b-d7d3-11ee-ac36-0242ff9ee44d"/>
        <s v="63e365fc-d7d3-11ee-ac36-0242ff9ee44d"/>
        <s v="63e327a5-d7d3-11ee-ac36-0242ff9ee44d"/>
        <s v="63e38b03-d7d3-11ee-ac36-0242ff9ee44d"/>
        <s v="63e37312-d7d3-11ee-ac36-0242ff9ee44d"/>
        <s v="63e3346f-d7d3-11ee-ac36-0242ff9ee44d"/>
        <s v="63e3bcc3-d7d3-11ee-ac36-0242ff9ee44d"/>
        <s v="63e32f6d-d7d3-11ee-ac36-0242ff9ee44d"/>
        <s v="63e3a9f6-d7d3-11ee-ac36-0242ff9ee44d"/>
        <s v="63e3785f-d7d3-11ee-ac36-0242ff9ee44d"/>
        <s v="63e3c666-d7d3-11ee-ac36-0242ff9ee44d"/>
        <s v="63e3c58b-d7d3-11ee-ac36-0242ff9ee44d"/>
        <s v="63e38f67-d7d3-11ee-ac36-0242ff9ee44d"/>
        <s v="63e3acb9-d7d3-11ee-ac36-0242ff9ee44d"/>
        <s v="63e3ce97-d7d3-11ee-ac36-0242ff9ee44d"/>
        <s v="63e3a079-d7d3-11ee-ac36-0242ff9ee44d"/>
        <s v="63e3836c-d7d3-11ee-ac36-0242ff9ee44d"/>
        <s v="63e3c4b5-d7d3-11ee-ac36-0242ff9ee44d"/>
        <s v="63e370de-d7d3-11ee-ac36-0242ff9ee44d"/>
        <s v="63e360ba-d7d3-11ee-ac36-0242ff9ee44d"/>
        <s v="63e33bdc-d7d3-11ee-ac36-0242ff9ee44d"/>
        <s v="63e30bb4-d7d3-11ee-ac36-0242ff9ee44d"/>
        <s v="63e352eb-d7d3-11ee-ac36-0242ff9ee44d"/>
        <s v="63e34f25-d7d3-11ee-ac36-0242ff9ee44d"/>
        <s v="63e32adc-d7d3-11ee-ac36-0242ff9ee44d"/>
        <s v="63e35116-d7d3-11ee-ac36-0242ff9ee44d"/>
        <s v="63e3aa61-d7d3-11ee-ac36-0242ff9ee44d"/>
        <s v="63e3a445-d7d3-11ee-ac36-0242ff9ee44d"/>
        <s v="63e3b5fa-d7d3-11ee-ac36-0242ff9ee44d"/>
        <s v="63e3b6b9-d7d3-11ee-ac36-0242ff9ee44d"/>
        <s v="63e37c67-d7d3-11ee-ac36-0242ff9ee44d"/>
        <s v="63e37ea7-d7d3-11ee-ac36-0242ff9ee44d"/>
        <s v="63e31c54-d7d3-11ee-ac36-0242ff9ee44d"/>
        <s v="63e3109d-d7d3-11ee-ac36-0242ff9ee44d"/>
        <s v="63e3c4a0-d7d3-11ee-ac36-0242ff9ee44d"/>
        <s v="63e36a60-d7d3-11ee-ac36-0242ff9ee44d"/>
        <s v="63e3a532-d7d3-11ee-ac36-0242ff9ee44d"/>
        <s v="63e3772d-d7d3-11ee-ac36-0242ff9ee44d"/>
        <s v="63e367fc-d7d3-11ee-ac36-0242ff9ee44d"/>
        <s v="63e32f05-d7d3-11ee-ac36-0242ff9ee44d"/>
        <s v="63e332ef-d7d3-11ee-ac36-0242ff9ee44d"/>
        <s v="63e34f39-d7d3-11ee-ac36-0242ff9ee44d"/>
        <s v="63e33fac-d7d3-11ee-ac36-0242ff9ee44d"/>
        <s v="63e32c0b-d7d3-11ee-ac36-0242ff9ee44d"/>
        <s v="63e33c07-d7d3-11ee-ac36-0242ff9ee44d"/>
        <s v="63e3495a-d7d3-11ee-ac36-0242ff9ee44d"/>
        <s v="63e33305-d7d3-11ee-ac36-0242ff9ee44d"/>
        <s v="63e3a75a-d7d3-11ee-ac36-0242ff9ee44d"/>
        <s v="63e36077-d7d3-11ee-ac36-0242ff9ee44d"/>
        <s v="63e3b663-d7d3-11ee-ac36-0242ff9ee44d"/>
        <s v="63e35318-d7d3-11ee-ac36-0242ff9ee44d"/>
        <s v="63e3a115-d7d3-11ee-ac36-0242ff9ee44d"/>
        <s v="63e3c4cb-d7d3-11ee-ac36-0242ff9ee44d"/>
        <s v="63e3afe2-d7d3-11ee-ac36-0242ff9ee44d"/>
        <s v="63e355be-d7d3-11ee-ac36-0242ff9ee44d"/>
        <s v="63e32827-d7d3-11ee-ac36-0242ff9ee44d"/>
        <s v="63e34f7b-d7d3-11ee-ac36-0242ff9ee44d"/>
        <s v="63e358b9-d7d3-11ee-ac36-0242ff9ee44d"/>
        <s v="63e34f96-d7d3-11ee-ac36-0242ff9ee44d"/>
        <s v="63e3b322-d7d3-11ee-ac36-0242ff9ee44d"/>
        <s v="63e3bc83-d7d3-11ee-ac36-0242ff9ee44d"/>
        <s v="63e3ae8e-d7d3-11ee-ac36-0242ff9ee44d"/>
        <s v="63e39875-d7d3-11ee-ac36-0242ff9ee44d"/>
        <s v="63e3c9fe-d7d3-11ee-ac36-0242ff9ee44d"/>
        <s v="63e319b6-d7d3-11ee-ac36-0242ff9ee44d"/>
        <s v="63e33555-d7d3-11ee-ac36-0242ff9ee44d"/>
        <s v="63e34631-d7d3-11ee-ac36-0242ff9ee44d"/>
        <s v="63e3a16e-d7d3-11ee-ac36-0242ff9ee44d"/>
        <s v="63e38155-d7d3-11ee-ac36-0242ff9ee44d"/>
        <s v="63e34029-d7d3-11ee-ac36-0242ff9ee44d"/>
        <s v="63e38e4f-d7d3-11ee-ac36-0242ff9ee44d"/>
        <s v="63e34e29-d7d3-11ee-ac36-0242ff9ee44d"/>
        <s v="63e37d51-d7d3-11ee-ac36-0242ff9ee44d"/>
        <s v="63e3be51-d7d3-11ee-ac36-0242ff9ee44d"/>
        <s v="63e3c7a5-d7d3-11ee-ac36-0242ff9ee44d"/>
        <s v="63e3553a-d7d3-11ee-ac36-0242ff9ee44d"/>
        <s v="63e3a141-d7d3-11ee-ac36-0242ff9ee44d"/>
        <s v="63e3352a-d7d3-11ee-ac36-0242ff9ee44d"/>
        <s v="63e39c27-d7d3-11ee-ac36-0242ff9ee44d"/>
        <s v="63e39ea4-d7d3-11ee-ac36-0242ff9ee44d"/>
        <s v="63e38e64-d7d3-11ee-ac36-0242ff9ee44d"/>
        <s v="63e3a5b3-d7d3-11ee-ac36-0242ff9ee44d"/>
        <s v="63e37ae3-d7d3-11ee-ac36-0242ff9ee44d"/>
        <s v="63e3a295-d7d3-11ee-ac36-0242ff9ee44d"/>
        <s v="63e3398e-d7d3-11ee-ac36-0242ff9ee44d"/>
        <s v="63e3807e-d7d3-11ee-ac36-0242ff9ee44d"/>
        <s v="63e3ca2b-d7d3-11ee-ac36-0242ff9ee44d"/>
        <s v="63e36736-d7d3-11ee-ac36-0242ff9ee44d"/>
        <s v="63e38f10-d7d3-11ee-ac36-0242ff9ee44d"/>
        <s v="63e32813-d7d3-11ee-ac36-0242ff9ee44d"/>
        <s v="63e36687-d7d3-11ee-ac36-0242ff9ee44d"/>
        <s v="63e38d7a-d7d3-11ee-ac36-0242ff9ee44d"/>
        <s v="63e34986-d7d3-11ee-ac36-0242ff9ee44d"/>
        <s v="63e349c7-d7d3-11ee-ac36-0242ff9ee44d"/>
        <s v="63e3991c-d7d3-11ee-ac36-0242ff9ee44d"/>
        <s v="63e3a39a-d7d3-11ee-ac36-0242ff9ee44d"/>
        <s v="63e31645-d7d3-11ee-ac36-0242ff9ee44d"/>
        <s v="63e37f7c-d7d3-11ee-ac36-0242ff9ee44d"/>
        <s v="63e38b18-d7d3-11ee-ac36-0242ff9ee44d"/>
        <s v="63e3c5b7-d7d3-11ee-ac36-0242ff9ee44d"/>
        <s v="63e39c3c-d7d3-11ee-ac36-0242ff9ee44d"/>
        <s v="63e3d00c-d7d3-11ee-ac36-0242ff9ee44d"/>
        <s v="63e33516-d7d3-11ee-ac36-0242ff9ee44d"/>
        <s v="63e3570d-d7d3-11ee-ac36-0242ff9ee44d"/>
        <s v="63e33d5e-d7d3-11ee-ac36-0242ff9ee44d"/>
        <s v="63e376ec-d7d3-11ee-ac36-0242ff9ee44d"/>
        <s v="63e3af4c-d7d3-11ee-ac36-0242ff9ee44d"/>
        <s v="63e31a1d-d7d3-11ee-ac36-0242ff9ee44d"/>
        <s v="63e37177-d7d3-11ee-ac36-0242ff9ee44d"/>
        <s v="63e32ca1-d7d3-11ee-ac36-0242ff9ee44d"/>
        <s v="63e3539d-d7d3-11ee-ac36-0242ff9ee44d"/>
        <s v="63e3bcee-d7d3-11ee-ac36-0242ff9ee44d"/>
        <s v="63e3aca3-d7d3-11ee-ac36-0242ff9ee44d"/>
        <s v="63e391fe-d7d3-11ee-ac36-0242ff9ee44d"/>
        <s v="63e38f25-d7d3-11ee-ac36-0242ff9ee44d"/>
        <s v="63e32fd5-d7d3-11ee-ac36-0242ff9ee44d"/>
        <s v="63e33c65-d7d3-11ee-ac36-0242ff9ee44d"/>
        <s v="63e37820-d7d3-11ee-ac36-0242ff9ee44d"/>
        <s v="31fa141c-78f3-4fc3-976c-b109674538c5"/>
        <s v="63e391d1-d7d3-11ee-ac36-0242ff9ee44d"/>
        <s v="63e3917e-d7d3-11ee-ac36-0242ff9ee44d"/>
        <s v="63e39ecf-d7d3-11ee-ac36-0242ff9ee44d"/>
        <s v="63e340bc-d7d3-11ee-ac36-0242ff9ee44d"/>
        <s v="63e38c6a-d7d3-11ee-ac36-0242ff9ee44d"/>
        <s v="63e3c26a-d7d3-11ee-ac36-0242ff9ee44d"/>
        <s v="63e3b07a-d7d3-11ee-ac36-0242ff9ee44d"/>
        <s v="52d6d019-be4d-4317-b35a-637acf2392c7"/>
        <s v="63e37d27-d7d3-11ee-ac36-0242ff9ee44d"/>
        <s v="63e366a9-d7d3-11ee-ac36-0242ff9ee44d"/>
        <s v="63e3a303-d7d3-11ee-ac36-0242ff9ee44d"/>
        <s v="31140d6f-0d33-4d6c-8389-d55d868e7579"/>
        <s v="63e39d60-d7d3-11ee-ac36-0242ff9ee44d"/>
        <s v="63e30fb8-d7d3-11ee-ac36-0242ff9ee44d"/>
        <s v="63e3adfa-d7d3-11ee-ac36-0242ff9ee44d"/>
        <s v="63e37ce8-d7d3-11ee-ac36-0242ff9ee44d"/>
        <s v="63e34cd4-d7d3-11ee-ac36-0242ff9ee44d"/>
        <s v="63e3ca56-d7d3-11ee-ac36-0242ff9ee44d"/>
        <s v="63e3a242-d7d3-11ee-ac36-0242ff9ee44d"/>
        <s v="63e3761a-d7d3-11ee-ac36-0242ff9ee44d"/>
        <s v="63e38d8e-d7d3-11ee-ac36-0242ff9ee44d"/>
        <s v="63e3ca14-d7d3-11ee-ac36-0242ff9ee44d"/>
        <s v="63e3926c-d7d3-11ee-ac36-0242ff9ee44d"/>
        <s v="63e3ca6a-d7d3-11ee-ac36-0242ff9ee44d"/>
        <s v="63e3cb2e-d7d3-11ee-ac36-0242ff9ee44d"/>
        <s v="63e37e76-d7d3-11ee-ac36-0242ff9ee44d"/>
        <s v="63e33443-d7d3-11ee-ac36-0242ff9ee44d"/>
        <s v="63e3a932-d7d3-11ee-ac36-0242ff9ee44d"/>
        <s v="63e3a60a-d7d3-11ee-ac36-0242ff9ee44d"/>
        <s v="63e36cf4-d7d3-11ee-ac36-0242ff9ee44d"/>
        <s v="63e30c5a-d7d3-11ee-ac36-0242ff9ee44d"/>
        <s v="63e37a3b-d7d3-11ee-ac36-0242ff9ee44d"/>
        <s v="63e334ec-d7d3-11ee-ac36-0242ff9ee44d"/>
        <s v="63e3adb9-d7d3-11ee-ac36-0242ff9ee44d"/>
        <s v="629cf179-6bde-494e-a52a-1c480ff940f1"/>
        <s v="63e36bb0-d7d3-11ee-ac36-0242ff9ee44d"/>
      </sharedItems>
    </cacheField>
    <cacheField name="Peran" numFmtId="0">
      <sharedItems>
        <s v="operator admin"/>
        <s v="operator poktan"/>
        <s v="operator super admin"/>
        <s v="penyuluh"/>
        <s v="penyuluh_swadaya"/>
        <s v="petani"/>
      </sharedItems>
    </cacheField>
    <cacheField name="Nama" numFmtId="0">
      <sharedItems>
        <s v="Admin"/>
        <s v="AGNES DYAN PARAMITA, S.P."/>
        <s v="AGUNG SAPUTRO, S.S.T."/>
        <s v="AGUS PASIANTO, S.P.,M.M.A."/>
        <s v="ANDRI YATWOKO, S.S.T."/>
        <s v="AZIZ FEBRY ATMOKO, S.P."/>
        <s v="DEHA PURWOKO, S.S.T."/>
        <s v="DWI HANDOKO, S.S.T."/>
        <s v="HARDHIAN PERISA, S.S.T."/>
        <s v="heriyanto"/>
        <s v="HERIYANTO, S.P."/>
        <s v="LUDIANTORO ARIYADI, S.S.T."/>
        <s v="MARKABAN, S.P."/>
        <s v="Marsudiyanto"/>
        <s v="pengawas aplikasi sil"/>
        <s v="SIGIT WAHYUDI, S.P."/>
        <s v="SUGIYANTO, S.P."/>
        <s v="SUJITO, S.S.T."/>
        <s v="Tiara Rara"/>
        <s v="Tri Sujadmiko"/>
        <s v="WAWAN NURCAHYADI, S.P."/>
        <s v="WINNY WULANSARI, S.P."/>
        <s v="YUNI RAHMAWATI, S.P."/>
        <s v="anonnnymous"/>
        <s v="Haykal"/>
        <s v="PENGAWAS APLIKASI FRAND"/>
        <s v="Jagoan Labs"/>
        <s v="Penyuluhan Ngawi"/>
        <s v="petani jagoanlabs"/>
        <s v="WINNY WULANSARI, SP"/>
        <s v="3456020306512223"/>
        <s v="3652032623512325"/>
        <s v="Adam Trevor"/>
        <s v="ADHALIFATU SYA'DIYAH, S.S.T."/>
        <s v="AFIAT YUJONO, S.P."/>
        <s v="AGUNG ARIFIANTO, S.S.T."/>
        <s v="AGUNG ARIFIANTO, SST"/>
        <s v="AGUS PASIANTO, SP.MMA"/>
        <s v="AGUS TANTINI, S.T.P."/>
        <s v="ANANG SUPRAPTO, S.P."/>
        <s v="ANDRI PURNOMO, S.P."/>
        <s v="andri yatwoko"/>
        <s v="ANIK KRISTIANA, S.P."/>
        <s v="APRILINA DILARIATIN, A.Md."/>
        <s v="ARDHIAN SYUKMAWANTO PRADHIPTO, S.S.T."/>
        <s v="ARYS WIBOWO, S.S.T."/>
        <s v="asih"/>
        <s v="AWWALUDDIN FAZANI, S.S.T."/>
        <s v="BAMBANG TIONO, S.P."/>
        <s v="BUDIONO, S.P."/>
        <s v="Cahyono"/>
        <s v="ckp tw"/>
        <s v="ckp tw 2"/>
        <s v="DAMEYDRA JAYA, S.S.T."/>
        <s v="DEDY EKO SETIAWAN, S.P."/>
        <s v="DIKA LUSIANTO, S.S.T., S,Sos., M.M."/>
        <s v="DILI ARMI, S.T.P."/>
        <s v="drh. LENT LULIA HOETOYO"/>
        <s v="drh. NOVITA RAHMAWATI"/>
        <s v="DWI ELISA KURNIAWATI, S.P."/>
        <s v="DWI SETIYONO, S.S.T."/>
        <s v="DWI SURYANNINGDYAH HENI UNTARI, S.S.T."/>
        <s v="EDY SRIYONO"/>
        <s v="ENDRI CAHYO SAPUTRO, S.S.T."/>
        <s v="ERNA KUSUMAWATI HASTANINGSIH, S.P."/>
        <s v="FADELAN"/>
        <s v="fatqur"/>
        <s v="fian@gmail.com"/>
        <s v="FITRIA AGUSTINING S, S.P, M.Ec.Dev"/>
        <s v="FITRIA AGUSTINING SETYORINI, S.P., M.Ec.Dev."/>
        <s v="FRINDA ISKARISTANTI DEWI, S.S.T."/>
        <s v="GALIH PRAMUAJI, S.S.T."/>
        <s v="GONO, S.P."/>
        <s v="HARTOYO, S.S.T."/>
        <s v="HARYANA, S.Pt."/>
        <s v="HERLAN JAUHARI, S.P."/>
        <s v="IDA ROFFIANI DINAR EFTAVIA, S.S.T."/>
        <s v="IDA RUSMALA DEWI, S.P."/>
        <s v="IKE APRILIA HAPSARI, S.P."/>
        <s v="IMAM BUKHORI, S.Pt."/>
        <s v="INAYAH"/>
        <s v="INDRA PRIHADI IRAWAN, S.S.T."/>
        <s v="Ir. HENI ISWATI PRASETYANINGSIH"/>
        <s v="ISNAINI TRIANA MAKMUROH, S.P."/>
        <s v="Jokae"/>
        <s v="Joko"/>
        <s v="JOKO NUGROHO ARIBOWO, S.S.T."/>
        <s v="KARTI, S.P."/>
        <s v="khairul"/>
        <s v="KHIKMAWATI IRBANDERINI, S.P."/>
        <s v="KUKUH EKO SANTOSO, S.S.T."/>
        <s v="KUSNAN, S.P."/>
        <s v="LADHIANTO PRATAMA, S.P."/>
        <s v="LILIK PRIYANTO, S.P.,M.M.A."/>
        <s v="Mamang"/>
        <s v="MARKUS SILAMBI, S.S.T."/>
        <s v="MARSUDIYANTO, S.P."/>
        <s v="MAYANG KRISNANINGRUM, S.P."/>
        <s v="MBAJENG RUSSERTAYATI PUSPITASARI, S.T.P."/>
        <s v="MBAJENG RUSSERTAYATI PUSPITASARI, S.TP"/>
        <s v="MOCHAMAD NOVIANTO, S.S.T."/>
        <s v="MULYADI, S.S.T."/>
        <s v="NISWATUL KHASANAH, S.P."/>
        <s v="NOMPO KURNIAWAN, S.P."/>
        <s v="NUNUS WIDIYATMOKO, S.P."/>
        <s v="NURYANTO"/>
        <s v="Nyonya Yaqin"/>
        <s v="NYOTO PRASETYO, S.P."/>
        <s v="OKY RATNA ARDITA, S.P."/>
        <s v="PARYANTO, S.P."/>
        <s v="PASRI ANI SUSANTI, S.P."/>
        <s v="penyuluh reguler"/>
        <s v="PIPIET HARDYANSARI, S.Pt."/>
        <s v="PRAMONO, S.T.P."/>
        <s v="PRIYO SUSANTO, S.P."/>
        <s v="PURYANTO"/>
        <s v="QOMARUDDIN, S.P."/>
        <s v="R. AGUNG KUSUMO WAHYU WIBOWO, S.S.T."/>
        <s v="RACHMAT SAKSONO, S.P."/>
        <s v="RADEN AGUNG KUSUMO WAHYU WIBOWO, S.S.T."/>
        <s v="riritest"/>
        <s v="ririX"/>
        <s v="RIZKY SYAHRIRUL BAROKAH, S.P."/>
        <s v="Ryo Santoso"/>
        <s v="Satoru"/>
        <s v="SETIYONO, S.P."/>
        <s v="Shella Anggita Pramestika"/>
        <s v="shun izaki"/>
        <s v="SIHMIATI, S.P."/>
        <s v="SIKETAN"/>
        <s v="SITI WULANDARI, A.Md."/>
        <s v="SRI UTAMI USWATUL HASANAH, S.P."/>
        <s v="SUGIANTO, S.T.P."/>
        <s v="SUGIYANTA"/>
        <s v="SUGIYANTO,S.P."/>
        <s v="SUGIYARTO, S.P."/>
        <s v="SUHARYANTO, S.P."/>
        <s v="SUKIDI, S.P."/>
        <s v="SUPONO, S.S.T., M.M.A."/>
        <s v="SUTIKNO, S.P."/>
        <s v="Suwandi, S.P"/>
        <s v="SUWANDI, S.P."/>
        <s v="SUWARTI"/>
        <s v="SUWIJI, S.P."/>
        <s v="SUWOTO, S.P."/>
        <s v="SUYATMI LESTARI"/>
        <s v="Takiya jq"/>
        <s v="TEGUH BUDI SUSWANTO, S.S.T."/>
        <s v="test"/>
        <s v="Test nama"/>
        <s v="TINA KUSRIANA, S.P."/>
        <s v="TRI ANTO, S.P."/>
        <s v="TRI ASNANIK, S.P."/>
        <s v="Tri Sujatmiko"/>
        <s v="TRILIA APRIANI, S.P."/>
        <s v="TRIMULYO ANANTORI B, SP"/>
        <s v="TRIMULYO ANANTORI BINTORO, S.P."/>
        <s v="TRIYONO"/>
        <s v="ULIANA SISKA FARID WIJAYA"/>
        <s v="WAHYU AJI SETIAWAN, S.S.T."/>
        <s v="WAHYU ESTU UTAMI, S.P."/>
        <s v="WAHYU HARI AHADI S.Sos., SST"/>
        <s v="WAHYU HARI AHADI, S.S.T., S.Sos."/>
        <s v="WAHYU KASIH KUNTARTI, S.P., M.Ec.Dev."/>
        <s v="WARSINEM"/>
        <s v="WARSO, S.P."/>
        <s v="WARTINI, S.S.T."/>
        <s v="WIBOWO SANTOSO, S.P., M.M.A."/>
        <s v="WIDODO, S.P."/>
        <s v="WIDYO CAHYONO, S.P."/>
        <s v="YUNI ASTUTI, S.P."/>
        <s v="YUNING PUDJI SRIMULATSIH"/>
        <s v="YUSUP EFENDI, S.P."/>
        <s v="penyuluh swadaya"/>
        <s v="SUKANTO"/>
        <s v="SUPRIYADI"/>
        <s v="A RASIT SETIAWAN"/>
        <s v="AAN AGUS NURYADI"/>
        <s v="AAN HARIYANTO"/>
        <s v="AAN MUBAIDILAH"/>
        <s v="Aan Rismanto"/>
        <s v="AAN YUANI"/>
        <s v="Aan Yulianti"/>
        <s v="AAN YULIANTO"/>
        <s v="ABDUL AJIS"/>
        <s v="ABDUL AMUR"/>
        <s v="ABDUL AZIS ASHARI"/>
        <s v="Abdul Aziz"/>
        <s v="Abdul Bashith"/>
        <s v="ABDUL GHOFUR"/>
        <s v="ABDUL HALIM"/>
        <s v="ABDUL HAMID"/>
        <s v="Abdul Jabbar"/>
        <s v="ABDUL KADIR"/>
        <s v="Abdul Karim"/>
        <s v="ABDUL LATIF"/>
        <s v="ABDUL MUID"/>
        <s v="Abdul Qosim"/>
        <s v="Abdul Rachman Ramidi"/>
        <s v="Abdul Rahman"/>
        <s v="ABDUL ROHIM"/>
        <s v="Abdul Rojab"/>
        <s v="ABDUL ROKHIM"/>
        <s v="ABDUL ROSID"/>
        <s v="ABDUL SYAKUR"/>
        <s v="ABDULAH KAMDI"/>
        <s v="ABDULKAMID KEMIS"/>
        <s v="Abdullah"/>
        <s v="ABDULLAH UMAR"/>
        <s v="ABDUROKHIM"/>
        <s v="ABDUS SHOMAD"/>
        <s v="Abi Muhson"/>
        <s v="Abu Mansur"/>
        <s v="ABU THOYIB"/>
        <s v="Achmad Budi Santoso"/>
        <s v="ACHMAD MINHAJUL Q"/>
        <s v="ACHMAD NAWAWI"/>
        <s v="ACHMAD NUR CHOLIS"/>
        <s v="Achmad Subagio"/>
        <s v="Achmad Sunarko Z"/>
        <s v="ACHMAD SUNARYO"/>
        <s v="ACHMAD TIRMIDZI"/>
        <s v="ACHMADI"/>
        <s v="ACHSANUL ISTIQOMAH"/>
        <s v="Adam Perdana"/>
        <s v="ADHAN KRISABDIANTO"/>
        <s v="Adi"/>
        <s v="Adi Karno"/>
        <s v="Adi Listiyono"/>
        <s v="ADI LOSO"/>
        <s v="Adi Pangat"/>
        <s v="ADI PARJO"/>
        <s v="ADI PRAYITNO"/>
        <s v="ADI SAIMIN"/>
        <s v="ADI SEPUTRO DARNO"/>
        <s v="ADI SUKIR"/>
        <s v="Adi Sukono"/>
        <s v="Adi Sunaryo"/>
        <s v="ADI SUPARNO"/>
        <s v="ADI SUPARTO"/>
        <s v="ADI SURIP"/>
        <s v="ADI SUROTO"/>
        <s v="adi sutrisno"/>
        <s v="ADI SUWITO"/>
        <s v="ADI SUWITO SADI"/>
        <s v="ADI TARMAN"/>
        <s v="ADI TIYAS KARISMA PUTRA"/>
        <s v="ADI WIYONO"/>
        <s v="ADITYA ARDI WICAKSONO"/>
        <s v="adiwiyoto"/>
        <s v="ADMO SUMARNO"/>
        <s v="ADRIANA RUSTANTI"/>
        <s v="ADVIS BANGUN SETYO WIDODO"/>
        <s v="Ady Prasetyo"/>
        <s v="AFDUL KARIM"/>
        <s v="AFIP AMRULLOH"/>
        <s v="AGASTYA YOGA MULYA"/>
        <s v="Agung  Suseno"/>
        <s v="AGUNG BUDI AJI"/>
        <s v="AGUNG BUDI PURWANTO"/>
        <s v="AGUNG KRISTIANTO"/>
        <s v="AGUNG NUGROHO"/>
        <s v="AGUNG NURYANTO"/>
        <s v="AGUNG PRAWOTO"/>
        <s v="AGUNG PRIYANTO"/>
        <s v="AGUNG PURWADI"/>
        <s v="Agung Ridoana"/>
        <s v="Agung Saryoko"/>
        <s v="AGUNG SUBROTO"/>
        <s v="AGUNG SUPRAYITNO"/>
        <s v="AGUNG SUPRIYADI"/>
        <s v="Agung Supriyono"/>
        <s v="Agung Suwarno"/>
        <s v="AGUNG WIBOWO"/>
        <s v="AGUNG WIDODO"/>
        <s v="AGUNG YOGA PRATAMA"/>
        <s v="Agus"/>
        <s v="AGUS ALFAN FATHONI"/>
        <s v="Agus Alimin"/>
        <s v="AGUS ARI P"/>
        <s v="Agus Arif Sulistiyo"/>
        <s v="AGUS BUDI RIYANTO"/>
        <s v="AGUS BUDI UTOMO"/>
        <s v="Agus Cahyono"/>
        <s v="AGUS DARMAWAN"/>
        <s v="AGUS DWI SANTOSO"/>
        <s v="AGUS EDI CAHYONO"/>
        <s v="AGUS GONO"/>
        <s v="Agus H"/>
        <s v="Agus Hari Wibowo"/>
        <s v="AGUS HARIYANTO"/>
        <s v="AGUS HARIYANTO SULISTYO"/>
        <s v="AGUS HARYANTO"/>
        <s v="AGUS HERMANTO"/>
        <s v="Agus Karyani"/>
        <s v="Agus Kasun"/>
        <s v="agus muryanto"/>
        <s v="AGUS MUTOHA"/>
        <s v="Agus Nurdin Budiarto"/>
        <s v="AGUS NURUL"/>
        <s v="AGUS PAMUJI"/>
        <s v="AGUS PITRIANTO"/>
        <s v="AGUS PRANOTO"/>
        <s v="AGUS PRASETYO"/>
        <s v="AGUS PRIHATIN"/>
        <s v="AGUS PURNOMO"/>
        <s v="Agus Purwadi"/>
        <s v="agus purwantoro"/>
        <s v="AGUS RIADI"/>
        <s v="Agus Rianto"/>
        <s v="Agus Riyanto"/>
        <s v="AGUS SANGAJI KUNCORO"/>
        <s v="Agus santoso"/>
        <s v="Agus Sapardi"/>
        <s v="AGUS SARDIYANTO"/>
        <s v="AGUS SETIYAWAN"/>
        <s v="Agus Setyawan"/>
        <s v="AGUS SLAMET"/>
        <s v="Agus Soleh"/>
        <s v="AGUS SUDARMANTO"/>
        <s v="Agus Sugianto"/>
        <s v="AGUS SUHARYONO"/>
        <s v="AGUS SUMARLAN"/>
        <s v="Agus Sumarno"/>
        <s v="Agus Sungarno"/>
        <s v="AGUS SUPRAPTO"/>
        <s v="AGUS SUPRAYOGO"/>
        <s v="Agus Supriyadi"/>
        <s v="Agus Supriyanto"/>
        <s v="Agus Supriyatno"/>
        <s v="AGUS SURAMTO"/>
        <s v="AGUS SURANTO"/>
        <s v="AGUS SURYANTO"/>
        <s v="Agus Susanto"/>
        <s v="AGUS SUSILO"/>
        <s v="AGUS SUTOPO"/>
        <s v="AGUS SUWANTO"/>
        <s v="AGUS SUWARSO"/>
        <s v="AGUS TAKIYUDIN"/>
        <s v="AGUS TRIANTO"/>
        <s v="AGUS TRIYANTO"/>
        <s v="AGUS TRIYONO"/>
        <s v="Agus Tusilo"/>
        <s v="AGUS WAHYU WIDODO"/>
        <s v="AGUS WIDIANTORO"/>
        <s v="Agus Widodo"/>
        <s v="agus yuswatono"/>
        <s v="Ahmad"/>
        <s v="Ahmad Harianto"/>
        <s v="Ahmad Junaidi"/>
        <s v="AHMAD ROFIQ H."/>
        <s v="Ahmad Safrudin"/>
        <s v="AHMAD SAFUAN"/>
        <s v="Ahmad Saidi"/>
        <s v="Ahmad Sholihin"/>
        <s v="AHMAD SUJADI"/>
        <s v="Ahmad Sution"/>
        <s v="AHMAD WAHIB"/>
        <s v="AHMAD ZAINURI"/>
        <s v="AHMADI"/>
        <s v="AHMADIN"/>
        <s v="AHMAT SUPARDJO"/>
        <s v="AHMAT ZAHLAN"/>
        <s v="Ajik Sumar Setiyono"/>
        <s v="Akad"/>
        <s v="ALAIKA QOMAR"/>
        <s v="ALEHANDRO RIVERIO MAMSUR"/>
        <s v="ALEX MAHARIKA K"/>
        <s v="ALEX SETIYONO"/>
        <s v="ALFIOVITTA MIFSHUNA"/>
        <s v="ALI HARSONO"/>
        <s v="ALI HIDAYAT"/>
        <s v="ALI MAHMUD"/>
        <s v="ALI MASYHURI"/>
        <s v="ALI MONDIR"/>
        <s v="Ali Muharom"/>
        <s v="ALI MUJIONO"/>
        <s v="Ali Mustofa"/>
        <s v="ali s"/>
        <s v="ALI SODIKIN"/>
        <s v="ALI SUMARGONO"/>
        <s v="ALI SUYOTO SAIMAN"/>
        <s v="ALIF SUBIYANTORO"/>
        <s v="Alif Sudarno"/>
        <s v="ALIFUL QOIMAH"/>
        <s v="ALIP SUPRAPTO"/>
        <s v="ALIT PAKAR PAULIANA"/>
        <s v="ALWAN TAFSIRI"/>
        <s v="AMAD SUHUD"/>
        <s v="AMAT"/>
        <s v="Amat Basir"/>
        <s v="Amat Giyo"/>
        <s v="Amat Jumani"/>
        <s v="AMAT KAERAN"/>
        <s v="AMAT MURSID"/>
        <s v="AMAT RIMANTO"/>
        <s v="Ambar Rahayu Ningsih"/>
        <s v="AMBARI"/>
        <s v="Amin"/>
        <s v="AMIN ROHMAT"/>
        <s v="AMIN SUGENG WIDODO"/>
        <s v="AMIN SUTIKNO"/>
        <s v="AMIN SUYUTI"/>
        <s v="Amin Syamhudi"/>
        <s v="AMIN UTOMO"/>
        <s v="AMINAH"/>
        <s v="AMINING"/>
        <s v="Aminudin"/>
        <s v="AMIR"/>
        <s v="AMIR SURAHMAN"/>
        <s v="AMIRIL FARID RIZQY"/>
        <s v="Ana Widyawati"/>
        <s v="Anang Abadi"/>
        <s v="Anang Agus Setiabudi"/>
        <s v="Anang Dwi P"/>
        <s v="ANANG GURIDNO"/>
        <s v="Anang Prawoto"/>
        <s v="ANANG PUGUH JOKOPRIYANTO"/>
        <s v="ANANG SETIAWAN"/>
        <s v="Anang Setiyawan"/>
        <s v="Anang Sugianto"/>
        <s v="ANANG SUHARYONO"/>
        <s v="ANANUR ROFIATI"/>
        <s v="Anas Thohari"/>
        <s v="Andam Bahiaqi Raharjo"/>
        <s v="ANDI HAMDI"/>
        <s v="Andik Budianto"/>
        <s v="Andik Mulyono"/>
        <s v="Andik Puriawan"/>
        <s v="Andik Sunarto"/>
        <s v="Andik Triyan Susilo"/>
        <s v="ANDIK ZAINUDIN"/>
        <s v="Andika Candra"/>
        <s v="ANDIKA SAPUTRA"/>
        <s v="ANDON SUPRIADI MARSIDI"/>
        <s v="ANDRA JATMIKO"/>
        <s v="ANDREAN PRATAMA"/>
        <s v="andreas"/>
        <s v="Andri Nur Cahyo"/>
        <s v="ANDRI PRASTOWO"/>
        <s v="Andri Wahyu Purnomo"/>
        <s v="ANGGA ARDIA SURYA PUTRA"/>
        <s v="ANGGA DWI NUGROHO"/>
        <s v="Anggita Destiana"/>
        <s v="ANGGORO KASIH"/>
        <s v="ANIEK PUJIHASTUTI"/>
        <s v="ANIES MEI JATUNISA"/>
        <s v="Anif Umi M"/>
        <s v="ANIK SUSANTI"/>
        <s v="Anita Muryani"/>
        <s v="Anjar Srianto"/>
        <s v="ANNA ZAHROTUN NAFI'AH"/>
        <s v="ANTOK"/>
        <s v="ANTON"/>
        <s v="Anton Budi Prasetyo"/>
        <s v="Antonius Krisdianto"/>
        <s v="ANUNG WIDODO"/>
        <s v="ANWAR SHODIQ"/>
        <s v="Anwari"/>
        <s v="Aprilina Dilariatin"/>
        <s v="ARBA'I"/>
        <s v="Arbangi"/>
        <s v="ARDHIAN SYUKMAWANTO PRADHIPTO"/>
        <s v="arfian"/>
        <s v="ARIADI"/>
        <s v="Arianto Adi"/>
        <s v="Arie Widya P"/>
        <s v="ARIE ZULIANTORO"/>
        <s v="Arief Wahyu Pradana"/>
        <s v="Ariep Nanang Wijaya"/>
        <s v="ARIES WIJANANTO"/>
        <s v="ARIF NUGROHANTO"/>
        <s v="ARIF NURROHMAN"/>
        <s v="ARIF SUPRIYANTO"/>
        <s v="Arif Suratman"/>
        <s v="ARIFIN"/>
        <s v="ARIK SRI SUTINI"/>
        <s v="ARIMANTO"/>
        <s v="ARIP KUSUMO HANDOYO"/>
        <s v="Arip Suwignyo"/>
        <s v="Aris Aprianggoro"/>
        <s v="Aris ardianto"/>
        <s v="ARIS DAMANURI"/>
        <s v="ARIS LUSIDI"/>
        <s v="ARIS MUNANDAR"/>
        <s v="Aris Nur Gutomo"/>
        <s v="Aris Suprapto"/>
        <s v="ARIS SURYA KUSUMA"/>
        <s v="ARIS SUSILO"/>
        <s v="ARIS SUWANTO"/>
        <s v="ARIS WINARNO"/>
        <s v="Aristian Sutarso"/>
        <s v="Aristika Juli Astuti"/>
        <s v="ARIYANTO"/>
        <s v="Ariyono"/>
        <s v="Arjo  Seno"/>
        <s v="ARJO KASDI"/>
        <s v="ARJO SETU"/>
        <s v="Arjo Surip"/>
        <s v="ARMADI"/>
        <s v="Arum Agustina"/>
        <s v="ARVIYAN SINDU PRASMITO"/>
        <s v="ARWANI"/>
        <s v="Arwanto"/>
        <s v="ARY BUDI SETYAWAN"/>
        <s v="Aryani"/>
        <s v="Asep Suratno"/>
        <s v="ASMONO"/>
        <s v="ASPIRIP SUDIONO"/>
        <s v="Asrori"/>
        <s v="ASTUTIK"/>
        <s v="ATIT KURTUBI M"/>
        <s v="ATMO BANDI"/>
        <s v="ATMO DIHARJO"/>
        <s v="ATMO KAMIN"/>
        <s v="Atmo Sentono"/>
        <s v="ATMO SLAMET"/>
        <s v="Atmo Winoto Nyaman"/>
        <s v="ATOILLAH"/>
        <s v="AVIA HELMI"/>
        <s v="AVPRINO NUGROHO"/>
        <s v="AWALUDIN AHMAD"/>
        <s v="Awwaluddin Fazani"/>
        <s v="AYU"/>
        <s v="Aziz Febry Atmoko"/>
        <s v="BADRIYAH"/>
        <s v="Badriyanto"/>
        <s v="BAGUS BUDIYONO"/>
        <s v="BAHRODIN"/>
        <s v="bambang"/>
        <s v="BAMBANG ALIP PERMADI"/>
        <s v="BAMBANG EDI"/>
        <s v="BAMBANG EDY SARWIADI"/>
        <s v="BAMBANG FATKHURROHMAN"/>
        <s v="BAMBANG HARMANTO"/>
        <s v="BAMBANG HARYONO"/>
        <s v="BAMBANG INDARTO"/>
        <s v="BAMBANG ISTIAWAN"/>
        <s v="Bambang Kunto Wicaksono"/>
        <s v="BAMBANG PONCO ISMONO"/>
        <s v="BAMBANG PRIBADI"/>
        <s v="BAMBANG REDIONO"/>
        <s v="BAMBANG RIYADI"/>
        <s v="BAMBANG SETIYONO"/>
        <s v="Bambang Sri Murjanto"/>
        <s v="BAMBANG SUBANDONO"/>
        <s v="BAMBANG SUGITO"/>
        <s v="Bambang Sutejo"/>
        <s v="BAMBANG YULIANTO"/>
        <s v="Bandi"/>
        <s v="BARDJI"/>
        <s v="Bari"/>
        <s v="BARIKUN"/>
        <s v="BARIS"/>
        <s v="Bashar Purnomo"/>
        <s v="BASIRUN"/>
        <s v="BASUKI"/>
        <s v="BASUKI RAHMAT"/>
        <s v="BAWANI"/>
        <s v="BAYU AJI SETIAWAN"/>
        <s v="BAYU DWI NUGROHO"/>
        <s v="Bayu Eko Triwartanto"/>
        <s v="BAYU SETIYANTO"/>
        <s v="Bedjo"/>
        <s v="Bejo"/>
        <s v="BEJO RAHMAT"/>
        <s v="Bejo Setiawan"/>
        <s v="Bernadheta Suyatmi"/>
        <s v="Bibit"/>
        <s v="Bibit Marni"/>
        <s v="BINAH"/>
        <s v="Bingah"/>
        <s v="Bini"/>
        <s v="Binti Marsi'ah"/>
        <s v="Binuri"/>
        <s v="BIROWO"/>
        <s v="BISRI MUSTOFA"/>
        <s v="Boeran Adi Purnomo"/>
        <s v="Bono Siswo Utomo"/>
        <s v="BOWO"/>
        <s v="Boyadi"/>
        <s v="Broto"/>
        <s v="Budi Andri Santoso"/>
        <s v="BUDI CAHYONO"/>
        <s v="BUDI PURNAWAN"/>
        <s v="BUDI PURWANTO"/>
        <s v="BUDI RAHARJO"/>
        <s v="BUDI SANTOSO"/>
        <s v="Budi Susilowati"/>
        <s v="Budi Winarsih"/>
        <s v="Budianto"/>
        <s v="Budiono"/>
        <s v="Budiyanto"/>
        <s v="BUDIYONO"/>
        <s v="BUNDARI"/>
        <s v="Burhan Murprasetyo"/>
        <s v="cahyadi"/>
        <s v="CARYONO"/>
        <s v="CATUR BUDI UTOMO"/>
        <s v="CATUR SETIAWAN"/>
        <s v="CECEP SUPRIYADI"/>
        <s v="CHAERUL ANWAR"/>
        <s v="Christina Mami"/>
        <s v="Cikrak"/>
        <s v="Cimpling"/>
        <s v="CIPTO WIYONO"/>
        <s v="Cipto Wiyono Nyamin"/>
        <s v="CITRO KARDI"/>
        <s v="CUCUN CUNANGSIH"/>
        <s v="Dahlan Effendy"/>
        <s v="DAIM AFADI"/>
        <s v="DAINURI"/>
        <s v="DALILAN"/>
        <s v="Dami"/>
        <s v="damin"/>
        <s v="damis"/>
        <s v="DANANG BUDI PURWANTO"/>
        <s v="DANANG PRASETYO"/>
        <s v="Danang Susanto"/>
        <s v="DANANG TRISILO"/>
        <s v="darinem"/>
        <s v="dariyanto"/>
        <s v="DARMADI"/>
        <s v="DARMAJI"/>
        <s v="Darman"/>
        <s v="DARMANTO"/>
        <s v="Darmin"/>
        <s v="Darmini"/>
        <s v="Darminto"/>
        <s v="DARMO"/>
        <s v="DARMO NYONO"/>
        <s v="DARMO S"/>
        <s v="Darmo Sadat"/>
        <s v="DARMO SAGI"/>
        <s v="Darmo Suparto"/>
        <s v="DARMO SUWITO"/>
        <s v="Darmo suwito sadad"/>
        <s v="DARMO WARTO"/>
        <s v="Darmoko"/>
        <s v="DARMONO"/>
        <s v="Darmoredjo Lasimin"/>
        <s v="Darmuji"/>
        <s v="DARMUN"/>
        <s v="DARNI"/>
        <s v="DARNING PATMAWATI"/>
        <s v="DARNO"/>
        <s v="DARPO"/>
        <s v="DARSINI"/>
        <s v="DARSO WIDODO"/>
        <s v="DARSO WIYONO AL KIMIN"/>
        <s v="darsono"/>
        <s v="DARSONO ROHAYAT"/>
        <s v="Darti"/>
        <s v="DARTO"/>
        <s v="DARTO SAMIDI"/>
        <s v="DARWATI"/>
        <s v="DARYONO"/>
        <s v="Dasi"/>
        <s v="DASIDEN"/>
        <s v="Dasiyono"/>
        <s v="Dasmini"/>
        <s v="Dasrin"/>
        <s v="Dasuki"/>
        <s v="Daud"/>
        <s v="DAWAM"/>
        <s v="Demes Sri Utami"/>
        <s v="Dendi Budi Utomo"/>
        <s v="Denok Rahayu"/>
        <s v="DENRRY PUJI KURNIAWAN"/>
        <s v="Dessy"/>
        <s v="DIAN YULI SANTOSO"/>
        <s v="Diana Wahyu Sutrisni"/>
        <s v="DIANITA INDAH MARYANI"/>
        <s v="DIDIK  PRIYANTO"/>
        <s v="DIDIK DARMADI"/>
        <s v="DIDIK EKO NURYANTO"/>
        <s v="DIDIK FERIAWAN SAHNUR"/>
        <s v="DIDIK HARTANTO"/>
        <s v="DIDIK KARYADI"/>
        <s v="DIDIK PURWANTO"/>
        <s v="Didik Rudianto"/>
        <s v="DIDIK SUDARSONO"/>
        <s v="Didik Sugianto"/>
        <s v="DIDIK SUPRIYANTO"/>
        <s v="DIDIK TRIYANTO"/>
        <s v="Didik Yudiono"/>
        <s v="Didin SM"/>
        <s v="Digdo Budi Santoso"/>
        <s v="DIKAN"/>
        <s v="dikin"/>
        <s v="DIKUN"/>
        <s v="DIMAS SAPUTRO"/>
        <s v="DIMIN"/>
        <s v="Dini"/>
        <s v="DINNA KURNIAWATI"/>
        <s v="DIRIN"/>
        <s v="DIRUN WIRO SUNARSO"/>
        <s v="Diyono"/>
        <s v="DJAELANI"/>
        <s v="DJAMARI"/>
        <s v="DJASTOMO ALI MAHFUD"/>
        <s v="DJINEM"/>
        <s v="DJOKO SUPRAYOGI"/>
        <s v="Djono"/>
        <s v="Djoyo Sumarto"/>
        <s v="Djuari"/>
        <s v="DJUMADI"/>
        <s v="Djumingun"/>
        <s v="DJUMINI"/>
        <s v="DJUMIRAH"/>
        <s v="Djuri"/>
        <s v="Djuri harjo winoso"/>
        <s v="DODIK SETYAWAN"/>
        <s v="Domo"/>
        <s v="DONI HENDRI WIJAYA"/>
        <s v="DOPO"/>
        <s v="Doto"/>
        <s v="DRIJONO"/>
        <s v="DRS. DJONO"/>
        <s v="DUKUT"/>
        <s v="DUL ROKIB"/>
        <s v="Dwi Agus Purwanto"/>
        <s v="Dwi Antoro"/>
        <s v="DWI BANGUN BUDIYANTO"/>
        <s v="Dwi Darsono"/>
        <s v="DWI HARIYANTO"/>
        <s v="DWI HASTONO"/>
        <s v="Dwi Joko Sutrisno"/>
        <s v="Dwi Prabowo"/>
        <s v="DWI PUJIYANTO"/>
        <s v="DWI PURNOMO"/>
        <s v="Dwi Saputro"/>
        <s v="DWI SETIYONO, SST."/>
        <s v="DWI SUHARNI"/>
        <s v="DWI YANUARI SETYONUGROHO"/>
        <s v="Dzul Fakor"/>
        <s v="Edhi Wibowo"/>
        <s v="Edi erna irawan"/>
        <s v="EDI HARYONO"/>
        <s v="EDI PRAMINTO"/>
        <s v="Edi Setiawan"/>
        <s v="EDI SUJARWO"/>
        <s v="EDI SURATNO"/>
        <s v="Edi sutikno"/>
        <s v="EDI WARSENO"/>
        <s v="Edy Suryanto"/>
        <s v="EDY SUTAWAN"/>
        <s v="EDY SUWARTO"/>
        <s v="EDY WIDODO"/>
        <s v="EKA ERLIANA"/>
        <s v="EKA PRASTYA"/>
        <s v="Eka Supriyanto"/>
        <s v="EKO BUDI"/>
        <s v="Eko Budi Rianto"/>
        <s v="Eko Budi Santoso"/>
        <s v="Eko Budi Suswanto"/>
        <s v="EKO BUDIYANTO"/>
        <s v="Eko Cahyono"/>
        <s v="Eko Darmanto"/>
        <s v="EKO HADI SAPUTRO"/>
        <s v="Eko Jumari"/>
        <s v="EKO MARWANTO"/>
        <s v="EKO PRASETYO"/>
        <s v="Eko Pratiknyo"/>
        <s v="EKO PUJIANTO"/>
        <s v="eko purwanto"/>
        <s v="EKO RASMINTO"/>
        <s v="Eko Rianto"/>
        <s v="EKO RIYANTO"/>
        <s v="EKO ROCHMANI"/>
        <s v="EKO SARWONO"/>
        <s v="EKO SETIAWAN"/>
        <s v="EKO SUPRIYADI"/>
        <s v="EKO SUPRIYANTO"/>
        <s v="Eko Widi Cahyadi"/>
        <s v="EKO WIDODO"/>
        <s v="ENDAH ISTYORINI"/>
        <s v="ENDANG SRIYANI"/>
        <s v="ENDANG SUKESI"/>
        <s v="ENDANG SUSIANI"/>
        <s v="ENDANG TRI"/>
        <s v="Endra Wahana"/>
        <s v="Endro Hariono"/>
        <s v="Eni Kusrini"/>
        <s v="ENI YULIANINGSIH"/>
        <s v="ENWI ERNAWATI"/>
        <s v="ENY MITASIH"/>
        <s v="ENY ROOSITA"/>
        <s v="ERIK PURWOKO"/>
        <s v="ERISCA YAN IKA SEDYAD PUSPITA"/>
        <s v="ERLIN SUCI DYAH S"/>
        <s v="ERMA DWI RAHAYU"/>
        <s v="Erma susanti"/>
        <s v="ETRI PUSPITA"/>
        <s v="Eva Agustiyana"/>
        <s v="Evi Murniati"/>
        <s v="Fadel"/>
        <s v="Fadell"/>
        <s v="Fahrudin"/>
        <s v="Fajar Bayu a"/>
        <s v="Farid Afri Nurmansyah"/>
        <s v="FARIS DIAN KURNIAWAN"/>
        <s v="FARIZ NOOR AZIZI"/>
        <s v="Fariz Rizky Wijaya"/>
        <s v="FATHUR ROHMAN"/>
        <s v="Fatkhul Mubin"/>
        <s v="FATKHUROHMAN"/>
        <s v="FATKUR ROHMAN"/>
        <s v="Fatkurozi"/>
        <s v="Felix Chandra Muradji"/>
        <s v="Ferdifta Wahyu Anggita"/>
        <s v="feri edi puji hartono"/>
        <s v="Fitri Puji Astuti"/>
        <s v="FITRI SUPRIANIK"/>
        <s v="FIYAN SIH PAMBUDI"/>
        <s v="Fuad Wijoseno"/>
        <s v="Galih Wiranegara"/>
        <s v="Gangi"/>
        <s v="Gausilia Ferdhitaningrum"/>
        <s v="Gemi"/>
        <s v="Gendut Mujiono"/>
        <s v="Gendut santoso"/>
        <s v="Giarto"/>
        <s v="giman"/>
        <s v="GIMANTORO"/>
        <s v="gimin"/>
        <s v="Gino"/>
        <s v="GIONO"/>
        <s v="GIYANTO"/>
        <s v="GIYARTO"/>
        <s v="GIYATI"/>
        <s v="GIYONO"/>
        <s v="Gondo Pawiro Yahyo"/>
        <s v="Gugup Supriyanto"/>
        <s v="Gumono"/>
        <s v="Gunadi"/>
        <s v="Gunari"/>
        <s v="GUNARTO"/>
        <s v="Gunarto Abdul Aziz"/>
        <s v="Gunawan"/>
        <s v="Gunawan P"/>
        <s v="GUNDARNI"/>
        <s v="GUNTORO"/>
        <s v="GURITNO"/>
        <s v="HADI NURYANTO"/>
        <s v="HADI PRAMANA"/>
        <s v="Hadi Prayitno Kasman"/>
        <s v="Hadi Sudarno"/>
        <s v="Hadi Sumajid"/>
        <s v="HADI SURATNO"/>
        <s v="HADI WINARTA"/>
        <s v="HALIMATUS S"/>
        <s v="Hamid Romadhon"/>
        <s v="HAMIRANTO"/>
        <s v="HAN NIK SIH PRIHATIN"/>
        <s v="HANDOKO"/>
        <s v="HANDRIYANTO"/>
        <s v="HANES DWIDYO SASMIKO"/>
        <s v="HANFO WIBAHYUDI"/>
        <s v="HANIF SETIAWAN"/>
        <s v="Hardi"/>
        <s v="HARDIANTO"/>
        <s v="hardiyanto"/>
        <s v="HARDJO SUKAR"/>
        <s v="Hari Subagiyo"/>
        <s v="HARI SUSANTO"/>
        <s v="HARI SUTRISNO"/>
        <s v="HARIYADI"/>
        <s v="HARIYANI"/>
        <s v="HARIYANTI"/>
        <s v="HARIYANTO"/>
        <s v="Hariyasman"/>
        <s v="Hariyono"/>
        <s v="Harjo Kasiman"/>
        <s v="HARJO SIMAN"/>
        <s v="HARJOSARKAM"/>
        <s v="Harjowiyoto Yoto"/>
        <s v="HARMI"/>
        <s v="Harmoko"/>
        <s v="Harni"/>
        <s v="HARNO"/>
        <s v="HARNOKO"/>
        <s v="HARSONO"/>
        <s v="Harta Susila"/>
        <s v="HARTINI"/>
        <s v="Harto"/>
        <s v="Hartono"/>
        <s v="Hartoyo"/>
        <s v="HARUN"/>
        <s v="HARUN NURROSYID"/>
        <s v="HARWANTO"/>
        <s v="Harwati"/>
        <s v="HARY TOMMY ISTANTO"/>
        <s v="Haryanto"/>
        <s v="haryati"/>
        <s v="HARYUDI"/>
        <s v="HASAN ABDUL ROHMAN"/>
        <s v="hasby"/>
        <s v="Hastoko"/>
        <s v="Helis Ruswito"/>
        <s v="HENDRO P"/>
        <s v="HENI SETYOWATI"/>
        <s v="HENIS REZAWATI"/>
        <s v="Heri"/>
        <s v="HERI DWI CAHYONO"/>
        <s v="Heri Pujianto"/>
        <s v="Heri Purwanto"/>
        <s v="HERI SISWANTO"/>
        <s v="HERI WARSITO"/>
        <s v="HERI WIDYANTO"/>
        <s v="Herlan Jauhari"/>
        <s v="HERRIARTO"/>
        <s v="Heru Agus B"/>
        <s v="HERU SANTOSO"/>
        <s v="HERU SETIYONO"/>
        <s v="Hinari"/>
        <s v="HINDARTO"/>
        <s v="HUDA AHSANI"/>
        <s v="IAN FIRSTIAN ALDHI"/>
        <s v="IDA MUSTIKA"/>
        <s v="Idha Fitri Hariyani"/>
        <s v="IHWANUDIN"/>
        <s v="Ilaladi Khoifin"/>
        <s v="Ilham"/>
        <s v="Ilham mufarudin"/>
        <s v="ILYAS"/>
        <s v="Imam Ariyo"/>
        <s v="IMAM MARBAWI"/>
        <s v="INDAH YUNI LESTARI"/>
        <s v="Indrawati"/>
        <s v="Irwanto"/>
        <s v="Isbandi"/>
        <s v="ISMADI"/>
        <s v="ISMANI"/>
        <s v="ISMANTO"/>
        <s v="Ismiati"/>
        <s v="ISNAN FAUZY"/>
        <s v="ISNGADI"/>
        <s v="ISNI ROMDHONIATI"/>
        <s v="Isnoto"/>
        <s v="ISSE"/>
        <s v="ISTAMAR"/>
        <s v="ISTI SAROH"/>
        <s v="ISWAHYUDI"/>
        <s v="Iswandi"/>
        <s v="IWAN GUSWANTORO"/>
        <s v="JAILANI"/>
        <s v="Jaiman"/>
        <s v="Jaimin"/>
        <s v="Jainem"/>
        <s v="Jaini"/>
        <s v="Jali"/>
        <s v="JAMAL"/>
        <s v="JAMI"/>
        <s v="jamiatun"/>
        <s v="Jamiran"/>
        <s v="Janem"/>
        <s v="Jani"/>
        <s v="Januri"/>
        <s v="JAPAR"/>
        <s v="JARI"/>
        <s v="Jarman"/>
        <s v="JAROT"/>
        <s v="JARSI"/>
        <s v="JARWOTO"/>
        <s v="Jasman"/>
        <s v="Jasmani"/>
        <s v="Jayadi"/>
        <s v="Jefri Agung"/>
        <s v="JESSIKA FITRIANI"/>
        <s v="JIMAN"/>
        <s v="JIMMY SAPUTRA"/>
        <s v="jingun"/>
        <s v="Jiono"/>
        <s v="Jirmanto"/>
        <s v="JITO WIYONO"/>
        <s v="JIWOTO"/>
        <s v="JIYONO"/>
        <s v="jjjjjj"/>
        <s v="Joko Ary Purdianto"/>
        <s v="JOKO FEBRIANTO"/>
        <s v="JOKO HANDOKO"/>
        <s v="JOKO LEGOWO"/>
        <s v="Joko Murdani"/>
        <s v="JOKO NURYANTO"/>
        <s v="Joko Prasetyo"/>
        <s v="JOKO PURNOMO"/>
        <s v="Joko Purwanto"/>
        <s v="JOKO SANTOSO"/>
        <s v="JOKO SUDARSONO"/>
        <s v="JOKO SUSANTO"/>
        <s v="Joko Susetyo"/>
        <s v="JOKO SUTRISNO"/>
        <s v="JOKO SUYATIN"/>
        <s v="JOKO TRISILO"/>
        <s v="JOKO WARDONO"/>
        <s v="JOKO WARSITO"/>
        <s v="JOKO WIYONO"/>
        <s v="Joko. S"/>
        <s v="JONI PURNOMO"/>
        <s v="Joni Purwono"/>
        <s v="JONI SULISTYONO"/>
        <s v="JONI SUMITRO"/>
        <s v="Joni Suprapto"/>
        <s v="JONO"/>
        <s v="Julig Susilo"/>
        <s v="Jumadi"/>
        <s v="JUMALI"/>
        <s v="JUMALIK"/>
        <s v="Jumani"/>
        <s v="JUMARI"/>
        <s v="Jumarti"/>
        <s v="Jumirah"/>
        <s v="Jumiran"/>
        <s v="JUMIYATI"/>
        <s v="JUNAIDI"/>
        <s v="Juri"/>
        <s v="Juwandi"/>
        <s v="KAARNO"/>
        <s v="Kabiran"/>
        <s v="Kadam"/>
        <s v="Kadar"/>
        <s v="Kadi"/>
        <s v="KADI NURKHOLIS"/>
        <s v="KADIR"/>
        <s v="Kadiran"/>
        <s v="KADIYANTO"/>
        <s v="Kaeran"/>
        <s v="KALIDI"/>
        <s v="KAMDI"/>
        <s v="kamdo"/>
        <s v="KAMHAR"/>
        <s v="Kamidi"/>
        <s v="KAMIN"/>
        <s v="Kamirin"/>
        <s v="KAMTO"/>
        <s v="Kanang Kurniadin"/>
        <s v="Kaninyo"/>
        <s v="Kanthil"/>
        <s v="KARBI"/>
        <s v="KARDI"/>
        <s v="Karim"/>
        <s v="Kariman"/>
        <s v="Karimin"/>
        <s v="KARINI"/>
        <s v="Karjito"/>
        <s v="KARJONO"/>
        <s v="Karmaji"/>
        <s v="Karman"/>
        <s v="Karmani"/>
        <s v="Karmi"/>
        <s v="karmidi"/>
        <s v="Karmo Simun"/>
        <s v="Karmuji"/>
        <s v="KARNI"/>
        <s v="Karni Siswawijaya"/>
        <s v="KARNI WIANTO"/>
        <s v="KARNITO"/>
        <s v="Karno"/>
        <s v="KARSIANTO"/>
        <s v="Karsidi"/>
        <s v="KARSUN"/>
        <s v="KARTINI"/>
        <s v="KARTO WAGIMIN"/>
        <s v="Kartono"/>
        <s v="Karyadi"/>
        <s v="KARYANTO"/>
        <s v="Karyatin"/>
        <s v="Kasbolah"/>
        <s v="Kasdi"/>
        <s v="Kasdi Eko Winarno"/>
        <s v="KASIDI"/>
        <s v="KASIHATI"/>
        <s v="Kasipan"/>
        <s v="Kasiran"/>
        <s v="Kasiyem"/>
        <s v="KASIYONO"/>
        <s v="KASMANTO"/>
        <s v="Kasmi"/>
        <s v="Kasmin"/>
        <s v="KASMINAH"/>
        <s v="Kasni"/>
        <s v="KASNU"/>
        <s v="Kastono"/>
        <s v="Kaswadi"/>
        <s v="Katiman"/>
        <s v="Katimin"/>
        <s v="Katirah"/>
        <s v="Katon Yuwono"/>
        <s v="Kawirin"/>
        <s v="Kawito"/>
        <s v="KEMIS WIBOWO"/>
        <s v="Kenang"/>
        <s v="KHOIRONI"/>
        <s v="Khoirul Anam"/>
        <s v="KHOIRUL ANWAR"/>
        <s v="KHOIRUL MASHUDA"/>
        <s v="KHOIRUL MUKMININ"/>
        <s v="KHOIRUL SHOLEH"/>
        <s v="KHOIRUL SHOLIKIN"/>
        <s v="KHOIRUS SODIQ A"/>
        <s v="Khomarudin"/>
        <s v="KIMUN"/>
        <s v="Kisro"/>
        <s v="KOHAR"/>
        <s v="KOKOK WIBOWO"/>
        <s v="KOMARI"/>
        <s v="Komarudin"/>
        <s v="Konipan"/>
        <s v="KRISTIONO"/>
        <s v="KUN MASROKATIN"/>
        <s v="Kuslan"/>
        <s v="KUSMINI"/>
        <s v="Kusnadi"/>
        <s v="Kusnan"/>
        <s v="Kusni"/>
        <s v="Kusno"/>
        <s v="Kuswanto"/>
        <s v="LAMAN"/>
        <s v="Lamidi"/>
        <s v="Lamidjan"/>
        <s v="Lamijan"/>
        <s v="LAMIN"/>
        <s v="Lamin Jayangulama"/>
        <s v="Lamiran"/>
        <s v="LAMIYEM"/>
        <s v="Lamto"/>
        <s v="Langgeng"/>
        <s v="Langgeng Prayitno"/>
        <s v="LANJAR"/>
        <s v="Lantip"/>
        <s v="LASIM"/>
        <s v="LASIMAN"/>
        <s v="LASIMIN"/>
        <s v="Lasimun"/>
        <s v="Lasiyem"/>
        <s v="Lasmiatun"/>
        <s v="LASMIJO"/>
        <s v="LASMINI"/>
        <s v="Lasno"/>
        <s v="Lasono"/>
        <s v="LATRININGSIH"/>
        <s v="LEDUNG SUKONO"/>
        <s v="Legianto"/>
        <s v="Lilik Sugiarti"/>
        <s v="LINA DWI PUAS TUTIK"/>
        <s v="Linda Puspitasari"/>
        <s v="LINGGA DEVIANA BELA"/>
        <s v="Listiyo"/>
        <s v="LISTIYORINI"/>
        <s v="LISTYO SUPRAPTO"/>
        <s v="LUKMAN KARIM"/>
        <s v="LULUK SUNARTI"/>
        <s v="LUSIANA ARIE SUSANTI"/>
        <s v="Lutfiah"/>
        <s v="M Tarto"/>
        <s v="M ZAINURI"/>
        <s v="M. KHOIRI"/>
        <s v="M. Zainudin"/>
        <s v="MA'SUM"/>
        <s v="Machfud"/>
        <s v="Madi"/>
        <s v="Madi utomo"/>
        <s v="MADIYONO"/>
        <s v="MAGHFUR ALIF"/>
        <s v="MAHMUDA"/>
        <s v="MAKNO"/>
        <s v="MAKSUM"/>
        <s v="MAMIK SUTARMI"/>
        <s v="Mardi"/>
        <s v="MARDIYANTO"/>
        <s v="MARDIYONO"/>
        <s v="MARGO SETIO UTOMO"/>
        <s v="MARGONO"/>
        <s v="MARINEM"/>
        <s v="MARIONO"/>
        <s v="Mariyadi"/>
        <s v="MARIYAM"/>
        <s v="MARIYANTO"/>
        <s v="Mariyo"/>
        <s v="MARIYUN"/>
        <s v="MARJITO"/>
        <s v="MARJOKO"/>
        <s v="MARKAM"/>
        <s v="Marmin"/>
        <s v="Marmin Prasetyo"/>
        <s v="Marsidik"/>
        <s v="Marsono"/>
        <s v="MARSONO SUKAR"/>
        <s v="MARSUDI"/>
        <s v="Marwan"/>
        <s v="Marwoto"/>
        <s v="Maryadi"/>
        <s v="MARYANTO"/>
        <s v="Maryoko"/>
        <s v="MARYONO"/>
        <s v="MASDUKI"/>
        <s v="MASITHOH"/>
        <s v="MASKOM"/>
        <s v="Masngud"/>
        <s v="Mawardi Rofiq"/>
        <s v="Maya Kurniawati"/>
        <s v="Melinda Wahyuning Jannah"/>
        <s v="Mijan"/>
        <s v="MINARSIH"/>
        <s v="MINARTO"/>
        <s v="Mirun"/>
        <s v="Misbakhul munir"/>
        <s v="MISJIANTO"/>
        <s v="MISKAT"/>
        <s v="Misnan"/>
        <s v="MISNANTO"/>
        <s v="Misri"/>
        <s v="MJ. Margi Mitro"/>
        <s v="Moh Roqib"/>
        <s v="MOH. ALI"/>
        <s v="MOH. SIBAWEH"/>
        <s v="MOHAMMAD ASHURI"/>
        <s v="MU ALIM"/>
        <s v="Mu'anam"/>
        <s v="Muadi"/>
        <s v="Mucharrom"/>
        <s v="Muchtar"/>
        <s v="MUCHYAR"/>
        <s v="MUGIYANTO"/>
        <s v="Mugiyono"/>
        <s v="MUH AGUS PURWANTO"/>
        <s v="MUH MUSTOFA BASUKI AL SUKIDI"/>
        <s v="MUH NURYANTO"/>
        <s v="Muh Samhadi"/>
        <s v="Muhadi Suryono"/>
        <s v="MUHAMAD SAMAN HUDI"/>
        <s v="MUHAMMAD ARAFIQ"/>
        <s v="MUHAMMAD HAMIM"/>
        <s v="MUHAMMAD ILHAM M"/>
        <s v="Muhammad Sodiq"/>
        <s v="Muhdiono"/>
        <s v="MUHSIN EFENDI"/>
        <s v="MUHTAROM"/>
        <s v="Muji Hariyono"/>
        <s v="MUJIATI"/>
        <s v="MUJIONO"/>
        <s v="Mukharom"/>
        <s v="Muladiana"/>
        <s v="mulyadi"/>
        <s v="MULYANI"/>
        <s v="MULYANTO"/>
        <s v="MULYO UTOMO"/>
        <s v="MULYONO"/>
        <s v="Munahar"/>
        <s v="Munawar"/>
        <s v="Munirul"/>
        <s v="Munirul Hadi"/>
        <s v="Muriyem"/>
        <s v="MURYANTI"/>
        <s v="MURYANTO"/>
        <s v="Musdi Mustofa"/>
        <s v="MUSLIM"/>
        <s v="Mustakhim"/>
        <s v="MUSTAKIM"/>
        <s v="MUSTAQIM"/>
        <s v="MUSTOFA"/>
        <s v="mustofa fahmi"/>
        <s v="NANANG PRASETYO"/>
        <s v="NARDI"/>
        <s v="Narjito"/>
        <s v="NARNO"/>
        <s v="Narto"/>
        <s v="Nasir S"/>
        <s v="NELI MEGASARI"/>
        <s v="Ngadi Hariyadi"/>
        <s v="NGADIMAN"/>
        <s v="NGADIYANTO"/>
        <s v="Ngatimin"/>
        <s v="NGATMINI"/>
        <s v="Noto"/>
        <s v="Nugroho Noto Susanto"/>
        <s v="NUR ARIFIN HIDAYAT"/>
        <s v="NUR ARIYADI"/>
        <s v="NUR HARIANTO"/>
        <s v="Nur Puji Astuti"/>
        <s v="NUR RAMELAN"/>
        <s v="NUR ROCHMAN"/>
        <s v="Nur Rohman"/>
        <s v="NUR TOHARI"/>
        <s v="Nur Wahid"/>
        <s v="Nur Wahyudi"/>
        <s v="NURHADI"/>
        <s v="NURI"/>
        <s v="Nurkaniman"/>
        <s v="Nurmanto"/>
        <s v="NUROHMAN"/>
        <s v="NURSOJO"/>
        <s v="NURUL MARJULI"/>
        <s v="NYAMIN"/>
        <s v="Nyono"/>
        <s v="NYONO SLAMET WINARTO"/>
        <s v="Oko setiawan"/>
        <s v="PAGI"/>
        <s v="Pagiyanto"/>
        <s v="paidi"/>
        <s v="PAIDIANTO"/>
        <s v="PAIMIN"/>
        <s v="Paimin Tambah"/>
        <s v="PAMUJI"/>
        <s v="Pangat"/>
        <s v="PANGKY PURWANTO"/>
        <s v="PANIKEM"/>
        <s v="Paninyo"/>
        <s v="Paniran"/>
        <s v="PANIRIN"/>
        <s v="PANIYO"/>
        <s v="PANJI BUDI"/>
        <s v="Pardi"/>
        <s v="PARIDI"/>
        <s v="Parin"/>
        <s v="PARJI"/>
        <s v="Parjo"/>
        <s v="PARMAN"/>
        <s v="parmi"/>
        <s v="PARMIN"/>
        <s v="PARMONO"/>
        <s v="Parni"/>
        <s v="Parno"/>
        <s v="PARNO RUBIANTO"/>
        <s v="PARTO DIHARJO SIDIK"/>
        <s v="Partono"/>
        <s v="Parwoko"/>
        <s v="Paryono"/>
        <s v="PARYUDI"/>
        <s v="PATMO WIYONO"/>
        <s v="POEDJIONO"/>
        <s v="POMO"/>
        <s v="Pradana Dykdhya Wahana"/>
        <s v="Prapto"/>
        <s v="Praptomo"/>
        <s v="Prasowo"/>
        <s v="PRASTYO BUDI UTOMO"/>
        <s v="PRAWATI"/>
        <s v="PRAYITNO"/>
        <s v="PRIYADI"/>
        <s v="PRIYANTO"/>
        <s v="PRIYO WASONO"/>
        <s v="Priyono"/>
        <s v="PUGUH HASTO U"/>
        <s v="PUJI ASTUTIK"/>
        <s v="PUJI BAGIO"/>
        <s v="Puji Suwiknyo"/>
        <s v="PUJIANTO"/>
        <s v="Pujiatmiko"/>
        <s v="PUJIYANTO"/>
        <s v="PURBO SETYAWAN"/>
        <s v="Purmoko"/>
        <s v="Purnomo"/>
        <s v="Purnomo Ahmad Nur Humaidi"/>
        <s v="PURWADI"/>
        <s v="PURWANI"/>
        <s v="Purwanita"/>
        <s v="PURWANTINI"/>
        <s v="PURWANTO"/>
        <s v="Purwanto Hadi"/>
        <s v="Purwanto Wahyu Nugroho"/>
        <s v="Purwati"/>
        <s v="Purwito"/>
        <s v="Purwo Susilo"/>
        <s v="Puryanti"/>
        <s v="Puryono"/>
        <s v="PUSPITA SARI HANDAYANI"/>
        <s v="Putri Galuh Meilena"/>
        <s v="PUTUT BUDI SANTOSO"/>
        <s v="PUTUT JARWONO"/>
        <s v="Radikan"/>
        <s v="Radiono"/>
        <s v="Rahmat Gutomo"/>
        <s v="RAHMIKA MARI'E ALLIFUDIN"/>
        <s v="Rajiman"/>
        <s v="Rajimin"/>
        <s v="Rajiun"/>
        <s v="Rakidi"/>
        <s v="Rakijan"/>
        <s v="Rakiman"/>
        <s v="Rakino"/>
        <s v="RAMBU"/>
        <s v="RAMELAN"/>
        <s v="Ramidi"/>
        <s v="Rasimin"/>
        <s v="Rasmanto"/>
        <s v="Ratno"/>
        <s v="RAWIYUN"/>
        <s v="Rawuh"/>
        <s v="REBO"/>
        <s v="Reganyak"/>
        <s v="Rembang"/>
        <s v="REO PUTRA"/>
        <s v="Ridwan Riyanto"/>
        <s v="rifai"/>
        <s v="RIMAN"/>
        <s v="Rino Muhamad Saiful"/>
        <s v="RISDIANTO"/>
        <s v="RISTA ANDRIANA"/>
        <s v="Ristanti. S"/>
        <s v="RISTIANI"/>
        <s v="RIYADI"/>
        <s v="Riyani"/>
        <s v="Riyanto"/>
        <s v="riyem"/>
        <s v="rochmad"/>
        <s v="Rochmad santoso"/>
        <s v="Rochmadi"/>
        <s v="ROFI' SITI MU'ALIFAH"/>
        <s v="ROFIK"/>
        <s v="ROFIQ"/>
        <s v="Rogib"/>
        <s v="ROHANI"/>
        <s v="ROHMAD"/>
        <s v="Rohman"/>
        <s v="ROHMAT NUGROHO"/>
        <s v="Roni adi"/>
        <s v="RONY WIJAYA"/>
        <s v="ROSIANA DEWI"/>
        <s v="ROSIDI"/>
        <s v="Rosit Fatoni"/>
        <s v="Roswoto"/>
        <s v="RUDIK HARYANTO"/>
        <s v="Rudiono"/>
        <s v="RUDIYANTO"/>
        <s v="RUJIK SUJARYO"/>
        <s v="Rujito"/>
        <s v="Rukiman"/>
        <s v="Rukinah"/>
        <s v="RULLY DWI CAHYANTO"/>
        <s v="RUMINI"/>
        <s v="RURUH INDRIANA DAMAYANTI"/>
        <s v="Rusdianto"/>
        <s v="RUSLAN"/>
        <s v="RUSLAN ARIF"/>
        <s v="RUSLAN JAILANI"/>
        <s v="Rusmin"/>
        <s v="RUSMINI"/>
        <s v="Ruswanto"/>
        <s v="Sabar"/>
        <s v="Sabariyanto"/>
        <s v="Sadik"/>
        <s v="SADIMIN"/>
        <s v="SADIR WIDODO"/>
        <s v="SADIRAN"/>
        <s v="Sadirun"/>
        <s v="SADIYEM"/>
        <s v="SADIYO"/>
        <s v="Saeno Dwi Atmojo"/>
        <s v="Saeran"/>
        <s v="Sagiyanto"/>
        <s v="Saidi"/>
        <s v="SAIFUDDIN"/>
        <s v="SAIFUDIN"/>
        <s v="SAIFUL ANWAR"/>
        <s v="SAIMAN"/>
        <s v="Saimun"/>
        <s v="SAINU"/>
        <s v="Sajak"/>
        <s v="Saji"/>
        <s v="Salam"/>
        <s v="SALI"/>
        <s v="SALI RAHARJO"/>
        <s v="Salim"/>
        <s v="Salim Mustakim"/>
        <s v="Samanhudi"/>
        <s v="SAMIDI"/>
        <s v="Samidin"/>
        <s v="Samidjan"/>
        <s v="Samilan"/>
        <s v="Samin"/>
        <s v="Samingun"/>
        <s v="Samino"/>
        <s v="Samirin"/>
        <s v="Sampan"/>
        <s v="SAMSI"/>
        <s v="Samsikin"/>
        <s v="Samsirin"/>
        <s v="SAMSU"/>
        <s v="Samsudin"/>
        <s v="Samsul Muarifin"/>
        <s v="SAMUJI"/>
        <s v="Saniman"/>
        <s v="Sanimin"/>
        <s v="Santoso"/>
        <s v="SAPARDI"/>
        <s v="Sapari"/>
        <s v="SARBUDI"/>
        <s v="SARDI"/>
        <s v="Sarengat"/>
        <s v="Sarimin"/>
        <s v="Sarini"/>
        <s v="Sariningsih"/>
        <s v="sarinten"/>
        <s v="SARIYANTO"/>
        <s v="Sarjono"/>
        <s v="SARNIHADI"/>
        <s v="Sarno"/>
        <s v="Saroso"/>
        <s v="Sarpan"/>
        <s v="SARSAM W"/>
        <s v="SARWOKO"/>
        <s v="Sarwono"/>
        <s v="SASTRO SADI"/>
        <s v="Sayid"/>
        <s v="SEMI WIDAYATI"/>
        <s v="Seni"/>
        <s v="SETIADI"/>
        <s v="SETIYADI"/>
        <s v="SETIYONO"/>
        <s v="SETIYONO DWI KARTIKO"/>
        <s v="Setu Mustofa"/>
        <s v="SETU SETIADI"/>
        <s v="SETYA KARTI"/>
        <s v="Setyono"/>
        <s v="SHINTA CANDRA"/>
        <s v="SHOLEH HUDA"/>
        <s v="Sholichin"/>
        <s v="SHUMIRAN"/>
        <s v="Sidi"/>
        <s v="Sidianto"/>
        <s v="Sidiono"/>
        <s v="Sido Haryanto"/>
        <s v="SIGIT KURNIAWAN"/>
        <s v="Sigit Tri Budi Santoso"/>
        <s v="SIMAN"/>
        <s v="Sipan"/>
        <s v="Siramiati"/>
        <s v="Siran"/>
        <s v="SIRENG"/>
        <s v="Siswadi"/>
        <s v="SISWANTO"/>
        <s v="Siswo Wiyono"/>
        <s v="SISWOKO"/>
        <s v="Siswoyo"/>
        <s v="Siti Chasanah"/>
        <s v="siti fatimah"/>
        <s v="Siti Lailatul Khodar"/>
        <s v="Siti Ngaisah"/>
        <s v="Siti Ningsih"/>
        <s v="Slamet"/>
        <s v="SLAMET ARIYADI"/>
        <s v="SLAMET MULYONO"/>
        <s v="SLAMET RIYADI"/>
        <s v="SLAMET SUYANTO"/>
        <s v="Sobirin"/>
        <s v="SOETARNO"/>
        <s v="Sojo"/>
        <s v="SOKARTO JIMIN"/>
        <s v="Solikin"/>
        <s v="Somo Wiyono Seno"/>
        <s v="SOYO"/>
        <s v="SRI HARTINI"/>
        <s v="Sri Lestari"/>
        <s v="SRI MULYANI"/>
        <s v="Sri Mulyono"/>
        <s v="Sri Sumiharsih"/>
        <s v="Sri Wahyuni"/>
        <s v="SRI WANCI"/>
        <s v="SRI WARTINI"/>
        <s v="Sriati"/>
        <s v="Sriwarni"/>
        <s v="Sriyono"/>
        <s v="Sriyono Ali Rohman"/>
        <s v="SUBAGDI"/>
        <s v="Subandi"/>
        <s v="Subini"/>
        <s v="Sucipto"/>
        <s v="SUDADI"/>
        <s v="SUDADIANTO"/>
        <s v="Sudar"/>
        <s v="Sudarno"/>
        <s v="SUDARSO"/>
        <s v="SUDARSONO"/>
        <s v="SUDARTO"/>
        <s v="SUDARYANTO"/>
        <s v="Sudikin"/>
        <s v="Sudimin"/>
        <s v="Sudiyono"/>
        <s v="Sudji"/>
        <s v="Sugeng"/>
        <s v="Sugeng Hariyanto"/>
        <s v="SUGENG PRASETYO"/>
        <s v="Sugeng Prayitno"/>
        <s v="Sugeng Riyanto"/>
        <s v="SUGIANTO"/>
        <s v="Sugiharto"/>
        <s v="Sugiman"/>
        <s v="SUGIMIN"/>
        <s v="SUGIONO"/>
        <s v="SUGITO"/>
        <s v="SUGIYANTO"/>
        <s v="Sugiyarto"/>
        <s v="SUGIYONO"/>
        <s v="SUHADI"/>
        <s v="Suharno"/>
        <s v="Suharto"/>
        <s v="SUJARWO"/>
        <s v="Sujianto"/>
        <s v="SUJITO"/>
        <s v="SUJITO DWIYONO"/>
        <s v="SUJOKO"/>
        <s v="Sukadi"/>
        <s v="Sukamto"/>
        <s v="SUKAR"/>
        <s v="Sukardi"/>
        <s v="SUKARMAN"/>
        <s v="Sukarmin"/>
        <s v="SUKARNO"/>
        <s v="Sukarwan"/>
        <s v="SUKASNO"/>
        <s v="SUKIJAN"/>
        <s v="Sukiman"/>
        <s v="SUKIMIN"/>
        <s v="SUKINI"/>
        <s v="SUKIR"/>
        <s v="Sukiran"/>
        <s v="Sukirdi"/>
        <s v="sukirno"/>
        <s v="Sukiyem"/>
        <s v="Sukiyo"/>
        <s v="Sukoco"/>
        <s v="SUKODO"/>
        <s v="Sukono"/>
        <s v="SUKOTO"/>
        <s v="Sukram"/>
        <s v="SULAIMANUL HUDA"/>
        <s v="SULAMTO"/>
        <s v="Sulih"/>
        <s v="SULIS SETIANTO"/>
        <s v="Sulistiyono"/>
        <s v="Sulistyowati"/>
        <s v="SULIYEM"/>
        <s v="Sumadi"/>
        <s v="SUMADI SISWO SUPRAPTO"/>
        <s v="SUMALI"/>
        <s v="Sumanto"/>
        <s v="Sumardi"/>
        <s v="Sumarlan"/>
        <s v="SUMARLI"/>
        <s v="SUMARMI"/>
        <s v="SUMARMIN"/>
        <s v="SUMARNO"/>
        <s v="SUMARSIH"/>
        <s v="SUMARSO"/>
        <s v="Sumilan"/>
        <s v="Suminem"/>
        <s v="Sumino"/>
        <s v="Suminto"/>
        <s v="SUMONO"/>
        <s v="SUNAR JUWARNO"/>
        <s v="SUNARDI"/>
        <s v="SUNARI"/>
        <s v="SUNARNO"/>
        <s v="Sunarso"/>
        <s v="SUNARTI"/>
        <s v="SUNARTO"/>
        <s v="Sunaryo"/>
        <s v="Sunawan"/>
        <s v="Sungadi"/>
        <s v="Sunoto"/>
        <s v="SUNYOTO"/>
        <s v="SUPADIANTO"/>
        <s v="Supardi"/>
        <s v="Supardianto"/>
        <s v="Supardino"/>
        <s v="Supariyo"/>
        <s v="Suparji"/>
        <s v="Suparjo"/>
        <s v="SUPARLAN"/>
        <s v="SUPARMAN"/>
        <s v="SUPARMIN"/>
        <s v="SUPARMONO"/>
        <s v="SUPARNA"/>
        <s v="Suparni"/>
        <s v="Suparno"/>
        <s v="SUPARSI RANA W"/>
        <s v="Suparwo"/>
        <s v="SUPATMO"/>
        <s v="SUPOMO"/>
        <s v="Supono"/>
        <s v="SUPRAPTO"/>
        <s v="Suprianto"/>
        <s v="Supriyanto"/>
        <s v="SUPRIYANTO NUR CAHYO"/>
        <s v="SUPRIYONO"/>
        <s v="SURADI"/>
        <s v="Suraji"/>
        <s v="Suranto"/>
        <s v="Surat"/>
        <s v="SURATMAN"/>
        <s v="SURATMO"/>
        <s v="Suratno"/>
        <s v="SURISNO"/>
        <s v="Surono"/>
        <s v="SUROSO"/>
        <s v="SUROTO"/>
        <s v="Suryono"/>
        <s v="Susantara"/>
        <s v="Susilo"/>
        <s v="SUTAKAT"/>
        <s v="SUTARJI"/>
        <s v="SUTARJO"/>
        <s v="Sutarman"/>
        <s v="SUTARMI"/>
        <s v="Sutarmin"/>
        <s v="SUTARNO"/>
        <s v="SUTARTO"/>
        <s v="Sutikno"/>
        <s v="Sutikno Dwi Cahyono"/>
        <s v="SUTIMIN"/>
        <s v="SUTINI"/>
        <s v="SUTIYEM"/>
        <s v="Sutiyo"/>
        <s v="SUTIYONO"/>
        <s v="SUTOMO"/>
        <s v="SUTOPO"/>
        <s v="Sutoyo"/>
        <s v="Sutrisno"/>
        <s v="SUWADI"/>
        <s v="Suwaji"/>
        <s v="SUWANDI"/>
        <s v="Suwanti"/>
        <s v="SUWANTO"/>
        <s v="SUWARDI"/>
        <s v="Suwarno"/>
        <s v="SUWARTIN"/>
        <s v="SUWARTO"/>
        <s v="Suwito"/>
        <s v="Suwono"/>
        <s v="SUWOTO"/>
        <s v="Suyadi"/>
        <s v="SUYAHMIN"/>
        <s v="Suyandani"/>
        <s v="SUYANTO"/>
        <s v="SUYARNO"/>
        <s v="Suyatno"/>
        <s v="SUYITNO"/>
        <s v="SUYOKO"/>
        <s v="Suyono"/>
        <s v="Suyono Mardi Rasito"/>
        <s v="Suyoso"/>
        <s v="SUYOTO"/>
        <s v="Syahrifuddin"/>
        <s v="SYAIFUDIN"/>
        <s v="SYAIFUDIN ZUHRI"/>
        <s v="T. Efendi"/>
        <s v="Takim"/>
        <s v="TAMAN"/>
        <s v="Tamin"/>
        <s v="Tamri"/>
        <s v="Tamsir"/>
        <s v="Tarmudji"/>
        <s v="Tarno"/>
        <s v="Taryono"/>
        <s v="Tasiyo"/>
        <s v="Tasman"/>
        <s v="Tasmania"/>
        <s v="Tatik Nurfaidah"/>
        <s v="Teguh"/>
        <s v="Teguh Joko Santoso"/>
        <s v="TEGUH WIYONO"/>
        <s v="THOFIK YUSWANTORO"/>
        <s v="Thomas Welly Triatmojo"/>
        <s v="TIMBUL NS"/>
        <s v="Timin"/>
        <s v="Titin Dewi M"/>
        <s v="TOMI YUDHO NUGROHO"/>
        <s v="TONI SETIAWAN"/>
        <s v="Tosy Purbo Santoso"/>
        <s v="Totok Sugiarto"/>
        <s v="TOTOK SUNARTO"/>
        <s v="Tri Handono"/>
        <s v="TRIONO"/>
        <s v="TRISIH WASONO"/>
        <s v="Trismanto"/>
        <s v="TRIYONO ADI SAPITRO"/>
        <s v="Tryhono"/>
        <s v="TUKIMAN"/>
        <s v="Tukimin"/>
        <s v="Tulus Indra Bakti"/>
        <s v="Tulus Rujianto"/>
        <s v="Tumbar"/>
        <s v="Tumijan"/>
        <s v="TUMIN"/>
        <s v="TUMIN NURYANTO"/>
        <s v="TUMIYEM"/>
        <s v="TUNGGAL"/>
        <s v="Udin"/>
        <s v="UMAR HIDAYAT"/>
        <s v="UMAR THOHA"/>
        <s v="UMI KULSUM"/>
        <s v="Umi Maisaroh"/>
        <s v="USMAN"/>
        <s v="Usman Efendi"/>
        <s v="UTAMIASIH"/>
        <s v="VERI VERANTO"/>
        <s v="VIKE K"/>
        <s v="Wagiman"/>
        <s v="Wagimun"/>
        <s v="WAGINEM"/>
        <s v="Wagiran"/>
        <s v="Wagiyem"/>
        <s v="WAGIYO"/>
        <s v="WAHID"/>
        <s v="WAHONO"/>
        <s v="WAHYU HARSONO"/>
        <s v="WAHYU HERMAWAN"/>
        <s v="WAHYUDI"/>
        <s v="Waji Al Rosyid"/>
        <s v="WAKID NUR"/>
        <s v="Wakidah"/>
        <s v="WAKIRIN"/>
        <s v="Wakiyo"/>
        <s v="Wandi"/>
        <s v="WANDI ARISANDI"/>
        <s v="Wani"/>
        <s v="WARDHONI"/>
        <s v="Wardjito"/>
        <s v="WARGITO"/>
        <s v="WARISMAN"/>
        <s v="Warsana"/>
        <s v="Warseno"/>
        <s v="Warseto"/>
        <s v="Warsi"/>
        <s v="Warsidi"/>
        <s v="Warsidik"/>
        <s v="WARSITO"/>
        <s v="WARTO"/>
        <s v="Wartono"/>
        <s v="Wasis"/>
        <s v="Wasisto"/>
        <s v="Wasito"/>
        <s v="Widayat"/>
        <s v="Widiyanto"/>
        <s v="WIDODO"/>
        <s v="WIDODO P.U"/>
        <s v="Widyo cahyono, sp"/>
        <s v="Wignyo Diharjo Sugito"/>
        <s v="WIJI R"/>
        <s v="Wijianto"/>
        <s v="WINAJI"/>
        <s v="Winarko"/>
        <s v="Winarti"/>
        <s v="Winarto"/>
        <s v="WINASRI"/>
        <s v="WIRO SURAT"/>
        <s v="WIWIK NUROHMAN"/>
        <s v="WIWIK SUGIARTI"/>
        <s v="Wiwit Setyo Wahyudi"/>
        <s v="Wiyono"/>
        <s v="Wuryantoko"/>
        <s v="Yadi"/>
        <s v="YAHMIN"/>
        <s v="YANTO"/>
        <s v="YASUKI"/>
        <s v="Yatmin"/>
        <s v="Yayuk, R.S. "/>
        <s v="Yeni Rahmawati"/>
        <s v="yfyfyguuh"/>
        <s v="YISO"/>
        <s v="Yono"/>
        <s v="Yoyok .A"/>
        <s v="YUDA WAHYU PRASTIYA"/>
        <s v="Yudha Teguh Priyanto"/>
        <s v="YUDI NUGROHO"/>
        <s v="Yudi Warih Suka"/>
        <s v="Yudo Mulyono"/>
        <s v="YULI P"/>
        <s v="YULI PERTIWI"/>
        <s v="Yuliana"/>
        <s v="YULIANTO"/>
        <s v="Yusup Efendi"/>
        <s v="Yusup Mujianto"/>
        <s v="YUSUP SUPRIADI"/>
        <s v="YUSUP SUROSO"/>
        <s v="Yuswantoro"/>
        <s v="YUYUK DWI SUSANTI"/>
        <s v="Zainal Arifin"/>
        <s v="ZAINAL AZIKIN"/>
        <s v="ZAINAN NASIKIN"/>
        <s v="ZAINUL G"/>
        <s v="zamzudin"/>
        <s v="Zayyin Multazam Sukri"/>
      </sharedItems>
    </cacheField>
    <cacheField name="Email" numFmtId="0">
      <sharedItems containsBlank="1">
        <s v="khai@gmail.com"/>
        <s v="jogorogobpp@gmail.com"/>
        <s v="bppngawi@gmail.com"/>
        <s v="aguspasianto@gmail.com"/>
        <s v="bppkecamatangerih@gmail.com"/>
        <s v="bppkendalngawi@gmail.com"/>
        <s v="bppkaranganyarngw@gmail.com"/>
        <s v="dwihand127@gmail.com"/>
        <s v="perisaericz@yahoo.com"/>
        <s v="herry.ngawi90@gmail.com"/>
        <s v="bpppadas2020@gmail.com"/>
        <s v="paronbpp@gmail.com"/>
        <s v="markhabanngale@gmail.com"/>
        <s v="rachmatsaksono467@gmail.com"/>
        <s v="shilvi@admin.com"/>
        <s v="sigitwahyudi@gmail.com"/>
        <s v="bppkarangjati@gmail.com"/>
        <s v="bpppitoe@gmail.com"/>
        <s v="tiaralistyaningputri@gmail.com"/>
        <s v="bppwidodaren.official@gmail.com"/>
        <s v="wawannurcahyadi@yahoo.co.id"/>
        <s v="arshakasuntoro@gmail.com"/>
        <s v="rahmawatiyuni@gmail.com"/>
        <s v="khairulfatqurr@gmail.com"/>
        <s v="haykal@admin.com"/>
        <s v="frand@admin.com"/>
        <s v="jagoanlabs@gmail.com"/>
        <s v="penyuluhanngawi@gmail.com"/>
        <s v="petanijagoanlabs@gmail.com"/>
        <s v="Amien"/>
        <s v="Jarjit"/>
        <s v="mgkiddrock@gmail.com"/>
        <s v="lifa.widantio20@gmail.com"/>
        <m/>
        <s v="agnezdyanparamita@gmail.com"/>
        <s v="tobieputra@gmail.com"/>
        <s v="aguspasiantospmma29@gmail.com"/>
        <s v="ayat_woko9812@yahoo.co.id"/>
        <s v="anikkristiana.01@gmail.com"/>
        <s v="syukmawantoardhian@gmail.com"/>
        <s v="awaludin.sttp@gmail.com"/>
        <s v="azheez7981@gmail.com"/>
        <s v="tionobambang9@gmail.com"/>
        <s v="cahyono@penyuluh.com"/>
        <s v="ckptw@gmail.com"/>
        <s v="ckptw2@gmail.com"/>
        <s v="dehapurwoko@gmail.com"/>
        <s v="dika.lusianto@gmail.com"/>
        <s v="novi.drh@gmail.com"/>
        <s v="dwielisak@gmail.com"/>
        <s v="du.punya@gmail.com"/>
        <s v="edysriyono90@gmail.com"/>
        <s v="ernakusumawati746@gmail.com"/>
        <s v="fadelanminallah10@gmail.com"/>
        <s v="fatqur@gmail.com"/>
        <s v="frinda.id@gmail.com"/>
        <s v="gono5726@gmail.com"/>
        <s v="hartoyosamsung360@gmail.com"/>
        <s v="haryanaharyana187@gmail.com"/>
        <s v="herlanjauhari@gmail.com"/>
        <s v="ida@gmail.com"/>
        <s v="ikea37489@gmail.com"/>
        <s v="bukhoriretta@gmail.com"/>
        <s v="heniiswati382@gmail.com"/>
        <s v="isnineneni9i@gmail.com"/>
        <s v="jokoa@penyuluh.com"/>
        <s v="joko@penyuluh.com"/>
        <s v="kirbanderini@gmail.com"/>
        <s v="ladhiantopratama8@gmail.com"/>
        <s v="mamang@gmail.com"/>
        <s v="bppmantingan@gmail.com"/>
        <s v="markhabanngale1@gmail.com"/>
        <s v="silambimarkus17@gmail.com"/>
        <s v="marsudiyanto844@gmail.com"/>
        <s v="lula.nendra81@gmail.com"/>
        <s v="yaqinjq.muhammad@gmail.com"/>
        <s v="oki@gmail.com"/>
        <s v="pasriani71@gmail.com"/>
        <s v="penyuluhreguler@gmail.com"/>
        <s v="wekspipiet@gmail.com"/>
        <s v="puryantodikromo92@gmail.com"/>
        <s v="kusumoagung21@gmail.com"/>
        <s v="putriwldr329@gmail.com"/>
        <s v="test@gmail.com"/>
        <s v="rizkysb91@gmail.com"/>
        <s v="ryosantoso15@gmail.com"/>
        <s v="satoru@penyuluh.com"/>
        <s v="shelashela064@gmail.com"/>
        <s v="mohondiedit@gmail.com"/>
        <s v="sigit22wahyudi@gmail.com"/>
        <s v="siketan@ngawikab.go.id"/>
        <s v="shaqueensha@gmail.com"/>
        <s v="nul@gmail.com"/>
        <s v="sugiantoraffi@gmail.com"/>
        <s v="sugiyantavina@gmail.com"/>
        <s v="Sugi14juni@gmail.com"/>
        <s v="sugiyartougik93@gmail.com"/>
        <s v="totokpadas@gmail.com"/>
        <s v="jitoahnaf00742@gmail.com"/>
        <s v="auliatikno81@gmail.com"/>
        <s v="wandisakdermo@gmail.com"/>
        <s v="suwartibpp@gmail.com"/>
        <s v="takiya@admin.com"/>
        <s v="budisuswanto5479@gmail.com"/>
        <s v="test@mail.com"/>
        <s v="trisujatmiko25@gmail.com"/>
        <s v="trimulyo090576@gmail.com"/>
        <s v="wahyusetiawan471@gmail.com"/>
        <s v="wahyu.ahadi19@gmail.com"/>
        <s v="wksihku@gmail.com"/>
        <s v="wibowo452@gmail.com"/>
        <s v="widyamaharani126@gmail.com"/>
        <s v="mbkyuni0102@gmail.com"/>
        <s v="rahmawatiyuni134@gmail.com"/>
        <s v="yusupefendi935@gmail.com"/>
        <s v="penyuluhswadaya@gmail.com"/>
        <s v="o@gmail.com"/>
        <s v="bayudwinugroho@gmail.com"/>
        <s v="darmo@gmail.com"/>
        <s v="null"/>
        <s v="jogorogosiketan@gmail.com"/>
        <s v="Fadel@gmail.com"/>
        <s v="Fadell@gmail.com"/>
        <s v="Fariz@gmail.com"/>
        <s v="lamiran@gmail.com"/>
        <s v="munir@gmail.com"/>
        <s v="nurrohman@gmail.com"/>
        <s v="reganyak@gmail.com"/>
        <s v="saifudin@gmail.com"/>
        <s v="herry.ngawi@gmail.com"/>
        <s v="birowo.organik@gmail.com"/>
        <s v="sumarso@gmail.com"/>
        <s v="a@gmail.com"/>
        <s v="suroso@petani.com"/>
        <s v="suroto@gmail.com"/>
        <s v="yfyfyguuh@gmail.com"/>
        <s v="zamzudin@gmail.com"/>
      </sharedItems>
    </cacheField>
    <cacheField name="No WhatsApp">
      <sharedItems containsBlank="1" containsMixedTypes="1" containsNumber="1" containsInteger="1">
        <n v="8.512375925E9"/>
        <n v="8.5736635579E10"/>
        <n v="8.5735113595E10"/>
        <n v="8.5856914475E10"/>
        <n v="8.5856261477E10"/>
        <n v="8.5736636579E10"/>
        <n v="8.2336621788E10"/>
        <n v="8.2335999707E10"/>
        <n v="8.3850518E10"/>
        <n v="8.5790570462E10"/>
        <n v="8.7856803894E10"/>
        <n v="8.9523655038E10"/>
        <n v="8.1231206843E10"/>
        <n v="8.123456789E9"/>
        <n v="8.5259626461E10"/>
        <n v="8.5235665155E10"/>
        <n v="8.5749592637E10"/>
        <n v="8.1333595339E10"/>
        <n v="8.5235415195E10"/>
        <n v="8.2143422489E10"/>
        <n v="8.953259349E10"/>
        <n v="8.2244693431E10"/>
        <n v="8.5812735927E10"/>
        <n v="8.123456789E10"/>
        <n v="8.10987654321E11"/>
        <n v="8.1252232644E10"/>
        <n v="8.1234567899E10"/>
        <n v="8.953259349E11"/>
        <s v="jl. desa simanalagi"/>
        <s v="jl. desa kalimalang"/>
        <n v="8.5174325636E10"/>
        <n v="8.1235730137E10"/>
        <n v="8.1335684594E10"/>
        <n v="8.5736881069E10"/>
        <n v="8.5843671615E10"/>
        <n v="8.13342235E10"/>
        <n v="8.5649502506E10"/>
        <n v="8.563501392E9"/>
        <n v="8.5856261377E10"/>
        <n v="8.1244857061E10"/>
        <n v="8.5647109231E10"/>
        <n v="8.5233719491E10"/>
        <n v="8.123405154E9"/>
        <n v="8.5232108618E10"/>
        <n v="8.1330500074E10"/>
        <n v="8.1556423161E10"/>
        <n v="8.789465123E9"/>
        <n v="8.7894563213E10"/>
        <n v="8.1332029263E10"/>
        <n v="8.5784809735E10"/>
        <n v="8.2143367634E10"/>
        <n v="8.5790218884E10"/>
        <n v="8.1914859925E10"/>
        <n v="8.2299972261E10"/>
        <n v="8.1234381838E10"/>
        <n v="8.560470467E10"/>
        <n v="8.5326113894E10"/>
        <n v="8.563518338E9"/>
        <n v="8.1336304421E10"/>
        <n v="8.5233731763E10"/>
        <n v="8.1332102027E10"/>
        <n v="8.1359422525E10"/>
        <n v="8.5230941551E10"/>
        <n v="8.2228499822E10"/>
        <n v="8.1335455073E10"/>
        <n v="8.5636325E9"/>
        <n v="8.233452145E10"/>
        <n v="8.5233912942E10"/>
        <n v="8.5714169155E10"/>
        <n v="8.3845379145E10"/>
        <n v="8.133569183E10"/>
        <n v="8.1335252669E10"/>
        <n v="8.564527995E10"/>
        <n v="8.2232414825E10"/>
        <n v="8.1233539127E10"/>
        <n v="8.2231263861E10"/>
        <n v="8.5736954848E10"/>
        <n v="8.2298765432E10"/>
        <n v="8.563622003E9"/>
        <n v="8.1335616515E10"/>
        <n v="81.0"/>
        <n v="8.123572537E9"/>
        <n v="8.2264051008E10"/>
        <n v="8.1238451871E10"/>
        <n v="8.2215570607E10"/>
        <n v="8.1335199545E10"/>
        <n v="8.5259059866E10"/>
        <n v="8.9603093251E10"/>
        <n v="8.2244612233E10"/>
        <n v="8.2233902019E10"/>
        <n v="8.1328289929E10"/>
        <n v="8.5710247947E10"/>
        <n v="8.589524964E10"/>
        <n v="8.5649377468E10"/>
        <n v="8.1231281171E10"/>
        <n v="8.1330394994E10"/>
        <n v="8.5857501171E10"/>
        <n v="8.5851877086E10"/>
        <n v="8.5755349122E10"/>
        <n v="8.22453632E10"/>
        <n v="8.1335573403E10"/>
        <n v="8.1556554554E10"/>
        <n v="8.123171979E9"/>
        <n v="8.5100839993E10"/>
        <n v="8.5334055897E10"/>
        <n v="8.5790407759E10"/>
        <n v="8.9603178884E10"/>
        <n v="8.16567197E8"/>
        <n v="8.1231206844E10"/>
        <n v="8.9579876543E10"/>
        <n v="9.87655678909E11"/>
        <n v="8.233596541E10"/>
        <n v="8.5233898981E10"/>
        <n v="8.6598653246E10"/>
        <n v="8.1310015763E10"/>
        <n v="8.2334470456E10"/>
        <n v="8.5235002321E10"/>
        <n v="8.5123456871E10"/>
        <n v="8.1231849964E10"/>
        <n v="8.5851312209E10"/>
        <n v="8.523487736E10"/>
        <n v="8.5608292785E10"/>
        <n v="8.113777067E9"/>
        <n v="8.5843004495E10"/>
        <n v="8.5648811748E10"/>
        <n v="8.2133308063E10"/>
        <n v="8.5233915366E10"/>
        <n v="8.2301027322E10"/>
        <n v="8.22301027322E11"/>
        <n v="8.1334851474E10"/>
        <n v="8.2139641863E10"/>
        <n v="8.5210394099E10"/>
        <n v="8.5233900788E10"/>
        <n v="8.2330607672E10"/>
        <n v="8.213214321E9"/>
        <n v="8.1234567898E10"/>
        <n v="8.212788887E10"/>
        <n v="8.2335525155E10"/>
        <n v="8.56451631E10"/>
        <n v="8.5159259788E10"/>
        <n v="8.5791575347E10"/>
        <n v="8.124985514E9"/>
        <n v="8.5233523631E10"/>
        <n v="8.1359556552E10"/>
        <n v="8.5648524244E10"/>
        <n v="8.124918253E9"/>
        <n v="8.5814137165E10"/>
        <n v="8.5235744779E10"/>
        <n v="8.1359860945E10"/>
        <n v="8.1578188341E10"/>
        <n v="8.2334512595E10"/>
        <n v="8.155039276E9"/>
        <n v="8.2229184007E10"/>
        <n v="8.2336420388E10"/>
        <n v="8.5736191771E10"/>
        <n v="8.145607689E10"/>
        <n v="8.5645411453E10"/>
        <n v="8.1236554778E10"/>
        <n v="8.1217006728E10"/>
        <n v="1.0"/>
        <n v="8.2142538557E10"/>
        <n v="8.223018766E10"/>
        <n v="8.5655388475E10"/>
        <n v="8.5853639904E10"/>
        <n v="8.5259451325E10"/>
        <m/>
        <n v="8.2142973516E10"/>
        <n v="8.5235630305E10"/>
        <n v="0.0"/>
        <n v="8.5103373232E10"/>
        <n v="8.5649098067E10"/>
        <n v="8.2141872198E10"/>
        <n v="8.5735602442E10"/>
        <n v="8.2140637531E10"/>
        <n v="8.5654128073E10"/>
        <n v="8.5236354217E10"/>
        <n v="8.5708015999E10"/>
        <n v="8.5748432062E10"/>
        <n v="8.233279389E10"/>
        <n v="8.1335261669E10"/>
        <n v="8.5235180496E10"/>
        <n v="8.5234446671E10"/>
        <n v="8.5749511857E10"/>
        <n v="8.13359905E10"/>
        <n v="2.0"/>
        <n v="8.1333906122E10"/>
        <n v="8.1329122107E10"/>
        <n v="8.5648555031E10"/>
        <n v="8.533662705E10"/>
        <n v="8.1233982352E10"/>
        <n v="8.2244825856E10"/>
        <n v="8.5234040176E10"/>
        <n v="8.1330720631E10"/>
        <n v="8.133596015E10"/>
        <n v="8.2301152355E10"/>
        <n v="8.2245442422E10"/>
        <n v="8.9631436646E10"/>
        <n v="8.5233836052E10"/>
        <n v="8.5336760229E10"/>
        <n v="8.1259621869E10"/>
        <n v="8.5293854446E10"/>
        <n v="8.139025822E10"/>
        <n v="8.2132190159E10"/>
        <n v="8.5217801919E10"/>
        <n v="8.5655522398E10"/>
        <n v="8.1359556087E10"/>
        <n v="8.2141312355E10"/>
        <n v="8.133527466E10"/>
        <n v="8.2140699265E10"/>
        <n v="8.223252301E10"/>
        <n v="8.5233742066E10"/>
        <n v="8.5235919085E10"/>
        <n v="8.133543388E10"/>
        <n v="8.1249434026E10"/>
        <n v="8.579067777E10"/>
        <n v="8.1527046505E10"/>
        <n v="8.5645477374E10"/>
        <n v="8.5850678281E10"/>
        <n v="8.5790863704E10"/>
        <n v="8.2257791825E10"/>
        <n v="8.1335208487E10"/>
        <n v="8.230185852E10"/>
        <n v="8.5235094487E10"/>
        <n v="8.5259906195E10"/>
        <n v="8.1225133819E10"/>
        <n v="8.523694096E10"/>
        <n v="8.5748519088E10"/>
        <n v="8.1230515354E10"/>
        <n v="8.2336841401E10"/>
        <n v="8.2330907017E10"/>
        <n v="8.5646256242E10"/>
        <n v="8.5646256243E10"/>
        <n v="8.135975241E10"/>
        <n v="8.15566411E10"/>
        <n v="8.1230925577E10"/>
        <n v="8.1330019908E10"/>
        <n v="8.5853417211E10"/>
        <n v="8.2331695666E10"/>
        <n v="8.5235665154E10"/>
        <n v="8.1252779695E10"/>
        <n v="8.5230936776E10"/>
        <n v="8.5230980404E10"/>
        <n v="8.1335389595E10"/>
        <n v="8.5103373231E10"/>
        <n v="8.13345206E10"/>
        <n v="8.1311827844E10"/>
        <n v="8.1331198303E10"/>
        <n v="8.233171555E9"/>
        <n v="8.5104622991E10"/>
        <n v="8.5334170068E10"/>
        <n v="8.1336184177E10"/>
        <n v="8.5235647267E10"/>
        <n v="8.2131008601E10"/>
        <n v="8.1226309333E10"/>
        <n v="8.5755303676E10"/>
        <n v="8.2132190158E10"/>
        <n v="8.5233563465E10"/>
        <n v="8.1293009692E10"/>
        <n v="8.1330239379E10"/>
        <s v="3521072602900003"/>
        <n v="8.5730115095E10"/>
        <n v="8.2132782503E10"/>
        <n v="8.1336973383E10"/>
        <n v="8.5853471212E10"/>
        <n v="8.5607633107E10"/>
        <n v="8.1335441183E10"/>
        <n v="8.1359544001E10"/>
        <n v="8.5233878924E10"/>
        <n v="8.5790554966E10"/>
        <n v="8.2220003557E10"/>
        <n v="8.214165148E10"/>
        <n v="8.2330421087E10"/>
        <n v="8.2301027211E10"/>
        <n v="8.5843004488E10"/>
        <n v="8.5604440008E10"/>
        <n v="8.1217755213E10"/>
        <n v="8.2141315373E10"/>
        <n v="8.5293854445E10"/>
        <n v="8.1335428544E10"/>
        <n v="8.585245612E10"/>
        <n v="8.533547433E10"/>
        <n v="8.5708227217E10"/>
        <n v="8.563483327E9"/>
        <n v="8.523393859E10"/>
        <n v="8.1335464406E10"/>
        <n v="8.5735878549E10"/>
        <n v="8.2318868112E10"/>
        <n v="8.5735438528E10"/>
        <n v="8.1232514422E10"/>
        <n v="8.5331754948E10"/>
        <n v="8.5235543827E10"/>
        <n v="8.5212635896E10"/>
        <n v="8.5790554965E10"/>
        <n v="8.5233596263E10"/>
        <n v="8.1335706863E10"/>
        <n v="8.525920211E10"/>
        <n v="8.5808430286E10"/>
        <n v="8.1335208367E10"/>
        <n v="8.5694040288E10"/>
        <n v="8.5708227216E10"/>
        <n v="8.5259838445E10"/>
        <n v="8.5233770937E10"/>
        <n v="8.5853362014E10"/>
        <n v="8.5736873913E10"/>
        <n v="8.1335760149E10"/>
        <n v="8.5233711713E10"/>
        <n v="8.5732216596E10"/>
        <n v="8.2141565509E10"/>
        <n v="8.5784375782E10"/>
        <n v="8.5736736496E10"/>
        <n v="8.5708105999E10"/>
        <n v="8.1234132272E10"/>
        <n v="8.5736901941E10"/>
        <n v="8.5791184735E10"/>
        <n v="8.5746553908E10"/>
        <n v="8.580684218E10"/>
        <n v="8.5704095477E10"/>
        <n v="8.5231194243E10"/>
        <n v="8.1373473866E10"/>
        <n v="8.5816137688E10"/>
        <n v="8.5790554964E10"/>
        <n v="8.1336496787E10"/>
        <n v="8.8697342208E10"/>
        <n v="8.2232066336E10"/>
        <n v="3.517009416E9"/>
        <n v="8.2331697033E10"/>
        <n v="8.1359023919E10"/>
        <n v="8.5790607669E10"/>
        <n v="8.2312388907E10"/>
        <n v="8.5235146712E10"/>
        <n v="8.5708011614E10"/>
        <n v="8.135714728E10"/>
        <n v="8.2332681766E10"/>
        <n v="8.1335285851E10"/>
        <n v="8.5335280985E10"/>
        <n v="8.5100414727E10"/>
        <n v="8.127535007E10"/>
        <n v="8.2269045241E10"/>
        <n v="8.5334028924E10"/>
        <n v="8.2332461206E10"/>
        <n v="8.5745977043E10"/>
        <n v="8.2336770777E10"/>
        <n v="8.5604388255E10"/>
        <n v="8.5235137251E10"/>
        <n v="8.1259902972E10"/>
        <n v="8.1331216956E10"/>
        <n v="8.1359267063E10"/>
        <n v="8.5326632177E10"/>
        <n v="8.1319283688E10"/>
        <n v="8.1393120813E10"/>
        <n v="8.1328929202E10"/>
        <n v="8.1332084559E10"/>
        <n v="8.1515880547E10"/>
        <n v="8.5856684253E10"/>
        <n v="8.5856234056E10"/>
        <n v="8.1348191E10"/>
        <n v="8.1234203007E10"/>
        <n v="8.5229582595E10"/>
        <n v="8.5235180495E10"/>
        <n v="8.538846747E10"/>
        <n v="8.817124623E9"/>
        <n v="8.1335663129E10"/>
        <n v="8.5869227477E10"/>
        <n v="8.523455327E10"/>
        <n v="8.5645810617E10"/>
        <n v="8.5655762124E10"/>
        <n v="8.1336184176E10"/>
        <n v="8.1247236487E10"/>
        <n v="8.5716360105E10"/>
        <n v="8.564584087E10"/>
        <n v="8.5229094349E10"/>
        <n v="8.1325019709E10"/>
        <n v="8.1359962888E10"/>
        <n v="8.573622103E10"/>
        <n v="8.1249551617E10"/>
        <n v="8.1359240487E10"/>
        <n v="8.133584603E10"/>
        <n v="8.5235052947E10"/>
        <n v="8.2332880388E10"/>
        <n v="8.5335474328E10"/>
        <n v="8.5641655935E10"/>
        <n v="8.5330549744E10"/>
        <n v="8.1329434504E10"/>
        <n v="8.5235961951E10"/>
        <n v="8.1556628882E10"/>
        <n v="8.5335474331E10"/>
        <n v="8.5259755878E10"/>
        <n v="8.5790570699E10"/>
        <n v="8.5729292088E10"/>
        <n v="8.1554152296E10"/>
        <n v="8.158327848E9"/>
        <n v="8.5334523413E10"/>
        <n v="8.5141565285E10"/>
        <n v="8.2337029948E10"/>
        <n v="8.5235256948E10"/>
        <n v="8.13285762E10"/>
        <n v="8.5710322783E10"/>
        <s v="3521091608710007"/>
        <n v="8.1335706864E10"/>
        <n v="8.133076679E10"/>
        <n v="8.5230636009E10"/>
        <n v="8.5869227476E10"/>
        <n v="8.121633354E10"/>
        <n v="8.2335355254E10"/>
        <n v="8.5649010902E10"/>
        <n v="8.5235782242E10"/>
        <n v="8.5336550367E10"/>
        <n v="8.1335810666E10"/>
        <n v="8.2141569707E10"/>
        <n v="8.1330880115E10"/>
        <n v="8.125936923E9"/>
        <n v="8.16520391E8"/>
        <n v="8.535143317E9"/>
        <n v="8.226476711E10"/>
        <n v="8.5645773199E10"/>
        <n v="8.5718396634E10"/>
        <n v="8.5604575111E10"/>
        <n v="8.563660184E9"/>
        <n v="8.5336837352E10"/>
        <n v="8.134690852E9"/>
        <n v="8.2220299966E10"/>
        <n v="8.3845138563E10"/>
        <n v="8.5229882642E10"/>
        <n v="8.2225917415E10"/>
        <n v="8.5232745388E10"/>
        <n v="8.5102849114E10"/>
        <n v="8.5790608277E10"/>
        <n v="8.5290198439E10"/>
        <n v="8.5784518176E10"/>
        <n v="8.1359598141E10"/>
        <n v="8.5236136662E10"/>
        <n v="8.2269791231E10"/>
        <n v="8.5755015044E10"/>
        <n v="8.5735593528E10"/>
        <n v="8.5235672001E10"/>
        <n v="8.5731087592E10"/>
        <n v="8.5330778688E10"/>
        <n v="8.5735674088E10"/>
        <n v="8.1558889985E10"/>
        <n v="8.571270839E10"/>
        <n v="8.5231216124E10"/>
        <n v="8.1459114506E10"/>
        <n v="8.5856444889E10"/>
        <n v="8.580690695E10"/>
        <n v="8.5735428448E10"/>
        <n v="8.128172531E10"/>
        <n v="8.5812490094E10"/>
        <n v="8.5233627039E10"/>
        <n v="8.2232319484E10"/>
        <n v="8.2232319485E10"/>
        <n v="8.214156551E10"/>
        <n v="8.5792219598E10"/>
        <n v="8.124986945E10"/>
        <n v="8.573391622E10"/>
        <n v="8.5337321217E10"/>
        <n v="8.5799111901E10"/>
        <n v="8.2333458543E10"/>
        <n v="8.1329326467E10"/>
        <n v="8.2142967226E10"/>
        <n v="8.5335960089E10"/>
        <n v="8.5655633834E10"/>
        <n v="8.5770427416E10"/>
        <n v="8.522981918E10"/>
        <n v="8.123427221E9"/>
        <n v="8.5303510261E10"/>
        <n v="8.5220797978E10"/>
        <n v="8.5235256946E10"/>
        <n v="8.1393031032E10"/>
        <n v="8.5233879638E10"/>
        <n v="8.1230515353E10"/>
        <n v="8.2325568205E10"/>
        <n v="8.5649315581E10"/>
        <s v="3521072805770001"/>
        <n v="8.2135033189E10"/>
        <n v="8.5231984464E10"/>
        <n v="8.2244488884E10"/>
        <n v="8.2229513547E10"/>
        <n v="8.1234131031E10"/>
        <n v="8.1335877574E10"/>
        <n v="8.5642111844E10"/>
        <n v="8.1335418908E10"/>
        <n v="8.5337321218E10"/>
        <n v="8.1335410377E10"/>
        <n v="8.1615600615E10"/>
        <n v="8.5235665278E10"/>
        <n v="8.5624085325E10"/>
        <n v="8.1556402433E10"/>
        <n v="8.5232934108E10"/>
        <n v="8.1216143675E10"/>
        <n v="8.1511210846E10"/>
        <n v="8.563656034E9"/>
        <n v="8.7766527766E10"/>
        <n v="8.21415937E10"/>
        <n v="8.5230422519E10"/>
        <n v="8.5607301504E10"/>
        <n v="8.2231787394E10"/>
        <n v="8.133595015E10"/>
        <n v="8.1382799446E10"/>
        <n v="8.3857163141E10"/>
        <n v="8.5790863703E10"/>
        <n v="8.5749860301E10"/>
        <n v="8.13355548E10"/>
        <n v="8.5736503436E10"/>
        <n v="8.5233311299E10"/>
        <n v="8.1212434396E10"/>
        <n v="8.563661882E9"/>
        <n v="8.2337221349E10"/>
        <n v="8.2134273082E10"/>
        <n v="8.5103370001E10"/>
        <n v="8.5233915365E10"/>
        <n v="8.5790227341E10"/>
        <n v="8.5235854516E10"/>
        <n v="8.5336620934E10"/>
        <n v="8.5815119622E10"/>
        <n v="8.5645814004E10"/>
        <n v="8.5232932995E10"/>
        <n v="8.5733096566E10"/>
        <n v="8.57461316E10"/>
        <n v="8.133598612E10"/>
        <n v="8.5330549742E10"/>
        <n v="8.5736454699E10"/>
        <n v="8.5216700888E10"/>
        <n v="8.1335860566E10"/>
        <n v="8.5790205524E10"/>
        <n v="8.1337766606E10"/>
        <n v="8.523364228E10"/>
        <n v="8.1335903738E10"/>
        <n v="8.5645704273E10"/>
        <n v="8.5234913825E10"/>
        <n v="9080808.0"/>
        <n v="8.5608725389E10"/>
        <n v="8.5732276653E10"/>
        <n v="6.282133084387E12"/>
        <n v="8.2225245074E10"/>
        <n v="8.1234480398E10"/>
        <n v="8.2330171555E10"/>
        <n v="8.2140698872E10"/>
        <n v="8.52596534E10"/>
        <n v="8.5257742588E10"/>
        <n v="8.5708931793E10"/>
        <n v="8.2331382326E10"/>
        <n v="8.5235040123E10"/>
        <n v="8.1249391445E10"/>
        <n v="8.5259661259E10"/>
        <n v="8.5733881471E10"/>
        <n v="8.5806844018E10"/>
        <n v="8.2330220693E10"/>
        <n v="8.5235379687E10"/>
        <n v="8.133598367E10"/>
        <n v="8.1946181206E10"/>
        <n v="8.5736858598E10"/>
        <n v="8.5330279021E10"/>
        <n v="8.5749394927E10"/>
        <n v="8.1229666655E10"/>
        <n v="8.3845898317E10"/>
        <n v="8.5230300182E10"/>
        <n v="8.5852865309E10"/>
        <n v="8.2213806392E10"/>
        <n v="8.5330338332E10"/>
        <n v="8.1249465799E10"/>
        <n v="8.1335033177E10"/>
        <n v="8.5335703268E10"/>
        <n v="8.1259807738E10"/>
        <n v="8.1218804597E10"/>
        <n v="8.2311546765E10"/>
        <n v="8.5235630303E10"/>
        <n v="8.1359515561E10"/>
        <n v="8.5258857732E10"/>
        <n v="8.5330337644E10"/>
        <n v="8.5236049804E10"/>
        <n v="8.5234937475E10"/>
        <n v="8.526632055E9"/>
        <n v="8.1330860853E10"/>
        <n v="8.5259568016E10"/>
        <n v="8.5645723997E10"/>
        <n v="8.5335383546E10"/>
        <n v="8.1335052884E10"/>
        <n v="8.1332005425E10"/>
        <n v="8.5790364717E10"/>
        <n v="8.2230187659E10"/>
        <n v="8.523504118E10"/>
        <n v="8.573590502E10"/>
        <n v="8.5645731126E10"/>
        <n v="8.5259224597E10"/>
        <n v="8.5233685156E10"/>
        <n v="8.5233879971E10"/>
        <n v="8.2397562129E10"/>
        <n v="8.5736622942E10"/>
        <n v="8.134556766E10"/>
        <n v="8.1357319689E10"/>
        <n v="8.155066711E9"/>
        <n v="8.1252779694E10"/>
        <n v="8.1234139591E10"/>
        <n v="8.2231787392E10"/>
        <n v="8.523362704E10"/>
        <n v="8.12592628E9"/>
        <n v="8.2335045393E10"/>
        <n v="8.5259654152E10"/>
        <n v="8.2301858518E10"/>
        <n v="8.5730843531E10"/>
        <n v="8.2137436753E10"/>
        <n v="8.19732922E8"/>
        <n v="8.3116606211E10"/>
        <n v="8.5649005844E10"/>
        <n v="8.2245409733E10"/>
        <n v="8.5204514478E10"/>
        <n v="8.2335164088E10"/>
        <n v="8.2141746854E10"/>
        <n v="8.5749506287E10"/>
        <n v="8.58124772551E11"/>
        <n v="8.5648616315E10"/>
        <n v="8.5735622614E10"/>
        <n v="8.5100676445E10"/>
        <n v="8.5100341426E10"/>
        <n v="8.1232023458E10"/>
        <n v="8.5235256947E10"/>
        <n v="8.510251935E10"/>
        <n v="8.5790364718E10"/>
        <n v="8.1252386006E10"/>
        <n v="8.15565894E10"/>
        <n v="8.5708503289E10"/>
        <n v="8.133575526E10"/>
        <n v="8.5259855444E10"/>
        <n v="8.1336178537E10"/>
        <n v="-1.0"/>
        <n v="8.5259908247E10"/>
        <n v="8.533445792E10"/>
        <n v="8.573004391E10"/>
        <n v="8.125904136E9"/>
        <n v="8.5655633832E10"/>
        <n v="8.1249673469E10"/>
        <n v="8.2262222073E10"/>
        <n v="8.2140520824E10"/>
        <n v="8.1249434025E10"/>
        <n v="8.2336649669E10"/>
        <n v="8.2334717274E10"/>
        <n v="8.5852330425E10"/>
        <n v="8.1259100393E10"/>
        <n v="8.1259000474E10"/>
        <n v="8.5859229259E10"/>
        <n v="8.5736672992E10"/>
        <n v="8.5815945336E10"/>
        <n v="8.5735093371E10"/>
        <n v="8.573510564E10"/>
        <n v="8.5708666077E10"/>
        <n v="8.1252779693E10"/>
        <n v="8.1332576177E10"/>
        <n v="8.5225637405E10"/>
        <n v="8.572155759E10"/>
        <n v="8.2133903151E10"/>
        <n v="8.5856092275E10"/>
        <n v="8.2141816903E10"/>
        <n v="8.1359559982E10"/>
        <n v="8.21310086E10"/>
        <n v="8.5733690458E10"/>
        <n v="8.1234028225E10"/>
        <n v="8.1556715577E10"/>
        <n v="8.1234251884E10"/>
        <n v="8.5954447637E10"/>
        <n v="8.2337454677E10"/>
        <n v="8.1359012432E10"/>
        <n v="8.8227786115E10"/>
        <n v="8.5235143317E10"/>
        <n v="8.3846966443E10"/>
        <n v="8.1216023265E10"/>
        <n v="8.587922261E10"/>
        <n v="8.2331794512E10"/>
        <n v="8.574901014E9"/>
        <n v="8.1367225044E10"/>
        <n v="8.5235231511E10"/>
        <n v="8.1381996165E10"/>
        <n v="8.1335388765E10"/>
        <n v="8.5746879791E10"/>
        <n v="8.5797064201E10"/>
        <n v="8.2338058887E10"/>
        <n v="8.52297333116E11"/>
        <n v="8.5230076676E10"/>
        <n v="8.5731696628E10"/>
        <n v="8.5731615748E10"/>
        <n v="8.133562307E10"/>
        <n v="8.5749125421E10"/>
        <n v="8.5235003271E10"/>
        <n v="8.5852504284E10"/>
        <n v="8.133534559E10"/>
        <n v="8.5229882641E10"/>
        <n v="8.1234105724E10"/>
        <n v="8.5107837891E10"/>
        <n v="8.5608925786E10"/>
        <n v="8.5730900352E10"/>
        <n v="8.5102517456E10"/>
        <n v="8.5736829012E10"/>
        <n v="8.5708227215E10"/>
        <n v="8.2228065398E10"/>
        <n v="8.1335465737E10"/>
        <n v="8.1217245422E10"/>
        <n v="8.5712708389E10"/>
        <n v="8.5755773688E10"/>
        <n v="8.2331261432E10"/>
        <n v="8.2334973646E10"/>
        <n v="8.1335944752E10"/>
        <n v="8.2143044812E10"/>
        <n v="8.15518147E9"/>
        <n v="8.5607005695E10"/>
        <n v="8.2331261437E10"/>
        <n v="8.2230846646E10"/>
        <n v="8.155545449E10"/>
        <n v="8.5745295955E10"/>
        <n v="8.5236197186E10"/>
        <n v="8.5786263046E10"/>
        <n v="8.5649946829E10"/>
        <n v="8.2326795661E10"/>
        <n v="8.159023919E9"/>
        <n v="8.1329418222E10"/>
        <n v="8.5319404441E10"/>
        <n v="8.5806842179E10"/>
        <n v="8.5229688588E10"/>
        <n v="8.2331081919E10"/>
        <n v="32.0"/>
        <n v="8.3850347826E10"/>
        <n v="8.5235617345E10"/>
        <n v="8.2302083711E10"/>
        <n v="8.5843168914E10"/>
        <n v="8.2142663057E10"/>
        <n v="8.5293650954E10"/>
        <n v="8.3845739951E10"/>
        <n v="8.1231586778E10"/>
        <n v="8.1224535472E10"/>
        <n v="8.125919566E10"/>
        <n v="8.5259662993E10"/>
        <n v="8.125990493E9"/>
        <n v="8.121606073E9"/>
        <n v="8.5234449814E10"/>
        <n v="8.5259060482E10"/>
        <n v="8.2335038016E10"/>
        <n v="8.2257793879E10"/>
        <n v="8.7888553684E10"/>
        <n v="8.1234246377E10"/>
        <n v="8.5895395795E10"/>
        <n v="8.5334913739E10"/>
        <n v="8.1556467515E10"/>
        <n v="8.1553258408E10"/>
        <n v="8.222739834E10"/>
        <n v="8.1336721441E10"/>
        <n v="8.5791863533E10"/>
        <n v="8.5259726687E10"/>
        <n v="8.5872294308E10"/>
        <n v="8.1393645582E10"/>
        <n v="8.232266647E10"/>
        <n v="8.1266654876E10"/>
        <n v="8.1335596408E10"/>
        <n v="8.533508125E10"/>
        <n v="8.57790604445E11"/>
        <n v="8.5334726934E10"/>
        <n v="8.1335663128E10"/>
        <n v="8.5856921039E10"/>
        <n v="8.133525487E10"/>
        <n v="8.5326054628E10"/>
        <n v="8.5334820396E10"/>
        <n v="8.2142818441E10"/>
        <n v="8.1249465798E10"/>
        <n v="8.1232531254E10"/>
        <n v="8.5257708516E10"/>
        <n v="8.5736866727E10"/>
        <n v="8.2141533393E10"/>
        <n v="8.1335276873E10"/>
        <n v="8.312954862E9"/>
        <n v="8.5602321325E10"/>
        <n v="8.7880138031E10"/>
        <n v="8.58356678E10"/>
        <n v="8.5784210898E10"/>
        <n v="8.5233742065E10"/>
        <n v="8.2141859566E10"/>
        <n v="8.1548287359E10"/>
        <n v="8.5785753006E10"/>
        <n v="8.2132796052E10"/>
        <n v="8.5736175232E10"/>
        <n v="8.5235630304E10"/>
        <n v="8.5736316638E10"/>
        <n v="8.5854677593E10"/>
        <n v="8.573513516E9"/>
        <n v="8.5236233096E10"/>
        <n v="8.5735135162E10"/>
        <n v="8.1249106276E10"/>
        <n v="8.2143633962E10"/>
        <n v="8.1216070182E10"/>
        <n v="8.1335428622E10"/>
        <n v="8.2230460602E10"/>
        <n v="8.1556453234E10"/>
        <n v="8.5235665279E10"/>
        <n v="8.5706842269E10"/>
        <n v="8.1335274416E10"/>
        <n v="8.123430386E10"/>
        <n v="8.2338729362E10"/>
        <n v="8.2334467939E10"/>
        <n v="8.1335669244E10"/>
        <n v="8.1334041615E10"/>
        <n v="8.5258006684E10"/>
        <n v="8.2230460603E10"/>
        <n v="8.2329249752E10"/>
        <n v="8.2337334958E10"/>
        <n v="8.5856842353E10"/>
        <n v="8.1335381021E10"/>
        <n v="8.5259902795E10"/>
        <n v="8.5816035703E10"/>
        <n v="8.579036555E10"/>
        <n v="8.5779150694E10"/>
        <n v="8.1359410878E10"/>
        <n v="8.5607299568E10"/>
        <n v="8.2332492405E10"/>
        <n v="8.3119861215E10"/>
        <n v="8.5235792017E10"/>
        <n v="8.1335634747E10"/>
        <n v="8.5856163439E10"/>
        <n v="8.5236087879E10"/>
        <n v="8.2338186836E10"/>
        <n v="8.5853471211E10"/>
        <n v="8.5335370649E10"/>
        <n v="8.5336838268E10"/>
        <n v="8.1359612323E10"/>
        <n v="8.5735070067E10"/>
        <n v="8.1359797803E10"/>
        <n v="8.5646118325E10"/>
        <n v="8.5103804726E10"/>
        <n v="8.5735098691E10"/>
        <n v="8.563638412E9"/>
        <n v="8.5234720809E10"/>
        <n v="8.2132333676E10"/>
        <n v="8.1232810351E10"/>
        <n v="8.5101350059E10"/>
        <n v="8.573618027E10"/>
        <n v="6.285259626461E12"/>
        <n v="8.570857555E10"/>
        <n v="8.2333458612E10"/>
        <n v="8.1217509357E10"/>
        <n v="8.5215504501E10"/>
        <n v="8.1252245391E10"/>
        <n v="8.57364455E10"/>
        <n v="8.1556579761E10"/>
        <n v="8.2135189165E10"/>
        <n v="8.1556735721E10"/>
        <n v="8.1330768511E10"/>
        <n v="8.1281437099E10"/>
        <n v="8.5257708517E10"/>
        <n v="8.1332581089E10"/>
        <n v="8.1335782873E10"/>
        <n v="8.1335309623E10"/>
        <n v="8.2332409958E10"/>
        <n v="8.2143044811E10"/>
        <n v="8.1234326507E10"/>
        <n v="8.1217843127E10"/>
        <n v="8.1335683393E10"/>
        <n v="8.2131375474E10"/>
        <n v="8.5233605545E10"/>
        <n v="8.121339341E9"/>
        <n v="8.12342722E9"/>
        <n v="8.1330388914E10"/>
        <n v="8.5790365549E10"/>
        <n v="8.5807224409E10"/>
        <n v="8.125949144E9"/>
        <n v="8.1232856662E10"/>
        <n v="8.5735537955E10"/>
        <n v="8.1335671489E10"/>
        <n v="8.1335186373E10"/>
        <n v="8.1335785687E10"/>
        <n v="8.5257516356E10"/>
        <n v="8.3845898316E10"/>
        <n v="8.817105691E9"/>
        <n v="8.1235597531E10"/>
        <n v="8.5748180154E10"/>
        <n v="8.1232188844E10"/>
        <n v="8.123251442E10"/>
        <n v="8.1357237172E10"/>
        <n v="8.5872294307E10"/>
        <n v="8.57369384E10"/>
        <n v="8.5101350058E10"/>
        <n v="8.5785871948E10"/>
        <n v="8.5645803221E10"/>
        <n v="8.5335334134E10"/>
        <n v="8.1242054445E10"/>
        <n v="8.1259277372E10"/>
        <n v="8.5235256945E10"/>
        <n v="8.1359118259E10"/>
        <n v="8.523444667E10"/>
        <n v="8.567399788E9"/>
        <n v="8.1233685156E10"/>
        <n v="8.5735616988E10"/>
        <n v="8.5335793658E10"/>
        <n v="8.2132186212E10"/>
        <n v="8.1232514421E10"/>
        <n v="8.5785874146E10"/>
        <n v="8.1360664456E10"/>
        <n v="8.5736736376E10"/>
        <n v="8.1359495405E10"/>
        <n v="8.5234752292E10"/>
        <n v="8.2133499069E10"/>
        <n v="8.1259195659E10"/>
        <n v="8.5336176123E10"/>
        <n v="8.1230269155E10"/>
        <n v="8.5233931614E10"/>
        <n v="8.1234364783E10"/>
        <n v="8.123447311E9"/>
        <n v="8.5735883398E10"/>
        <n v="8.1393869357E10"/>
        <n v="8.521131201E10"/>
        <n v="8.1232023457E10"/>
        <n v="8.1335305737E10"/>
        <n v="8.1359378525E10"/>
        <n v="8.2302528019E10"/>
        <n v="8.1216323954E10"/>
        <n v="8.1335054249E10"/>
        <n v="8.5856318654E10"/>
        <n v="8.5235003272E10"/>
        <n v="8.58126606E10"/>
        <n v="8.515645371E10"/>
        <n v="6.28563622003E11"/>
        <n v="8.1282796419E10"/>
        <n v="8.5812797699E10"/>
        <n v="8.5748198583E10"/>
        <n v="8.5791475508E10"/>
        <n v="8.5649380302E10"/>
        <n v="8.5790777738E10"/>
        <n v="8.233446856E10"/>
        <n v="8.123427222E9"/>
        <n v="8.1335712041E10"/>
        <n v="8.573580306E10"/>
        <n v="8.1249163754E10"/>
        <n v="8.5649006418E10"/>
        <n v="8.1381098857E10"/>
        <n v="8.2302359405E10"/>
        <n v="8.233733496E10"/>
        <n v="8.5607138956E10"/>
        <n v="8.5259554414E10"/>
        <n v="8.222995865E10"/>
        <n v="8.5204389777E10"/>
        <n v="8.5331979982E10"/>
        <n v="8.2132796977E10"/>
        <n v="8.5731174176E10"/>
        <n v="8.5735745996E10"/>
        <n v="8.2248828548E10"/>
        <n v="8.5240033855E10"/>
        <n v="8.3114350463E10"/>
        <n v="8.5741292508E10"/>
        <n v="8.5791861365E10"/>
        <n v="8.1245223531E10"/>
        <n v="8.5335045232E10"/>
        <n v="8.21428581E10"/>
        <n v="8.5105845585E10"/>
        <n v="8.1213992421E10"/>
        <n v="8.123051535E9"/>
        <n v="8.5736929887E10"/>
        <n v="8.2142127421E10"/>
        <n v="8.1231732393E10"/>
        <n v="8.1357054653E10"/>
        <n v="8.5646810812E10"/>
        <n v="8.1231683907E10"/>
        <n v="8.5648822053E10"/>
        <n v="8.2228297125E10"/>
        <n v="8.5735616987E10"/>
        <n v="8.3115201841E10"/>
        <n v="8.5335472474E10"/>
        <n v="8.5735530538E10"/>
        <n v="8.5231572312E10"/>
        <n v="8.5856361187E10"/>
        <n v="8.5735464172E10"/>
        <n v="8.5790224449E10"/>
        <n v="8.2336403701E10"/>
        <n v="8.2140181921E10"/>
        <n v="8.5785764268E10"/>
        <n v="8.5708158708E10"/>
        <n v="8.233596015E10"/>
        <n v="8.5853840551E10"/>
        <n v="8.5706544769E10"/>
        <n v="8.2335475404E10"/>
        <n v="8.5234439091E10"/>
        <n v="8.2264109061E10"/>
        <n v="8.5736634945E10"/>
        <n v="8.5790752436E10"/>
        <n v="8.1234326506E10"/>
        <n v="8.2139518425E10"/>
        <n v="8.2334849979E10"/>
        <n v="8.5234059005E10"/>
        <n v="8.1357678999E10"/>
        <n v="8.5607767265E10"/>
        <n v="8.5856444002E10"/>
        <n v="8.5234664415E10"/>
        <n v="8.5706192729E10"/>
        <n v="8.5655755136E10"/>
        <n v="8.5655810065E10"/>
        <n v="8.1359109381E10"/>
        <n v="8.2299972201E10"/>
        <n v="8.133538102E10"/>
        <n v="8.58728645918E11"/>
        <n v="8.5956598158E10"/>
        <n v="8.1249163753E10"/>
        <n v="8.510251745E10"/>
        <n v="8.5607840293E10"/>
        <n v="8.5707572717E10"/>
        <n v="8.5889171005E10"/>
        <n v="8.121796676E10"/>
        <n v="8.5749143975E10"/>
        <n v="8.1330217814E10"/>
        <n v="8.2132077369E10"/>
        <n v="8.533617612E10"/>
        <n v="8.533596015E10"/>
        <n v="8.1259791177E10"/>
        <n v="8.5755212106E10"/>
        <n v="8.5233641243E10"/>
        <n v="8.1335810232E10"/>
        <n v="8.5235645732E10"/>
        <n v="8.1249434024E10"/>
        <n v="8.5813525533E10"/>
        <n v="8.5235792018E10"/>
        <n v="8.2213806393E10"/>
        <n v="8.2334668497E10"/>
        <n v="8.5259935813E10"/>
        <n v="8.5331754946E10"/>
        <n v="8.1233176473E10"/>
        <n v="8.59176810946E11"/>
        <n v="8.568937596E9"/>
        <n v="8.5733544307E10"/>
        <n v="8.5204354674E10"/>
        <n v="8.525906048E10"/>
        <n v="8.123420715E10"/>
        <n v="8.560645554E10"/>
        <n v="8.5607375867E10"/>
        <n v="8.2245861001E10"/>
        <n v="8.1335564498E10"/>
        <n v="8.2230706447E10"/>
        <n v="8.1227636271E10"/>
        <n v="8.1360664455E10"/>
        <n v="8.214212742E10"/>
        <n v="8.1217731632E10"/>
        <n v="8.12595819E10"/>
        <n v="8.5859010022E10"/>
        <n v="8.5806778428E10"/>
        <n v="8.1330348474E10"/>
        <n v="8.2335239616E10"/>
        <n v="8.5334751073E10"/>
        <n v="8.2338373115E10"/>
        <n v="8.156716156E9"/>
        <n v="8.5372550555E10"/>
        <n v="8.5335292897E10"/>
        <n v="8.5229792099E10"/>
        <n v="8.1359758842E10"/>
        <n v="8.1335770213E10"/>
        <n v="8.5784676494E10"/>
        <n v="8.125245787E10"/>
        <n v="8.5228023581E10"/>
        <n v="8.572993633E10"/>
        <n v="8.2338196831E10"/>
        <n v="8.1335320057E10"/>
        <n v="8.123449241E9"/>
        <n v="8.5335270123E10"/>
        <n v="8.5649162982E10"/>
        <n v="8.2143210221E10"/>
        <n v="8.5235343675E10"/>
        <n v="8.2335984151E10"/>
        <n v="8.5234553947E10"/>
        <n v="8.5645163601E10"/>
        <n v="8.1335035149E10"/>
        <n v="8.55658586E8"/>
        <n v="8.5742348562E10"/>
        <n v="8.5257077661E10"/>
        <n v="8.5655755138E10"/>
        <n v="8.2141311315E10"/>
        <n v="8.5736710759E10"/>
        <n v="8.2212345678E10"/>
        <n v="8.5328804105E10"/>
      </sharedItems>
    </cacheField>
    <cacheField name="Verified" numFmtId="0">
      <sharedItems containsSemiMixedTypes="0" containsString="0" containsNumber="1" containsInteger="1">
        <n v="0.0"/>
        <n v="1.0"/>
      </sharedItems>
    </cacheField>
    <cacheField name="Nama Referensi" numFmtId="0">
      <sharedItems containsBlank="1">
        <s v="Admin"/>
        <s v="AGNES DYAN PARAMITA, S.P."/>
        <s v="AGUNG SAPUTRO, S.S.T."/>
        <s v="AGUS PASIANTO, S.P.,M.M.A."/>
        <s v="ANDRI YATWOKO, S.S.T."/>
        <s v="AZIZ FEBRY ATMOKO, S.P."/>
        <s v="DEHA PURWOKO, S.S.T."/>
        <s v="DWI HANDOKO, S.S.T."/>
        <s v="HARDHIAN PERISA, S.S.T."/>
        <s v="heriyanto"/>
        <s v="HERIYANTO, S.P."/>
        <s v="LUDIANTORO ARIYADI, S.S.T."/>
        <s v="MARKABAN, S.P."/>
        <s v="Marsudiyanto"/>
        <s v="pengawas aplikasi sil"/>
        <s v="SIGIT WAHYUDI, S.P."/>
        <s v="SUGIYANTO, S.P."/>
        <s v="SUJITO, S.S.T."/>
        <s v="Tiara Rara"/>
        <s v="Tri Sujadmiko"/>
        <s v="WAWAN NURCAHYADI, S.P."/>
        <s v="WINNY WULANSARI, S.P."/>
        <s v="YUNI RAHMAWATI, S.P."/>
        <s v="anonnnymous"/>
        <s v="Haykal"/>
        <s v="PENGAWAS APLIKASI FRAND"/>
        <m/>
        <s v="Penyuluhan Ngawi"/>
        <s v=" WINNY WULANSARI, SP"/>
        <s v="3456020306512223"/>
        <s v="3652032623512325"/>
        <s v="Adam Trevor"/>
        <s v="ADHALIFATU SYA'DIYAH, S.S.T."/>
        <s v="AFIAT YUJONO, S.P."/>
        <s v="AGUNG ARIFIANTO, S.S.T."/>
        <s v="AGUNG ARIFIANTO, SST"/>
        <s v="AGUS PASIANTO, SP.MMA"/>
        <s v="AGUS TANTINI, S.T.P."/>
        <s v="ANANG SUPRAPTO, S.P."/>
        <s v="ANDRI PURNOMO, S.P."/>
        <s v="andri yatwoko"/>
        <s v="ANIK KRISTIANA, S.P."/>
        <s v="APRILINA DILARIATIN, A.Md."/>
        <s v="ARDHIAN SYUKMAWANTO PRADHIPTO, S.S.T."/>
        <s v="ARYS WIBOWO, S.S.T."/>
        <s v="asih"/>
        <s v="AWWALUDDIN FAZANI, S.S.T."/>
        <s v="BAMBANG TIONO, S.P."/>
        <s v="BUDIONO, S.P."/>
        <s v="Cahyono"/>
        <s v="ckp tw"/>
        <s v="ckp tw 2"/>
        <s v="DAMEYDRA JAYA, S.S.T."/>
        <s v="DEDY EKO SETIAWAN, S.P."/>
        <s v="DIKA LUSIANTO, S.S.T., S,Sos., M.M."/>
        <s v="DILI ARMI, S.T.P."/>
        <s v="drh. LENT LULIA HOETOYO"/>
        <s v="drh. NOVITA RAHMAWATI"/>
        <s v="DWI ELISA KURNIAWATI, S.P."/>
        <s v="DWI SETIYONO, S.S.T."/>
        <s v="DWI SURYANNINGDYAH HENI UNTARI, S.S.T."/>
        <s v="EDY SRIYONO"/>
        <s v="ENDRI CAHYO SAPUTRO, S.S.T."/>
        <s v="ERNA KUSUMAWATI HASTANINGSIH, S.P."/>
        <s v="FADELAN"/>
        <s v="fatqur"/>
        <s v="fian@gmail.com"/>
        <s v="FITRIA AGUSTINING S, S.P, M.Ec.Dev"/>
        <s v="FITRIA AGUSTINING SETYORINI, S.P., M.Ec.Dev."/>
        <s v="FRINDA ISKARISTANTI DEWI, S.S.T."/>
        <s v="GALIH PRAMUAJI, S.S.T."/>
        <s v="GONO, S.P."/>
        <s v="HARTOYO, S.S.T."/>
        <s v="HARYANA, S.Pt."/>
        <s v="HERLAN JAUHARI, S.P."/>
        <s v="IDA ROFFIANI DINAR EFTAVIA, S.S.T."/>
        <s v="IDA RUSMALA DEWI, S.P."/>
        <s v="IKE APRILIA HAPSARI, S.P."/>
        <s v="IMAM BUKHORI, S.Pt."/>
        <s v="INAYAH"/>
        <s v="INDRA PRIHADI IRAWAN, S.S.T."/>
        <s v="Ir. HENI ISWATI PRASETYANINGSIH"/>
        <s v="ISNAINI TRIANA MAKMUROH, S.P."/>
        <s v="Jokae"/>
        <s v="Joko"/>
        <s v="JOKO NUGROHO ARIBOWO, S.S.T."/>
        <s v="KARTI, S.P."/>
        <s v="khairul"/>
        <s v="KHIKMAWATI IRBANDERINI, S.P."/>
        <s v="KUKUH EKO SANTOSO, S.S.T."/>
        <s v="KUSNAN, S.P."/>
        <s v="LADHIANTO PRATAMA, S.P."/>
        <s v="LILIK PRIYANTO, S.P.,M.M.A."/>
        <s v="Mamang"/>
        <s v="MARKUS SILAMBI, S.S.T."/>
        <s v="MARSUDIYANTO, S.P."/>
        <s v="MAYANG KRISNANINGRUM, S.P."/>
        <s v="MBAJENG RUSSERTAYATI PUSPITASARI, S.T.P."/>
        <s v="MBAJENG RUSSERTAYATI PUSPITASARI, S.TP"/>
        <s v="MOCHAMAD NOVIANTO, S.S.T."/>
        <s v="MULYADI, S.S.T."/>
        <s v="NISWATUL KHASANAH, S.P."/>
        <s v="NOMPO KURNIAWAN, S.P."/>
        <s v="NUNUS WIDIYATMOKO, S.P."/>
        <s v="NURYANTO"/>
        <s v="Nyonya Yaqin"/>
        <s v="NYOTO PRASETYO, S.P."/>
        <s v="OKY RATNA ARDITA, S.P."/>
        <s v="PARYANTO, S.P."/>
        <s v="PASRI ANI SUSANTI, S.P."/>
        <s v="penyuluh reguler"/>
        <s v="PIPIET HARDYANSARI, S.Pt."/>
        <s v="PRAMONO, S.T.P."/>
        <s v="PRIYO SUSANTO, S.P."/>
        <s v="PURYANTO"/>
        <s v="QOMARUDDIN, S.P."/>
        <s v="R. AGUNG KUSUMO WAHYU WIBOWO, S.S.T."/>
        <s v="RACHMAT SAKSONO, S.P."/>
        <s v="RADEN AGUNG KUSUMO WAHYU WIBOWO, S.S.T."/>
        <s v="riritest"/>
        <s v="ririX"/>
        <s v="RIZKY SYAHRIRUL BAROKAH, S.P."/>
        <s v="Ryo Santoso"/>
        <s v="Satoru"/>
        <s v="SETIYONO, S.P."/>
        <s v="Shella Anggita Pramestika"/>
        <s v="shun izaki"/>
        <s v="SIHMIATI, S.P."/>
        <s v="SIKETAN"/>
        <s v="SITI WULANDARI, A.Md."/>
        <s v="SRI UTAMI USWATUL HASANAH, S.P."/>
        <s v="SUGIANTO, S.T.P."/>
        <s v="SUGIYANTA"/>
        <s v="SUGIYANTO,S.P."/>
        <s v="SUGIYARTO, S.P."/>
        <s v="SUHARYANTO, S.P."/>
        <s v="SUKIDI, S.P."/>
        <s v="SUPONO, S.S.T., M.M.A."/>
        <s v="SUTIKNO, S.P."/>
        <s v="Suwandi, S.P"/>
        <s v="SUWANDI, S.P."/>
        <s v="SUWARTI"/>
        <s v="SUWIJI, S.P."/>
        <s v="SUWOTO, S.P."/>
        <s v="SUYATMI LESTARI"/>
        <s v="Takiya jq"/>
        <s v="TEGUH BUDI SUSWANTO, S.S.T."/>
        <s v="test"/>
        <s v="Test nama"/>
        <s v="TINA KUSRIANA, S.P."/>
        <s v="TRI ANTO, S.P."/>
        <s v="TRI ASNANIK, S.P."/>
        <s v="Tri Sujatmiko"/>
        <s v="TRILIA APRIANI, S.P."/>
        <s v="TRIMULYO ANANTORI B, SP"/>
        <s v="TRIMULYO ANANTORI BINTORO, S.P."/>
        <s v="TRIYONO"/>
        <s v="ULIANA SISKA FARID WIJAYA"/>
        <s v="WAHYU AJI SETIAWAN, S.S.T."/>
        <s v="WAHYU ESTU UTAMI, S.P."/>
        <s v="WAHYU HARI AHADI S.Sos., SST"/>
        <s v="WAHYU HARI AHADI, S.S.T., S.Sos."/>
        <s v="WAHYU KASIH KUNTARTI, S.P., M.Ec.Dev."/>
        <s v="WARSINEM"/>
        <s v="WARSO, S.P."/>
        <s v="WARTINI, S.S.T."/>
        <s v="WIBOWO SANTOSO, S.P., M.M.A."/>
        <s v="WIDODO, S.P."/>
        <s v="WIDYO CAHYONO, S.P."/>
        <s v="YUNI ASTUTI, S.P."/>
        <s v="YUNING PUDJI SRIMULATSIH"/>
        <s v="YUSUP EFENDI, S.P."/>
        <s v="penyuluh swadaya"/>
        <s v="SUKANTO"/>
        <s v="SUPRIYADI"/>
        <s v="AAN AGUS NURYADI"/>
        <s v="AAN HARIYANTO"/>
        <s v="AAN MUBAIDILAH"/>
        <s v="Aan Rismanto"/>
        <s v="AAN YUANI"/>
        <s v="Aan Yulianti"/>
        <s v="AAN YULIANTO"/>
        <s v="ABDUL AJIS"/>
        <s v="ABDUL AMUR"/>
        <s v="ABDUL AZIS ASHARI"/>
        <s v="Abdul Aziz"/>
        <s v="Abdul Bashith"/>
        <s v="ABDUL GHOFUR"/>
        <s v="ABDUL HALIM"/>
        <s v="ABDUL HAMID"/>
        <s v="Abdul Jabbar"/>
        <s v="ABDUL KADIR"/>
        <s v="Abdul Karim"/>
        <s v="ABDUL LATIF"/>
        <s v="ABDUL MUID"/>
        <s v="Abdul Qosim"/>
        <s v="Abdul Rachman Ramidi"/>
        <s v="Abdul Rahman"/>
        <s v="ABDUL ROHIM"/>
        <s v="Abdul Rojab"/>
        <s v="ABDUL ROKHIM"/>
        <s v="ABDUL ROSID"/>
        <s v="ABDUL SYAKUR"/>
        <s v="ABDULAH KAMDI"/>
        <s v="ABDULKAMID KEMIS"/>
        <s v="Abdullah"/>
        <s v="ABDULLAH UMAR"/>
        <s v="ABDUROKHIM"/>
        <s v="ABDUS SHOMAD"/>
        <s v="Abi Muhson"/>
        <s v="Abu Mansur"/>
        <s v="ABU THOYIB"/>
        <s v="Achmad Budi Santoso"/>
        <s v="ACHMAD MINHAJUL Q"/>
        <s v="ACHMAD NAWAWI"/>
        <s v="ACHMAD NUR CHOLIS"/>
        <s v="Achmad Subagio"/>
        <s v="Achmad Sunarko Z"/>
        <s v="ACHMAD SUNARYO"/>
        <s v="ACHMAD TIRMIDZI"/>
        <s v="ACHMADI"/>
        <s v="ACHSANUL ISTIQOMAH"/>
        <s v="Adam Perdana"/>
        <s v="ADHAN KRISABDIANTO"/>
        <s v="Adi"/>
        <s v="Adi Karno"/>
        <s v="Adi Listiyono"/>
        <s v="ADI LOSO"/>
        <s v="Adi Pangat"/>
        <s v="ADI PARJO"/>
        <s v="ADI PRAYITNO"/>
        <s v="ADI SAIMIN"/>
        <s v="ADI SEPUTRO DARNO"/>
        <s v="ADI SUKIR"/>
        <s v="Adi Sukono"/>
        <s v="Adi Sunaryo"/>
        <s v="ADI SUPARNO"/>
        <s v="ADI SUPARTO"/>
        <s v="ADI SURIP"/>
        <s v="ADI SUROTO"/>
        <s v="adi sutrisno"/>
        <s v="ADI SUWITO"/>
        <s v="ADI SUWITO SADI"/>
        <s v="ADI TARMAN"/>
        <s v="ADI TIYAS KARISMA PUTRA"/>
        <s v="ADI WIYONO"/>
        <s v="ADITYA ARDI WICAKSONO"/>
        <s v="adiwiyoto"/>
        <s v="ADMO SUMARNO"/>
        <s v="ADRIANA RUSTANTI"/>
        <s v="ADVIS BANGUN SETYO WIDODO"/>
        <s v="Ady Prasetyo"/>
        <s v="AFDUL KARIM"/>
        <s v="AFIP AMRULLOH"/>
        <s v="AGASTYA YOGA MULYA"/>
        <s v="Agung  Suseno"/>
        <s v="AGUNG BUDI AJI"/>
        <s v="AGUNG BUDI PURWANTO"/>
        <s v="AGUNG KRISTIANTO"/>
        <s v="AGUNG NUGROHO"/>
        <s v="AGUNG NURYANTO"/>
        <s v="AGUNG PRAWOTO"/>
        <s v="AGUNG PRIYANTO"/>
        <s v="AGUNG PURWADI"/>
        <s v="Agung Ridoana"/>
        <s v="Agung Saryoko"/>
        <s v="AGUNG SUBROTO"/>
        <s v="AGUNG SUPRAYITNO"/>
        <s v="AGUNG SUPRIYADI"/>
        <s v="Agung Supriyono"/>
        <s v="Agung Suwarno"/>
        <s v="AGUNG WIBOWO"/>
        <s v="AGUNG WIDODO"/>
        <s v="AGUNG YOGA PRATAMA"/>
        <s v="Agus"/>
        <s v="AGUS ALFAN FATHONI"/>
        <s v="Agus Alimin"/>
        <s v="AGUS ARI P"/>
        <s v="Agus Arif Sulistiyo"/>
        <s v="AGUS BUDI RIYANTO"/>
        <s v="AGUS BUDI UTOMO"/>
        <s v="Agus Cahyono"/>
        <s v="AGUS DARMAWAN"/>
        <s v="AGUS DWI SANTOSO"/>
        <s v="AGUS EDI CAHYONO"/>
        <s v="AGUS GONO"/>
        <s v="Agus H"/>
        <s v="Agus Hari Wibowo"/>
        <s v="AGUS HARIYANTO"/>
        <s v="AGUS HARIYANTO SULISTYO"/>
        <s v="AGUS HARYANTO"/>
        <s v="AGUS HERMANTO"/>
        <s v="Agus Karyani"/>
        <s v="Agus Kasun"/>
        <s v="agus muryanto"/>
        <s v="AGUS MUTOHA"/>
        <s v="Agus Nurdin Budiarto"/>
        <s v="AGUS NURUL"/>
        <s v="AGUS PAMUJI"/>
        <s v="AGUS PITRIANTO"/>
        <s v="AGUS PRANOTO"/>
        <s v="AGUS PRASETYO"/>
        <s v="AGUS PRIHATIN"/>
        <s v="AGUS PURNOMO"/>
        <s v="Agus Purwadi"/>
        <s v="agus purwantoro"/>
        <s v="AGUS RIADI"/>
        <s v="Agus Rianto"/>
        <s v="Agus Riyanto"/>
        <s v="AGUS SANGAJI KUNCORO"/>
        <s v="Agus santoso"/>
        <s v="Agus Sapardi"/>
        <s v="AGUS SARDIYANTO"/>
        <s v="AGUS SETIYAWAN"/>
        <s v="Agus Setyawan"/>
        <s v="AGUS SLAMET"/>
        <s v="Agus Soleh"/>
        <s v="AGUS SUDARMANTO"/>
        <s v="Agus Sugianto"/>
        <s v="AGUS SUHARYONO"/>
        <s v="AGUS SUMARLAN"/>
        <s v="Agus Sumarno"/>
        <s v="Agus Sungarno"/>
        <s v="AGUS SUPRAPTO"/>
        <s v="AGUS SUPRAYOGO"/>
        <s v="Agus Supriyadi"/>
        <s v="Agus Supriyanto"/>
        <s v="Agus Supriyatno"/>
        <s v="AGUS SURAMTO"/>
        <s v="AGUS SURANTO"/>
        <s v="AGUS SURYANTO"/>
        <s v="Agus Susanto"/>
        <s v="AGUS SUSILO"/>
        <s v="AGUS SUTOPO"/>
        <s v="AGUS SUWANTO"/>
        <s v="AGUS SUWARSO"/>
        <s v="AGUS TAKIYUDIN"/>
        <s v="AGUS TRIANTO"/>
        <s v="AGUS TRIYANTO"/>
        <s v="AGUS TRIYONO"/>
        <s v="Agus Tusilo"/>
        <s v="AGUS WAHYU WIDODO"/>
        <s v="AGUS WIDIANTORO"/>
        <s v="Agus Widodo"/>
        <s v="agus yuswatono"/>
        <s v="Ahmad"/>
        <s v="Ahmad Harianto"/>
        <s v="Ahmad Junaidi"/>
        <s v="AHMAD ROFIQ H."/>
        <s v="Ahmad Safrudin"/>
        <s v="AHMAD SAFUAN"/>
        <s v="Ahmad Saidi"/>
        <s v="Ahmad Sholihin"/>
        <s v="AHMAD SUJADI"/>
        <s v="Ahmad Sution"/>
        <s v="AHMAD WAHIB"/>
        <s v="AHMAD ZAINURI"/>
        <s v="AHMADI"/>
        <s v="AHMADIN"/>
        <s v="AHMAT SUPARDJO"/>
        <s v="AHMAT ZAHLAN"/>
        <s v="Ajik Sumar Setiyono"/>
        <s v="Akad"/>
        <s v="ALAIKA QOMAR"/>
        <s v="ALEHANDRO RIVERIO MAMSUR"/>
        <s v="ALEX MAHARIKA K"/>
        <s v="ALEX SETIYONO"/>
        <s v="ALFIOVITTA MIFSHUNA"/>
        <s v="ALI HARSONO"/>
        <s v="ALI HIDAYAT"/>
        <s v="ALI MAHMUD"/>
        <s v="ALI MASYHURI"/>
        <s v="ALI MONDIR"/>
        <s v="Ali Muharom"/>
        <s v="ALI MUJIONO"/>
        <s v="Ali Mustofa"/>
        <s v="ali s"/>
        <s v="ALI SODIKIN"/>
        <s v="ALI SUMARGONO"/>
        <s v="ALI SUYOTO SAIMAN"/>
        <s v="ALIF SUBIYANTORO"/>
        <s v="Alif Sudarno"/>
        <s v="ALIFUL QOIMAH"/>
        <s v="ALIP SUPRAPTO"/>
        <s v="ALIT PAKAR PAULIANA"/>
        <s v="ALWAN TAFSIRI"/>
        <s v="AMAD SUHUD"/>
        <s v="AMAT"/>
        <s v="Amat Basir"/>
        <s v="Amat Giyo"/>
        <s v="Amat Jumani"/>
        <s v="AMAT KAERAN"/>
        <s v="AMAT MURSID"/>
        <s v="AMAT RIMANTO"/>
        <s v="Ambar Rahayu Ningsih"/>
        <s v="AMBARI"/>
        <s v="Amin"/>
        <s v="AMIN ROHMAT"/>
        <s v="AMIN SUGENG WIDODO"/>
        <s v="AMIN SUTIKNO"/>
        <s v="AMIN SUYUTI"/>
        <s v="Amin Syamhudi"/>
        <s v="AMIN UTOMO"/>
        <s v="AMINAH"/>
        <s v="AMINING"/>
        <s v="Aminudin"/>
        <s v="AMIR"/>
        <s v="AMIR SURAHMAN"/>
        <s v="AMIRIL FARID RIZQY"/>
        <s v="Ana Widyawati"/>
        <s v="Anang Abadi"/>
        <s v="Anang Agus Setiabudi"/>
        <s v="Anang Dwi P"/>
        <s v="ANANG GURIDNO"/>
        <s v="Anang Prawoto"/>
        <s v="ANANG PUGUH JOKOPRIYANTO"/>
        <s v="ANANG SETIAWAN"/>
        <s v="Anang Setiyawan"/>
        <s v="Anang Sugianto"/>
        <s v="ANANG SUHARYONO"/>
        <s v="ANANUR ROFIATI"/>
        <s v="Anas Thohari"/>
        <s v="Andam Bahiaqi Raharjo"/>
        <s v="ANDI HAMDI"/>
        <s v="Andik Budianto"/>
        <s v="Andik Mulyono"/>
        <s v="Andik Puriawan"/>
        <s v="Andik Sunarto"/>
        <s v="Andik Triyan Susilo"/>
        <s v="ANDIK ZAINUDIN"/>
        <s v="Andika Candra"/>
        <s v="ANDIKA SAPUTRA"/>
        <s v="ANDON SUPRIADI MARSIDI"/>
        <s v="ANDRA JATMIKO"/>
        <s v="ANDREAN PRATAMA"/>
        <s v="andreas"/>
        <s v="Andri Nur Cahyo"/>
        <s v="ANDRI PRASTOWO"/>
        <s v="Andri Wahyu Purnomo"/>
        <s v="ANGGA ARDIA SURYA PUTRA"/>
        <s v="ANGGA DWI NUGROHO"/>
        <s v="Anggita Destiana"/>
        <s v="ANGGORO KASIH"/>
        <s v="ANIEK PUJIHASTUTI"/>
        <s v="ANIES MEI JATUNISA"/>
        <s v="Anif Umi M"/>
        <s v="ANIK SUSANTI"/>
        <s v="Anita Muryani"/>
        <s v="Anjar Srianto"/>
        <s v="ANNA ZAHROTUN NAFI'AH"/>
        <s v="ANTOK"/>
        <s v="ANTON"/>
        <s v="Anton Budi Prasetyo"/>
        <s v="Antonius Krisdianto"/>
        <s v="ANUNG WIDODO"/>
        <s v="ANWAR SHODIQ"/>
        <s v="Anwari"/>
        <s v="Aprilina Dilariatin"/>
        <s v="ARBA'I"/>
        <s v="Arbangi"/>
        <s v="ARDHIAN SYUKMAWANTO PRADHIPTO"/>
        <s v="arfian"/>
        <s v="ARIADI"/>
        <s v="Arianto Adi"/>
        <s v="Arie Widya P"/>
        <s v="ARIE ZULIANTORO"/>
        <s v="Arief Wahyu Pradana"/>
        <s v="Ariep Nanang Wijaya"/>
        <s v="ARIES WIJANANTO"/>
        <s v="ARIF NUGROHANTO"/>
        <s v="ARIF NURROHMAN"/>
        <s v="ARIF SUPRIYANTO"/>
        <s v="Arif Suratman"/>
        <s v="ARIFIN"/>
        <s v="ARIK SRI SUTINI"/>
        <s v="ARIMANTO"/>
        <s v="ARIP KUSUMO HANDOYO"/>
        <s v="Arip Suwignyo"/>
        <s v="Aris Aprianggoro"/>
        <s v="Aris ardianto"/>
        <s v="ARIS DAMANURI"/>
        <s v="ARIS LUSIDI"/>
        <s v="ARIS MUNANDAR"/>
        <s v="Aris Nur Gutomo"/>
        <s v="Aris Suprapto"/>
        <s v="ARIS SURYA KUSUMA"/>
        <s v="ARIS SUSILO"/>
        <s v="ARIS SUWANTO"/>
        <s v="ARIS WINARNO"/>
        <s v="Aristian Sutarso"/>
        <s v="Aristika Juli Astuti"/>
        <s v="ARIYANTO"/>
        <s v="Ariyono"/>
        <s v="Arjo  Seno"/>
        <s v="ARJO KASDI"/>
        <s v="ARJO SETU"/>
        <s v="Arjo Surip"/>
        <s v="ARMADI"/>
        <s v="Arum Agustina"/>
        <s v="ARVIYAN SINDU PRASMITO"/>
        <s v="ARWANI"/>
        <s v="Arwanto"/>
        <s v="ARY BUDI SETYAWAN"/>
        <s v="Aryani"/>
        <s v="Asep Suratno"/>
        <s v="ASMONO"/>
        <s v="ASPIRIP SUDIONO"/>
        <s v="Asrori"/>
        <s v="ASTUTIK"/>
        <s v="ATIT KURTUBI M"/>
        <s v="ATMO BANDI"/>
        <s v="ATMO DIHARJO"/>
        <s v="ATMO KAMIN"/>
        <s v="Atmo Sentono"/>
        <s v="ATMO SLAMET"/>
        <s v="Atmo Winoto Nyaman"/>
        <s v="ATOILLAH"/>
        <s v="AVIA HELMI"/>
        <s v="AVPRINO NUGROHO"/>
        <s v="AWALUDIN AHMAD"/>
        <s v="Awwaluddin Fazani"/>
        <s v="AYU"/>
        <s v="Aziz Febry Atmoko"/>
        <s v="BADRIYAH"/>
        <s v="Badriyanto"/>
        <s v="BAGUS BUDIYONO"/>
        <s v="BAHRODIN"/>
        <s v="bambang"/>
        <s v="BAMBANG ALIP PERMADI"/>
        <s v="BAMBANG EDI"/>
        <s v="BAMBANG EDY SARWIADI"/>
        <s v="BAMBANG FATKHURROHMAN"/>
        <s v="BAMBANG HARMANTO"/>
        <s v="BAMBANG HARYONO"/>
        <s v="BAMBANG INDARTO"/>
        <s v="BAMBANG ISTIAWAN"/>
        <s v="Bambang Kunto Wicaksono"/>
        <s v="BAMBANG PONCO ISMONO"/>
        <s v="BAMBANG PRIBADI"/>
        <s v="BAMBANG REDIONO"/>
        <s v="BAMBANG RIYADI"/>
        <s v="BAMBANG SETIYONO"/>
        <s v="Bambang Sri Murjanto"/>
        <s v="BAMBANG SUBANDONO"/>
        <s v="BAMBANG SUGITO"/>
        <s v="Bambang Sutejo"/>
        <s v="BAMBANG YULIANTO"/>
        <s v="Bandi"/>
        <s v="BARDJI"/>
        <s v="Bari"/>
        <s v="BARIKUN"/>
        <s v="BARIS"/>
        <s v="Bashar Purnomo"/>
        <s v="BASIRUN"/>
        <s v="BASUKI"/>
        <s v="BASUKI RAHMAT"/>
        <s v="BAWANI"/>
        <s v="BAYU AJI SETIAWAN"/>
        <s v="BAYU DWI NUGROHO"/>
        <s v="Bayu Eko Triwartanto"/>
        <s v="BAYU SETIYANTO"/>
        <s v="Bedjo"/>
        <s v="Bejo"/>
        <s v="BEJO RAHMAT"/>
        <s v="Bejo Setiawan"/>
        <s v="Bernadheta Suyatmi"/>
        <s v="Bibit"/>
        <s v="Bibit Marni"/>
        <s v="BINAH"/>
        <s v="Bingah"/>
        <s v="Bini"/>
        <s v="Binti Marsi'ah"/>
        <s v="Binuri"/>
        <s v="BIROWO"/>
        <s v="BISRI MUSTOFA"/>
        <s v="Boeran Adi Purnomo"/>
        <s v="Bono Siswo Utomo"/>
        <s v="BOWO"/>
        <s v="Boyadi"/>
        <s v="Broto"/>
        <s v="Budi Andri Santoso"/>
        <s v="BUDI CAHYONO"/>
        <s v="BUDI PURNAWAN"/>
        <s v="BUDI PURWANTO"/>
        <s v="BUDI RAHARJO"/>
        <s v="BUDI SANTOSO"/>
        <s v="Budi Susilowati"/>
        <s v="Budi Winarsih"/>
        <s v="Budianto"/>
        <s v="Budiono"/>
        <s v="Budiyanto"/>
        <s v="BUDIYONO"/>
        <s v="BUNDARI"/>
        <s v="Burhan Murprasetyo"/>
        <s v="cahyadi"/>
        <s v="CARYONO"/>
        <s v="CATUR BUDI UTOMO"/>
        <s v="CATUR SETIAWAN"/>
        <s v="CECEP SUPRIYADI"/>
        <s v="CHAERUL ANWAR"/>
        <s v="Christina Mami"/>
        <s v="Cikrak"/>
        <s v="Cimpling"/>
        <s v="CIPTO WIYONO"/>
        <s v="Cipto Wiyono Nyamin"/>
        <s v="CITRO KARDI"/>
        <s v="CUCUN CUNANGSIH"/>
        <s v="Dahlan Effendy"/>
        <s v="DAIM AFADI"/>
        <s v="DAINURI"/>
        <s v="DALILAN"/>
        <s v="Dami"/>
        <s v="damin"/>
        <s v="damis"/>
        <s v="DANANG BUDI PURWANTO"/>
        <s v="DANANG PRASETYO"/>
        <s v="Danang Susanto"/>
        <s v="DANANG TRISILO"/>
        <s v="darinem"/>
        <s v="dariyanto"/>
        <s v="DARMADI"/>
        <s v="DARMAJI"/>
        <s v="Darman"/>
        <s v="DARMANTO"/>
        <s v="Darmin"/>
        <s v="Darmini"/>
        <s v="Darminto"/>
        <s v="DARMO"/>
        <s v="DARMO NYONO"/>
        <s v="DARMO S"/>
        <s v="Darmo Sadat"/>
        <s v="DARMO SAGI"/>
        <s v="Darmo Suparto"/>
        <s v="DARMO SUWITO"/>
        <s v="Darmo suwito sadad"/>
        <s v="DARMO WARTO"/>
        <s v="Darmoko"/>
        <s v="DARMONO"/>
        <s v="Darmoredjo Lasimin"/>
        <s v="Darmuji"/>
        <s v="DARMUN"/>
        <s v="DARNI"/>
        <s v="DARNING PATMAWATI"/>
        <s v="DARNO"/>
        <s v="DARPO"/>
        <s v="DARSINI"/>
        <s v="DARSO WIDODO"/>
        <s v="DARSO WIYONO AL KIMIN"/>
        <s v="darsono"/>
        <s v="DARSONO ROHAYAT"/>
        <s v="Darti"/>
        <s v="DARTO"/>
        <s v="DARTO SAMIDI"/>
        <s v="DARWATI"/>
        <s v="DARYONO"/>
        <s v="Dasi"/>
        <s v="DASIDEN"/>
        <s v="Dasiyono"/>
        <s v="Dasmini"/>
        <s v="Dasrin"/>
        <s v="Dasuki"/>
        <s v="Daud"/>
        <s v="DAWAM"/>
        <s v="Demes Sri Utami"/>
        <s v="Dendi Budi Utomo"/>
        <s v="Denok Rahayu"/>
        <s v="DENRRY PUJI KURNIAWAN"/>
        <s v="Dessy"/>
        <s v="DIAN YULI SANTOSO"/>
        <s v="Diana Wahyu Sutrisni"/>
        <s v="DIANITA INDAH MARYANI"/>
        <s v="DIDIK  PRIYANTO"/>
        <s v="DIDIK DARMADI"/>
        <s v="DIDIK EKO NURYANTO"/>
        <s v="DIDIK FERIAWAN SAHNUR"/>
        <s v="DIDIK HARTANTO"/>
        <s v="DIDIK KARYADI"/>
        <s v="DIDIK PURWANTO"/>
        <s v="Didik Rudianto"/>
        <s v="DIDIK SUDARSONO"/>
        <s v="Didik Sugianto"/>
        <s v="DIDIK SUPRIYANTO"/>
        <s v="DIDIK TRIYANTO"/>
        <s v="Didik Yudiono"/>
        <s v="Didin SM"/>
        <s v="Digdo Budi Santoso"/>
        <s v="DIKAN"/>
        <s v="dikin"/>
        <s v="DIKUN"/>
        <s v="DIMAS SAPUTRO"/>
        <s v="DIMIN"/>
        <s v="Dini"/>
        <s v="DINNA KURNIAWATI"/>
        <s v="DIRIN"/>
        <s v="DIRUN WIRO SUNARSO"/>
        <s v="Diyono"/>
        <s v="DJAELANI"/>
        <s v="DJAMARI"/>
        <s v="DJASTOMO ALI MAHFUD"/>
        <s v="DJINEM"/>
        <s v="DJOKO SUPRAYOGI"/>
        <s v="Djono"/>
        <s v="Djoyo Sumarto"/>
        <s v="Djuari"/>
        <s v="DJUMADI"/>
        <s v="Djumingun"/>
        <s v="DJUMINI"/>
        <s v="DJUMIRAH"/>
        <s v="Djuri"/>
        <s v="Djuri harjo winoso"/>
        <s v="DODIK SETYAWAN"/>
        <s v="Domo"/>
        <s v="DONI HENDRI WIJAYA"/>
        <s v="DOPO"/>
        <s v="Doto"/>
        <s v="DRIJONO"/>
        <s v="DRS. DJONO"/>
        <s v="DUKUT"/>
        <s v="DUL ROKIB"/>
        <s v="Dwi Agus Purwanto"/>
        <s v="Dwi Antoro"/>
        <s v="DWI BANGUN BUDIYANTO"/>
        <s v="Dwi Darsono"/>
        <s v="DWI HARIYANTO"/>
        <s v="DWI HASTONO"/>
        <s v="Dwi Joko Sutrisno"/>
        <s v="Dwi Prabowo"/>
        <s v="DWI PUJIYANTO"/>
        <s v="DWI PURNOMO"/>
        <s v="Dwi Saputro"/>
        <s v="DWI SETIYONO, SST."/>
        <s v="DWI SUHARNI"/>
        <s v="DWI YANUARI SETYONUGROHO"/>
        <s v="Dzul Fakor"/>
        <s v="Edhi Wibowo"/>
        <s v="Edi erna irawan"/>
        <s v="EDI HARYONO"/>
        <s v="EDI PRAMINTO"/>
        <s v="Edi Setiawan"/>
        <s v="EDI SUJARWO"/>
        <s v="EDI SURATNO"/>
        <s v="Edi sutikno"/>
        <s v="EDI WARSENO"/>
        <s v="Edy Suryanto"/>
        <s v="EDY SUTAWAN"/>
        <s v="EDY SUWARTO"/>
        <s v="EDY WIDODO"/>
        <s v="EKA ERLIANA"/>
        <s v="EKA PRASTYA"/>
        <s v="Eka Supriyanto"/>
        <s v="EKO BUDI"/>
        <s v="Eko Budi Rianto"/>
        <s v="Eko Budi Santoso"/>
        <s v="Eko Budi Suswanto"/>
        <s v="EKO BUDIYANTO"/>
        <s v="Eko Cahyono"/>
        <s v="Eko Darmanto"/>
        <s v="EKO HADI SAPUTRO"/>
        <s v="Eko Jumari"/>
        <s v="EKO MARWANTO"/>
        <s v="EKO PRASETYO"/>
        <s v="Eko Pratiknyo"/>
        <s v="EKO PUJIANTO"/>
        <s v="eko purwanto"/>
        <s v="EKO RASMINTO"/>
        <s v="Eko Rianto"/>
        <s v="EKO RIYANTO"/>
        <s v="EKO ROCHMANI"/>
        <s v="EKO SARWONO"/>
        <s v="EKO SETIAWAN"/>
        <s v="EKO SUPRIYADI"/>
        <s v="EKO SUPRIYANTO"/>
        <s v="Eko Widi Cahyadi"/>
        <s v="EKO WIDODO"/>
        <s v="ENDAH ISTYORINI"/>
        <s v="ENDANG SRIYANI"/>
        <s v="ENDANG SUKESI"/>
        <s v="ENDANG SUSIANI"/>
        <s v="ENDANG TRI"/>
        <s v="Endra Wahana"/>
        <s v="Endro Hariono"/>
        <s v="Eni Kusrini"/>
        <s v="ENI YULIANINGSIH"/>
        <s v="ENWI ERNAWATI"/>
        <s v="ENY MITASIH"/>
        <s v="ENY ROOSITA"/>
        <s v="ERIK PURWOKO"/>
        <s v="ERISCA YAN IKA SEDYAD PUSPITA"/>
        <s v="ERLIN SUCI DYAH S"/>
        <s v="ERMA DWI RAHAYU"/>
        <s v="Erma susanti"/>
        <s v="ETRI PUSPITA"/>
        <s v="Eva Agustiyana"/>
        <s v="Evi Murniati"/>
        <s v="Fadel"/>
        <s v="Fadell"/>
        <s v="Fahrudin"/>
        <s v="Fajar Bayu a"/>
        <s v="Farid Afri Nurmansyah"/>
        <s v="FARIS DIAN KURNIAWAN"/>
        <s v="FARIZ NOOR AZIZI"/>
        <s v="Fariz Rizky Wijaya"/>
        <s v="FATHUR ROHMAN"/>
        <s v="Fatkhul Mubin"/>
        <s v="FATKHUROHMAN"/>
        <s v="FATKUR ROHMAN"/>
        <s v="Fatkurozi"/>
        <s v="Felix Chandra Muradji"/>
        <s v="Ferdifta Wahyu Anggita"/>
        <s v="feri edi puji hartono"/>
        <s v="Fitri Puji Astuti"/>
        <s v="FITRI SUPRIANIK"/>
        <s v="FIYAN SIH PAMBUDI"/>
        <s v="Fuad Wijoseno"/>
        <s v="Galih Wiranegara"/>
        <s v="Gangi"/>
        <s v="Gausilia Ferdhitaningrum"/>
        <s v="Gemi"/>
        <s v="Gendut Mujiono"/>
        <s v="Gendut santoso"/>
        <s v="Giarto"/>
        <s v="giman"/>
        <s v="GIMANTORO"/>
        <s v="gimin"/>
        <s v="Gino"/>
        <s v="GIONO"/>
        <s v="GIYANTO"/>
        <s v="GIYARTO"/>
        <s v="GIYATI"/>
        <s v="GIYONO"/>
        <s v="Gondo Pawiro Yahyo"/>
        <s v="Gugup Supriyanto"/>
        <s v="Gumono"/>
        <s v="Gunadi"/>
        <s v="Gunari"/>
        <s v="GUNARTO"/>
        <s v="Gunarto Abdul Aziz"/>
        <s v="Gunawan"/>
        <s v="Gunawan P"/>
        <s v="GUNDARNI"/>
        <s v="GUNTORO"/>
        <s v="GURITNO"/>
        <s v="HADI NURYANTO"/>
        <s v="HADI PRAMANA"/>
        <s v="Hadi Prayitno Kasman"/>
        <s v="Hadi Sudarno"/>
        <s v="Hadi Sumajid"/>
        <s v="HADI SURATNO"/>
        <s v="HADI WINARTA"/>
        <s v="HALIMATUS S"/>
        <s v="Hamid Romadhon"/>
        <s v="HAMIRANTO"/>
        <s v="HAN NIK SIH PRIHATIN"/>
        <s v="HANDOKO"/>
        <s v="HANDRIYANTO"/>
        <s v="HANES DWIDYO SASMIKO"/>
        <s v="HANFO WIBAHYUDI"/>
        <s v="HANIF SETIAWAN"/>
        <s v="Hardi"/>
        <s v="HARDIANTO"/>
        <s v="hardiyanto"/>
        <s v="HARDJO SUKAR"/>
        <s v="Hari Subagiyo"/>
        <s v="HARI SUSANTO"/>
        <s v="HARI SUTRISNO"/>
        <s v="HARIYADI"/>
        <s v="HARIYANI"/>
        <s v="HARIYANTI"/>
        <s v="HARIYANTO"/>
        <s v="Hariyasman"/>
        <s v="Hariyono"/>
        <s v="Harjo Kasiman"/>
        <s v="HARJO SIMAN"/>
        <s v="HARJOSARKAM"/>
        <s v="Harjowiyoto Yoto"/>
        <s v="HARMI"/>
        <s v="Harmoko"/>
        <s v="Harni"/>
        <s v="HARNO"/>
        <s v="HARNOKO"/>
        <s v="HARSONO"/>
        <s v="Harta Susila"/>
        <s v="HARTINI"/>
        <s v="Harto"/>
        <s v="Hartono"/>
        <s v="Hartoyo"/>
        <s v="HARUN"/>
        <s v="HARUN NURROSYID"/>
        <s v="HARWANTO"/>
        <s v="Harwati"/>
        <s v="HARY TOMMY ISTANTO"/>
        <s v="Haryanto"/>
        <s v="haryati"/>
        <s v="HARYUDI"/>
        <s v="HASAN ABDUL ROHMAN"/>
        <s v="hasby"/>
        <s v="Hastoko"/>
        <s v="Helis Ruswito"/>
        <s v="HENDRO P"/>
        <s v="HENI SETYOWATI"/>
        <s v="HENIS REZAWATI"/>
        <s v="Heri"/>
        <s v="HERI DWI CAHYONO"/>
        <s v="Heri Pujianto"/>
        <s v="Heri Purwanto"/>
        <s v="HERI SISWANTO"/>
        <s v="HERI WARSITO"/>
        <s v="HERI WIDYANTO"/>
        <s v="Herlan Jauhari"/>
        <s v="HERRIARTO"/>
        <s v="Heru Agus B"/>
        <s v="HERU SANTOSO"/>
        <s v="HERU SETIYONO"/>
        <s v="Hinari"/>
        <s v="HINDARTO"/>
        <s v="HUDA AHSANI"/>
        <s v="IAN FIRSTIAN ALDHI"/>
        <s v="IDA MUSTIKA"/>
        <s v="Idha Fitri Hariyani"/>
        <s v="IHWANUDIN"/>
        <s v="Ilaladi Khoifin"/>
        <s v="Ilham"/>
        <s v="Ilham mufarudin"/>
        <s v="ILYAS"/>
        <s v="Imam Ariyo"/>
        <s v="IMAM MARBAWI"/>
        <s v="INDAH YUNI LESTARI"/>
        <s v="Indrawati"/>
        <s v="Irwanto"/>
        <s v="Isbandi"/>
        <s v="ISMADI"/>
        <s v="ISMANI"/>
        <s v="ISMANTO"/>
        <s v="Ismiati"/>
        <s v="ISNAN FAUZY"/>
        <s v="ISNGADI"/>
        <s v="ISNI ROMDHONIATI"/>
        <s v="Isnoto"/>
        <s v="ISSE"/>
        <s v="ISTAMAR"/>
        <s v="ISTI SAROH"/>
        <s v="ISWAHYUDI"/>
        <s v="Iswandi"/>
        <s v="IWAN GUSWANTORO"/>
        <s v="JAILANI"/>
        <s v="Jaiman"/>
        <s v="Jaimin"/>
        <s v="Jainem"/>
        <s v="Jaini"/>
        <s v="Jali"/>
        <s v="JAMAL"/>
        <s v="JAMI"/>
        <s v="jamiatun"/>
        <s v="Jamiran"/>
        <s v="Janem"/>
        <s v="Jani"/>
        <s v="Januri"/>
        <s v="JAPAR"/>
        <s v="JARI"/>
        <s v="Jarman"/>
        <s v="JAROT"/>
        <s v="JARSI"/>
        <s v="JARWOTO"/>
        <s v="Jasman"/>
        <s v="Jasmani"/>
        <s v="Jayadi"/>
        <s v="Jefri Agung"/>
        <s v="JESSIKA FITRIANI"/>
        <s v="JIMAN"/>
        <s v="JIMMY SAPUTRA"/>
        <s v="jingun"/>
        <s v="Jiono"/>
        <s v="Jirmanto"/>
        <s v="JITO WIYONO"/>
        <s v="JIWOTO"/>
        <s v="JIYONO"/>
        <s v="jjjjjj"/>
        <s v="Joko Ary Purdianto"/>
        <s v="JOKO FEBRIANTO"/>
        <s v="JOKO HANDOKO"/>
        <s v="JOKO LEGOWO"/>
        <s v="Joko Murdani"/>
        <s v="JOKO NURYANTO"/>
        <s v="Joko Prasetyo"/>
        <s v="JOKO PURNOMO"/>
        <s v="Joko Purwanto"/>
        <s v="JOKO SANTOSO"/>
        <s v="JOKO SUDARSONO"/>
        <s v="JOKO SUSANTO"/>
        <s v="Joko Susetyo"/>
        <s v="JOKO SUTRISNO"/>
        <s v="JOKO SUYATIN"/>
        <s v="JOKO TRISILO"/>
        <s v="JOKO WARDONO"/>
        <s v="JOKO WARSITO"/>
        <s v="JOKO WIYONO"/>
        <s v="Joko. S"/>
        <s v="JONI PURNOMO"/>
        <s v="Joni Purwono"/>
        <s v="JONI SULISTYONO"/>
        <s v="JONI SUMITRO"/>
        <s v="Joni Suprapto"/>
        <s v="JONO"/>
        <s v="Julig Susilo"/>
        <s v="Jumadi"/>
        <s v="JUMALI"/>
        <s v="JUMALIK"/>
        <s v="Jumani"/>
        <s v="JUMARI"/>
        <s v="Jumarti"/>
        <s v="Jumirah"/>
        <s v="Jumiran"/>
        <s v="JUMIYATI"/>
        <s v="JUNAIDI"/>
        <s v="Juri"/>
        <s v="Juwandi"/>
        <s v="KAARNO"/>
        <s v="Kabiran"/>
        <s v="Kadam"/>
        <s v="Kadar"/>
        <s v="Kadi"/>
        <s v="KADI NURKHOLIS"/>
        <s v="KADIR"/>
        <s v="Kadiran"/>
        <s v="KADIYANTO"/>
        <s v="Kaeran"/>
        <s v="KALIDI"/>
        <s v="KAMDI"/>
        <s v="kamdo"/>
        <s v="KAMHAR"/>
        <s v="Kamidi"/>
        <s v="KAMIN"/>
        <s v="Kamirin"/>
        <s v="KAMTO"/>
        <s v="Kanang Kurniadin"/>
        <s v="Kaninyo"/>
        <s v="Kanthil"/>
        <s v="KARBI"/>
        <s v="KARDI"/>
        <s v="Karim"/>
        <s v="Kariman"/>
        <s v="Karimin"/>
        <s v="KARINI"/>
        <s v="Karjito"/>
        <s v="KARJONO"/>
        <s v="Karmaji"/>
        <s v="Karman"/>
        <s v="Karmani"/>
        <s v="Karmi"/>
        <s v="karmidi"/>
        <s v="Karmo Simun"/>
        <s v="Karmuji"/>
        <s v="KARNI"/>
        <s v="Karni Siswawijaya"/>
        <s v="KARNI WIANTO"/>
        <s v="KARNITO"/>
        <s v="Karno"/>
        <s v="KARSIANTO"/>
        <s v="Karsidi"/>
        <s v="KARSUN"/>
        <s v="KARTINI"/>
        <s v="KARTO WAGIMIN"/>
        <s v="Kartono"/>
        <s v="Karyadi"/>
        <s v="KARYANTO"/>
        <s v="Karyatin"/>
        <s v="Kasbolah"/>
        <s v="Kasdi"/>
        <s v="Kasdi Eko Winarno"/>
        <s v="KASIDI"/>
        <s v="KASIHATI"/>
        <s v="Kasipan"/>
        <s v="Kasiran"/>
        <s v="Kasiyem"/>
        <s v="KASIYONO"/>
        <s v="KASMANTO"/>
        <s v="Kasmi"/>
        <s v="Kasmin"/>
        <s v="KASMINAH"/>
        <s v="Kasni"/>
        <s v="KASNU"/>
        <s v="Kastono"/>
        <s v="Kaswadi"/>
        <s v="Katiman"/>
        <s v="Katimin"/>
        <s v="Katirah"/>
        <s v="Katon Yuwono"/>
        <s v="Kawirin"/>
        <s v="Kawito"/>
        <s v="KEMIS WIBOWO"/>
        <s v="Kenang"/>
        <s v="KHOIRONI"/>
        <s v="Khoirul Anam"/>
        <s v="KHOIRUL ANWAR"/>
        <s v="KHOIRUL MASHUDA"/>
        <s v="KHOIRUL MUKMININ"/>
        <s v="KHOIRUL SHOLEH"/>
        <s v="KHOIRUL SHOLIKIN"/>
        <s v="KHOIRUS SODIQ A"/>
        <s v="Khomarudin"/>
        <s v="KIMUN"/>
        <s v="Kisro"/>
        <s v="KOHAR"/>
        <s v="KOKOK WIBOWO"/>
        <s v="KOMARI"/>
        <s v="Komarudin"/>
        <s v="Konipan"/>
        <s v="KRISTIONO"/>
        <s v="KUN MASROKATIN"/>
        <s v="Kuslan"/>
        <s v="KUSMINI"/>
        <s v="Kusnadi"/>
        <s v="Kusnan"/>
        <s v="Kusni"/>
        <s v="Kusno"/>
        <s v="Kuswanto"/>
        <s v="LAMAN"/>
        <s v="Lamidi"/>
        <s v="Lamidjan"/>
        <s v="Lamijan"/>
        <s v="LAMIN"/>
        <s v="Lamin Jayangulama"/>
        <s v="Lamiran"/>
        <s v="LAMIYEM"/>
        <s v="Lamto"/>
        <s v="Langgeng"/>
        <s v="Langgeng Prayitno"/>
        <s v="LANJAR"/>
        <s v="Lantip"/>
        <s v="LASIM"/>
        <s v="LASIMAN"/>
        <s v="LASIMIN"/>
        <s v="Lasimun"/>
        <s v="Lasiyem"/>
        <s v="Lasmiatun"/>
        <s v="LASMIJO"/>
        <s v="LASMINI"/>
        <s v="Lasno"/>
        <s v="Lasono"/>
        <s v="LATRININGSIH"/>
        <s v="LEDUNG SUKONO"/>
        <s v="Legianto"/>
        <s v="Lilik Sugiarti"/>
        <s v="LINA DWI PUAS TUTIK"/>
        <s v="Linda Puspitasari"/>
        <s v="LINGGA DEVIANA BELA"/>
        <s v="Listiyo"/>
        <s v="LISTIYORINI"/>
        <s v="LISTYO SUPRAPTO"/>
        <s v="LUKMAN KARIM"/>
        <s v="LULUK SUNARTI"/>
        <s v="LUSIANA ARIE SUSANTI"/>
        <s v="Lutfiah"/>
        <s v="M Tarto"/>
        <s v="M ZAINURI"/>
        <s v="M. KHOIRI"/>
        <s v="M. Zainudin"/>
        <s v="MA'SUM"/>
        <s v="Machfud"/>
        <s v="Madi"/>
        <s v="Madi utomo"/>
        <s v="MADIYONO"/>
        <s v="MAGHFUR ALIF"/>
        <s v="MAHMUDA"/>
        <s v="MAKNO"/>
        <s v="MAKSUM"/>
        <s v="MAMIK SUTARMI"/>
        <s v="Mardi"/>
        <s v="MARDIYANTO"/>
        <s v="MARDIYONO"/>
        <s v="MARGO SETIO UTOMO"/>
        <s v="MARGONO"/>
        <s v="MARINEM"/>
        <s v="MARIONO"/>
        <s v="Mariyadi"/>
        <s v="MARIYAM"/>
        <s v="MARIYANTO"/>
        <s v="Mariyo"/>
        <s v="MARIYUN"/>
        <s v="MARJITO"/>
        <s v="MARJOKO"/>
        <s v="MARKAM"/>
        <s v="Marmin"/>
        <s v="Marmin Prasetyo"/>
        <s v="Marsidik"/>
        <s v="Marsono"/>
        <s v="MARSONO SUKAR"/>
        <s v="MARSUDI"/>
        <s v="Marwan"/>
        <s v="Marwoto"/>
        <s v="Maryadi"/>
        <s v="MARYANTO"/>
        <s v="Maryoko"/>
        <s v="MARYONO"/>
        <s v="MASDUKI"/>
        <s v="MASITHOH"/>
        <s v="MASKOM"/>
        <s v="Masngud"/>
        <s v="Mawardi Rofiq"/>
        <s v="Maya Kurniawati"/>
        <s v="Melinda Wahyuning Jannah"/>
        <s v="Mijan"/>
        <s v="MINARSIH"/>
        <s v="MINARTO"/>
        <s v="Mirun"/>
        <s v="Misbakhul munir"/>
        <s v="MISJIANTO"/>
        <s v="MISKAT"/>
        <s v="Misnan"/>
        <s v="MISNANTO"/>
        <s v="Misri"/>
        <s v="MJ. Margi Mitro"/>
        <s v="Moh Roqib"/>
        <s v="MOH. ALI"/>
        <s v="MOH. SIBAWEH"/>
        <s v="MOHAMMAD ASHURI"/>
        <s v="MU ALIM"/>
        <s v="Mu'anam"/>
        <s v="Muadi"/>
        <s v="Mucharrom"/>
        <s v="Muchtar"/>
        <s v="MUCHYAR"/>
        <s v="MUGIYANTO"/>
        <s v="Mugiyono"/>
        <s v="MUH AGUS PURWANTO"/>
        <s v="MUH MUSTOFA BASUKI AL SUKIDI"/>
        <s v="MUH NURYANTO"/>
        <s v="Muh Samhadi"/>
        <s v="Muhadi Suryono"/>
        <s v="MUHAMAD SAMAN HUDI"/>
        <s v="MUHAMMAD ARAFIQ"/>
        <s v="MUHAMMAD HAMIM"/>
        <s v="MUHAMMAD ILHAM M"/>
        <s v="Muhammad Sodiq"/>
        <s v="Muhdiono"/>
        <s v="MUHSIN EFENDI"/>
        <s v="MUHTAROM"/>
        <s v="Muji Hariyono"/>
        <s v="MUJIATI"/>
        <s v="MUJIONO"/>
        <s v="Mukharom"/>
        <s v="Muladiana"/>
        <s v="mulyadi"/>
        <s v="MULYANI"/>
        <s v="MULYANTO"/>
        <s v="MULYO UTOMO"/>
        <s v="MULYONO"/>
        <s v="Munahar"/>
        <s v="Munawar"/>
        <s v="Munirul Hadi"/>
        <s v="Muriyem"/>
        <s v="MURYANTI"/>
        <s v="MURYANTO"/>
        <s v="Musdi Mustofa"/>
        <s v="MUSLIM"/>
        <s v="Mustakhim"/>
        <s v="MUSTAKIM"/>
        <s v="MUSTAQIM"/>
        <s v="MUSTOFA"/>
        <s v="mustofa fahmi"/>
        <s v="NANANG PRASETYO"/>
        <s v="NARDI"/>
        <s v="Narjito"/>
        <s v="NARNO"/>
        <s v="Narto"/>
        <s v="Nasir S"/>
        <s v="NELI MEGASARI"/>
        <s v="Ngadi Hariyadi"/>
        <s v="NGADIMAN"/>
        <s v="NGADIYANTO"/>
        <s v="Ngatimin"/>
        <s v="NGATMINI"/>
        <s v="Noto"/>
        <s v="Nugroho Noto Susanto"/>
        <s v="NUR ARIFIN HIDAYAT"/>
        <s v="NUR ARIYADI"/>
        <s v="NUR HARIANTO"/>
        <s v="Nur Puji Astuti"/>
        <s v="NUR RAMELAN"/>
        <s v="NUR ROCHMAN"/>
        <s v="Nur Rohman"/>
        <s v="NUR TOHARI"/>
        <s v="Nur Wahid"/>
        <s v="Nur Wahyudi"/>
        <s v="NURHADI"/>
        <s v="NURI"/>
        <s v="Nurkaniman"/>
        <s v="Nurmanto"/>
        <s v="NUROHMAN"/>
        <s v="NURSOJO"/>
        <s v="NURUL MARJULI"/>
        <s v="NYAMIN"/>
        <s v="Nyono"/>
        <s v="NYONO SLAMET WINARTO"/>
        <s v="Oko setiawan"/>
        <s v="PAGI"/>
        <s v="Pagiyanto"/>
        <s v="paidi"/>
        <s v="PAIDIANTO"/>
        <s v="PAIMIN"/>
        <s v="Paimin Tambah"/>
        <s v="PAMUJI"/>
        <s v="Pangat"/>
        <s v="PANGKY PURWANTO"/>
        <s v="PANIKEM"/>
        <s v="Paninyo"/>
        <s v="Paniran"/>
        <s v="PANIRIN"/>
        <s v="PANIYO"/>
        <s v="PANJI BUDI"/>
        <s v="Pardi"/>
        <s v="PARIDI"/>
        <s v="Parin"/>
        <s v="PARJI"/>
        <s v="Parjo"/>
        <s v="PARMAN"/>
        <s v="parmi"/>
        <s v="PARMIN"/>
        <s v="PARMONO"/>
        <s v="Parni"/>
        <s v="Parno"/>
        <s v="PARNO RUBIANTO"/>
        <s v="PARTO DIHARJO SIDIK"/>
        <s v="Partono"/>
        <s v="Parwoko"/>
        <s v="Paryono"/>
        <s v="PARYUDI"/>
        <s v="PATMO WIYONO"/>
        <s v="POEDJIONO"/>
        <s v="POMO"/>
        <s v="Pradana Dykdhya Wahana"/>
        <s v="Prapto"/>
        <s v="Praptomo"/>
        <s v="Prasowo"/>
        <s v="PRASTYO BUDI UTOMO"/>
        <s v="PRAWATI"/>
        <s v="PRAYITNO"/>
        <s v="PRIYADI"/>
        <s v="PRIYANTO"/>
        <s v="PRIYO WASONO"/>
        <s v="Priyono"/>
        <s v="PUGUH HASTO U"/>
        <s v="PUJI ASTUTIK"/>
        <s v="PUJI BAGIO"/>
        <s v="Puji Suwiknyo"/>
        <s v="PUJIANTO"/>
        <s v="Pujiatmiko"/>
        <s v="PUJIYANTO"/>
        <s v="PURBO SETYAWAN"/>
        <s v="Purmoko"/>
        <s v="Purnomo"/>
        <s v="Purnomo Ahmad Nur Humaidi"/>
        <s v="PURWADI"/>
        <s v="PURWANI"/>
        <s v="Purwanita"/>
        <s v="PURWANTINI"/>
        <s v="PURWANTO"/>
        <s v="Purwanto Hadi"/>
        <s v="Purwanto Wahyu Nugroho"/>
        <s v="Purwati"/>
        <s v="Purwito"/>
        <s v="Purwo Susilo"/>
        <s v="Puryanti"/>
        <s v="Puryono"/>
        <s v="PUSPITA SARI HANDAYANI"/>
        <s v="Putri Galuh Meilena"/>
        <s v="PUTUT BUDI SANTOSO"/>
        <s v="PUTUT JARWONO"/>
        <s v="Radikan"/>
        <s v="Radiono"/>
        <s v="Rahmat Gutomo"/>
        <s v="RAHMIKA MARI'E ALLIFUDIN"/>
        <s v="Rajiman"/>
        <s v="Rajimin"/>
        <s v="Rajiun"/>
        <s v="Rakidi"/>
        <s v="Rakijan"/>
        <s v="Rakiman"/>
        <s v="Rakino"/>
        <s v="RAMBU"/>
        <s v="RAMELAN"/>
        <s v="Ramidi"/>
        <s v="Rasimin"/>
        <s v="Rasmanto"/>
        <s v="Ratno"/>
        <s v="RAWIYUN"/>
        <s v="Rawuh"/>
        <s v="REBO"/>
        <s v="Reganyak"/>
        <s v="Rembang"/>
        <s v="REO PUTRA"/>
        <s v="Ridwan Riyanto"/>
        <s v="rifai"/>
        <s v="RIMAN"/>
        <s v="Rino Muhamad Saiful"/>
        <s v="RISDIANTO"/>
        <s v="RISTA ANDRIANA"/>
        <s v="Ristanti. S"/>
        <s v="RISTIANI"/>
        <s v="RIYADI"/>
        <s v="Riyani"/>
        <s v="Riyanto"/>
        <s v="riyem"/>
        <s v="rochmad"/>
        <s v="Rochmad santoso"/>
        <s v="Rochmadi"/>
        <s v="ROFI' SITI MU'ALIFAH"/>
        <s v="ROFIK"/>
        <s v="ROFIQ"/>
        <s v="Rogib"/>
        <s v="ROHANI"/>
        <s v="ROHMAD"/>
        <s v="Rohman"/>
        <s v="ROHMAT NUGROHO"/>
        <s v="Roni adi"/>
        <s v="RONY WIJAYA"/>
        <s v="ROSIANA DEWI"/>
        <s v="ROSIDI"/>
        <s v="Rosit Fatoni"/>
        <s v="Roswoto"/>
        <s v="RUDIK HARYANTO"/>
        <s v="Rudiono"/>
        <s v="RUDIYANTO"/>
        <s v="RUJIK SUJARYO"/>
        <s v="Rujito"/>
        <s v="Rukiman"/>
        <s v="Rukinah"/>
        <s v="RULLY DWI CAHYANTO"/>
        <s v="RUMINI"/>
        <s v="RURUH INDRIANA DAMAYANTI"/>
        <s v="Rusdianto"/>
        <s v="RUSLAN"/>
        <s v="RUSLAN ARIF"/>
        <s v="RUSLAN JAILANI"/>
        <s v="Rusmin"/>
        <s v="RUSMINI"/>
        <s v="Ruswanto"/>
        <s v="Sabar"/>
        <s v="Sabariyanto"/>
        <s v="Sadik"/>
        <s v="SADIMIN"/>
        <s v="SADIR WIDODO"/>
        <s v="SADIRAN"/>
        <s v="Sadirun"/>
        <s v="SADIYEM"/>
        <s v="SADIYO"/>
        <s v="Saeno Dwi Atmojo"/>
        <s v="Saeran"/>
        <s v="Sagiyanto"/>
        <s v="Saidi"/>
        <s v="SAIFUDDIN"/>
        <s v="SAIFUDIN"/>
        <s v="SAIFUL ANWAR"/>
        <s v="SAIMAN"/>
        <s v="Saimun"/>
        <s v="SAINU"/>
        <s v="Sajak"/>
        <s v="Saji"/>
        <s v="Salam"/>
        <s v="SALI"/>
        <s v="SALI RAHARJO"/>
        <s v="Salim"/>
        <s v="Salim Mustakim"/>
        <s v="Samanhudi"/>
        <s v="SAMIDI"/>
        <s v="Samidin"/>
        <s v="Samidjan"/>
        <s v="Samilan"/>
        <s v="Samin"/>
        <s v="Samingun"/>
        <s v="Samino"/>
        <s v="Samirin"/>
        <s v="Sampan"/>
        <s v="SAMSI"/>
        <s v="Samsikin"/>
        <s v="Samsirin"/>
        <s v="SAMSU"/>
        <s v="Samsudin"/>
        <s v="Samsul Muarifin"/>
        <s v="SAMUJI"/>
        <s v="Saniman"/>
        <s v="Sanimin"/>
        <s v="Santoso"/>
        <s v="SAPARDI"/>
        <s v="Sapari"/>
        <s v="SARBUDI"/>
        <s v="SARDI"/>
        <s v="Sarengat"/>
        <s v="Sarimin"/>
        <s v="Sarini"/>
        <s v="Sariningsih"/>
        <s v="sarinten"/>
        <s v="SARIYANTO"/>
        <s v="Sarjono"/>
        <s v="SARNIHADI"/>
        <s v="Sarno"/>
        <s v="Saroso"/>
        <s v="Sarpan"/>
        <s v="SARSAM W"/>
        <s v="SARWOKO"/>
        <s v="Sarwono"/>
        <s v="SASTRO SADI"/>
        <s v="Sayid"/>
        <s v="SEMI WIDAYATI"/>
        <s v="Seni"/>
        <s v="SETIADI"/>
        <s v="SETIYADI"/>
        <s v="SETIYONO"/>
        <s v="SETIYONO DWI KARTIKO"/>
        <s v="Setu Mustofa"/>
        <s v="SETU SETIADI"/>
        <s v="SETYA KARTI"/>
        <s v="Setyono"/>
        <s v="SHINTA CANDRA"/>
        <s v="SHOLEH HUDA"/>
        <s v="Sholichin"/>
        <s v="SHUMIRAN"/>
        <s v="Sidi"/>
        <s v="Sidianto"/>
        <s v="Sidiono"/>
        <s v="Sido Haryanto"/>
        <s v="SIGIT KURNIAWAN"/>
        <s v="Sigit Tri Budi Santoso"/>
        <s v="SIMAN"/>
        <s v="Sipan"/>
        <s v="Siramiati"/>
        <s v="Siran"/>
        <s v="SIRENG"/>
        <s v="Siswadi"/>
        <s v="SISWANTO"/>
        <s v="Siswo Wiyono"/>
        <s v="SISWOKO"/>
        <s v="Siswoyo"/>
        <s v="Siti Chasanah"/>
        <s v="siti fatimah"/>
        <s v="Siti Lailatul Khodar"/>
        <s v="Siti Ngaisah"/>
        <s v="Siti Ningsih"/>
        <s v="Slamet"/>
        <s v="SLAMET ARIYADI"/>
        <s v="SLAMET MULYONO"/>
        <s v="SLAMET RIYADI"/>
        <s v="SLAMET SUYANTO"/>
        <s v="Sobirin"/>
        <s v="SOETARNO"/>
        <s v="Sojo"/>
        <s v="SOKARTO JIMIN"/>
        <s v="Solikin"/>
        <s v="Somo Wiyono Seno"/>
        <s v="SOYO"/>
        <s v="SRI HARTINI"/>
        <s v="Sri Lestari"/>
        <s v="SRI MULYANI"/>
        <s v="Sri Mulyono"/>
        <s v="Sri Sumiharsih"/>
        <s v="Sri Wahyuni"/>
        <s v="SRI WANCI"/>
        <s v="SRI WARTINI"/>
        <s v="Sriati"/>
        <s v="Sriwarni"/>
        <s v="Sriyono"/>
        <s v="Sriyono Ali Rohman"/>
        <s v="SUBAGDI"/>
        <s v="Subandi"/>
        <s v="Subini"/>
        <s v="Sucipto"/>
        <s v="SUDADI"/>
        <s v="SUDADIANTO"/>
        <s v="Sudar"/>
        <s v="Sudarno"/>
        <s v="SUDARSO"/>
        <s v="SUDARSONO"/>
        <s v="SUDARTO"/>
        <s v="SUDARYANTO"/>
        <s v="Sudikin"/>
        <s v="Sudimin"/>
        <s v="Sudiyono"/>
        <s v="Sudji"/>
        <s v="Sugeng"/>
        <s v="Sugeng Hariyanto"/>
        <s v="SUGENG PRASETYO"/>
        <s v="Sugeng Prayitno"/>
        <s v="Sugeng Riyanto"/>
        <s v="SUGIANTO"/>
        <s v="Sugiharto"/>
        <s v="Sugiman"/>
        <s v="SUGIMIN"/>
        <s v="SUGIONO"/>
        <s v="SUGITO"/>
        <s v="SUGIYANTO"/>
        <s v="Sugiyarto"/>
        <s v="SUGIYONO"/>
        <s v="SUHADI"/>
        <s v="Suharno"/>
        <s v="Suharto"/>
        <s v="SUJARWO"/>
        <s v="Sujianto"/>
        <s v="SUJITO"/>
        <s v="SUJITO DWIYONO"/>
        <s v="SUJOKO"/>
        <s v="Sukadi"/>
        <s v="Sukamto"/>
        <s v="SUKAR"/>
        <s v="Sukardi"/>
        <s v="SUKARMAN"/>
        <s v="Sukarmin"/>
        <s v="SUKARNO"/>
        <s v="Sukarwan"/>
        <s v="SUKASNO"/>
        <s v="SUKIJAN"/>
        <s v="Sukiman"/>
        <s v="SUKIMIN"/>
        <s v="SUKINI"/>
        <s v="SUKIR"/>
        <s v="Sukiran"/>
        <s v="Sukirdi"/>
        <s v="sukirno"/>
        <s v="Sukiyem"/>
        <s v="Sukiyo"/>
        <s v="Sukoco"/>
        <s v="SUKODO"/>
        <s v="Sukono"/>
        <s v="SUKOTO"/>
        <s v="Sukram"/>
        <s v="SULAIMANUL HUDA"/>
        <s v="SULAMTO"/>
        <s v="Sulih"/>
        <s v="SULIS SETIANTO"/>
        <s v="Sulistiyono"/>
        <s v="Sulistyowati"/>
        <s v="SULIYEM"/>
        <s v="Sumadi"/>
        <s v="SUMADI SISWO SUPRAPTO"/>
        <s v="SUMALI"/>
        <s v="Sumanto"/>
        <s v="Sumardi"/>
        <s v="Sumarlan"/>
        <s v="SUMARLI"/>
        <s v="SUMARMI"/>
        <s v="SUMARMIN"/>
        <s v="SUMARNO"/>
        <s v="SUMARSIH"/>
        <s v="SUMARSO"/>
        <s v="Sumilan"/>
        <s v="Suminem"/>
        <s v="Sumino"/>
        <s v="Suminto"/>
        <s v="SUMONO"/>
        <s v="SUNAR JUWARNO"/>
        <s v="SUNARDI"/>
        <s v="SUNARI"/>
        <s v="SUNARNO"/>
        <s v="Sunarso"/>
        <s v="SUNARTI"/>
        <s v="SUNARTO"/>
        <s v="Sunaryo"/>
        <s v="Sunawan"/>
        <s v="Sungadi"/>
        <s v="Sunoto"/>
        <s v="SUNYOTO"/>
        <s v="SUPADIANTO"/>
        <s v="Supardi"/>
        <s v="Supardianto"/>
        <s v="Supardino"/>
        <s v="Supariyo"/>
        <s v="Suparji"/>
        <s v="Suparjo"/>
        <s v="SUPARLAN"/>
        <s v="SUPARMAN"/>
        <s v="SUPARMIN"/>
        <s v="SUPARMONO"/>
        <s v="SUPARNA"/>
        <s v="Suparni"/>
        <s v="Suparno"/>
        <s v="SUPARSI RANA W"/>
        <s v="Suparwo"/>
        <s v="SUPATMO"/>
        <s v="SUPOMO"/>
        <s v="Supono"/>
        <s v="SUPRAPTO"/>
        <s v="Suprianto"/>
        <s v="Supriyanto"/>
        <s v="SUPRIYANTO NUR CAHYO"/>
        <s v="SUPRIYONO"/>
        <s v="SURADI"/>
        <s v="Suraji"/>
        <s v="Suranto"/>
        <s v="Surat"/>
        <s v="SURATMAN"/>
        <s v="SURATMO"/>
        <s v="Suratno"/>
        <s v="SURISNO"/>
        <s v="Surono"/>
        <s v="SUROSO"/>
        <s v="SUROTO"/>
        <s v="Suryono"/>
        <s v="Susantara"/>
        <s v="Susilo"/>
        <s v="SUTAKAT"/>
        <s v="SUTARJI"/>
        <s v="SUTARJO"/>
        <s v="Sutarman"/>
        <s v="SUTARMI"/>
        <s v="Sutarmin"/>
        <s v="SUTARNO"/>
        <s v="SUTARTO"/>
        <s v="Sutikno"/>
        <s v="Sutikno Dwi Cahyono"/>
        <s v="SUTIMIN"/>
        <s v="SUTINI"/>
        <s v="SUTIYEM"/>
        <s v="Sutiyo"/>
        <s v="SUTIYONO"/>
        <s v="SUTOMO"/>
        <s v="SUTOPO"/>
        <s v="Sutoyo"/>
        <s v="Sutrisno"/>
        <s v="SUWADI"/>
        <s v="Suwaji"/>
        <s v="SUWANDI"/>
        <s v="Suwanti"/>
        <s v="SUWANTO"/>
        <s v="SUWARDI"/>
        <s v="Suwarno"/>
        <s v="SUWARTIN"/>
        <s v="SUWARTO"/>
        <s v="Suwito"/>
        <s v="Suwono"/>
        <s v="SUWOTO"/>
        <s v="Suyadi"/>
        <s v="SUYAHMIN"/>
        <s v="Suyandani"/>
        <s v="SUYANTO"/>
        <s v="SUYARNO"/>
        <s v="Suyatno"/>
        <s v="SUYITNO"/>
        <s v="SUYOKO"/>
        <s v="Suyono"/>
        <s v="Suyono Mardi Rasito"/>
        <s v="Suyoso"/>
        <s v="SUYOTO"/>
        <s v="Syahrifuddin"/>
        <s v="SYAIFUDIN"/>
        <s v="SYAIFUDIN ZUHRI"/>
        <s v="T. Efendi"/>
        <s v="Takim"/>
        <s v="TAMAN"/>
        <s v="Tamin"/>
        <s v="Tamri"/>
        <s v="Tamsir"/>
        <s v="Tarmudji"/>
        <s v="Tarno"/>
        <s v="Taryono"/>
        <s v="Tasiyo"/>
        <s v="Tasman"/>
        <s v="Tasmania"/>
        <s v="Tatik Nurfaidah"/>
        <s v="Teguh"/>
        <s v="Teguh Joko Santoso"/>
        <s v="TEGUH WIYONO"/>
        <s v="THOFIK YUSWANTORO"/>
        <s v="Thomas Welly Triatmojo"/>
        <s v="TIMBUL NS"/>
        <s v="Timin"/>
        <s v="Titin Dewi M"/>
        <s v="TOMI YUDHO NUGROHO"/>
        <s v="TONI SETIAWAN"/>
        <s v="Tosy Purbo Santoso"/>
        <s v="Totok Sugiarto"/>
        <s v="TOTOK SUNARTO"/>
        <s v="Tri Handono"/>
        <s v="TRIONO"/>
        <s v="TRISIH WASONO"/>
        <s v="Trismanto"/>
        <s v="TRIYONO ADI SAPITRO"/>
        <s v="Tryhono"/>
        <s v="TUKIMAN"/>
        <s v="Tukimin"/>
        <s v="Tulus Indra Bakti"/>
        <s v="Tulus Rujianto"/>
        <s v="Tumbar"/>
        <s v="Tumijan"/>
        <s v="TUMIN"/>
        <s v="TUMIN NURYANTO"/>
        <s v="TUMIYEM"/>
        <s v="TUNGGAL"/>
        <s v="Udin"/>
        <s v="UMAR HIDAYAT"/>
        <s v="UMAR THOHA"/>
        <s v="UMI KULSUM"/>
        <s v="Umi Maisaroh"/>
        <s v="USMAN"/>
        <s v="Usman Efendi"/>
        <s v="UTAMIASIH"/>
        <s v="VERI VERANTO"/>
        <s v="VIKE K"/>
        <s v="Wagiman"/>
        <s v="Wagimun"/>
        <s v="WAGINEM"/>
        <s v="Wagiran"/>
        <s v="Wagiyem"/>
        <s v="WAGIYO"/>
        <s v="WAHID"/>
        <s v="WAHONO"/>
        <s v="WAHYU HARSONO"/>
        <s v="WAHYU HERMAWAN"/>
        <s v="WAHYUDI"/>
        <s v="Waji Al Rosyid"/>
        <s v="WAKID NUR"/>
        <s v="Wakidah"/>
        <s v="WAKIRIN"/>
        <s v="Wakiyo"/>
        <s v="Wandi"/>
        <s v="WANDI ARISANDI"/>
        <s v="Wani"/>
        <s v="WARDHONI"/>
        <s v="Wardjito"/>
        <s v="WARGITO"/>
        <s v="WARISMAN"/>
        <s v="Warsana"/>
        <s v="Warseno"/>
        <s v="Warseto"/>
        <s v="Warsi"/>
        <s v="Warsidi"/>
        <s v="Warsidik"/>
        <s v="WARSITO"/>
        <s v="WARTO"/>
        <s v="Wartono"/>
        <s v="Wasis"/>
        <s v="Wasisto"/>
        <s v="Wasito"/>
        <s v="Widayat"/>
        <s v="Widiyanto"/>
        <s v="WIDODO"/>
        <s v="WIDODO P.U"/>
        <s v="Widyo cahyono, sp"/>
        <s v="Wignyo Diharjo Sugito"/>
        <s v="WIJI R"/>
        <s v="Wijianto"/>
        <s v="WINAJI"/>
        <s v="Winarko"/>
        <s v="Winarti"/>
        <s v="Winarto"/>
        <s v="WINASRI"/>
        <s v="WIRO SURAT"/>
        <s v="WIWIK NUROHMAN"/>
        <s v="WIWIK SUGIARTI"/>
        <s v="Wiwit Setyo Wahyudi"/>
        <s v="Wiyono"/>
        <s v="Wuryantoko"/>
        <s v="Yadi"/>
        <s v="YAHMIN"/>
        <s v="YANTO"/>
        <s v="YASUKI"/>
        <s v="Yatmin"/>
        <s v="Yayuk, R.S. "/>
        <s v="Yeni Rahmawati"/>
        <s v="yfyfyguuh"/>
        <s v="YISO"/>
        <s v="Yono"/>
        <s v="Yoyok .A"/>
        <s v="YUDA WAHYU PRASTIYA"/>
        <s v="Yudha Teguh Priyanto"/>
        <s v="YUDI NUGROHO"/>
        <s v="Yudi Warih Suka"/>
        <s v="Yudo Mulyono"/>
        <s v="YULI P"/>
        <s v="YULI PERTIWI"/>
        <s v="Yuliana"/>
        <s v="YULIANTO"/>
        <s v="Yusup Efendi"/>
        <s v="Yusup Mujianto"/>
        <s v="YUSUP SUPRIADI"/>
        <s v="YUSUP SUROSO"/>
        <s v="Yuswantoro"/>
        <s v="YUYUK DWI SUSANTI"/>
        <s v="Zainal Arifin"/>
        <s v="ZAINAL AZIKIN"/>
        <s v="ZAINAN NASIKIN"/>
        <s v="ZAINUL G"/>
        <s v="zamzudin"/>
        <s v="Zayyin Multazam Sukri"/>
      </sharedItems>
    </cacheField>
    <cacheField name="Email Referensi" numFmtId="0">
      <sharedItems containsBlank="1">
        <s v="khai@gmail.com"/>
        <s v="jogorogobpp@gmail.com"/>
        <s v="bppngawi@gmail.com"/>
        <s v="aguspasianto@gmail.com"/>
        <s v="bppkecamatangerih@gmail.com"/>
        <s v="bppkendalngawi@gmail.com"/>
        <s v="bppkaranganyarngw@gmail.com"/>
        <s v="dwihand127@gmail.com"/>
        <s v="perisaericz@yahoo.com"/>
        <s v="herry.ngawi90@gmail.com"/>
        <s v="bpppadas2020@gmail.com"/>
        <s v="paronbpp@gmail.com"/>
        <s v="markhabanngale@gmail.com"/>
        <s v="rachmatsaksono467@gmail.com"/>
        <s v="shilvi@admin.com"/>
        <s v="sigitwahyudi@gmail.com"/>
        <s v="bppkarangjati@gmail.com"/>
        <s v="bpppitoe@gmail.com"/>
        <s v="tiaralistyaningputri@gmail.com"/>
        <s v="bppwidodaren.official@gmail.com"/>
        <s v="wawannurcahyadi@yahoo.co.id"/>
        <s v="arshakasuntoro@gmail.com"/>
        <s v="rahmawatiyuni@gmail.com"/>
        <s v="khairulfatqurr@gmail.com"/>
        <s v="haykal@admin.com"/>
        <s v="frand@admin.com"/>
        <m/>
        <s v="penyuluhanngawi@gmail.com"/>
        <s v="Amien"/>
        <s v="Jarjit"/>
        <s v="mgkiddrock@gmail.com"/>
        <s v="lifa.widantio20@gmail.com"/>
        <s v="agnezdyanparamita@gmail.com"/>
        <s v="tobieputra@gmail.com"/>
        <s v="aguspasiantospmma29@gmail.com"/>
        <s v="ayat_woko9812@yahoo.co.id"/>
        <s v="anikkristiana.01@gmail.com"/>
        <s v="syukmawantoardhian@gmail.com"/>
        <s v="awaludin.sttp@gmail.com"/>
        <s v="azheez7981@gmail.com"/>
        <s v="tionobambang9@gmail.com"/>
        <s v="cahyono@penyuluh.com"/>
        <s v="ckptw@gmail.com"/>
        <s v="ckptw2@gmail.com"/>
        <s v="dehapurwoko@gmail.com"/>
        <s v="dika.lusianto@gmail.com"/>
        <s v="novi.drh@gmail.com"/>
        <s v="dwielisak@gmail.com"/>
        <s v="du.punya@gmail.com"/>
        <s v="edysriyono90@gmail.com"/>
        <s v="ernakusumawati746@gmail.com"/>
        <s v="fadelanminallah10@gmail.com"/>
        <s v="fatqur@gmail.com"/>
        <s v="frinda.id@gmail.com"/>
        <s v="gono5726@gmail.com"/>
        <s v="hartoyosamsung360@gmail.com"/>
        <s v="haryanaharyana187@gmail.com"/>
        <s v="herlanjauhari@gmail.com"/>
        <s v="ida@gmail.com"/>
        <s v="ikea37489@gmail.com"/>
        <s v="bukhoriretta@gmail.com"/>
        <s v="heniiswati382@gmail.com"/>
        <s v="isnineneni9i@gmail.com"/>
        <s v="jokoa@penyuluh.com"/>
        <s v="joko@penyuluh.com"/>
        <s v="kirbanderini@gmail.com"/>
        <s v="ladhiantopratama8@gmail.com"/>
        <s v="mamang@gmail.com"/>
        <s v="bppmantingan@gmail.com"/>
        <s v="markhabanngale1@gmail.com"/>
        <s v="silambimarkus17@gmail.com"/>
        <s v="marsudiyanto844@gmail.com"/>
        <s v="lula.nendra81@gmail.com"/>
        <s v="yaqinjq.muhammad@gmail.com"/>
        <s v="oki@gmail.com"/>
        <s v="pasriani71@gmail.com"/>
        <s v="penyuluhreguler@gmail.com"/>
        <s v="wekspipiet@gmail.com"/>
        <s v="puryantodikromo92@gmail.com"/>
        <s v="kusumoagung21@gmail.com"/>
        <s v="putriwldr329@gmail.com"/>
        <s v="test@gmail.com"/>
        <s v="rizkysb91@gmail.com"/>
        <s v="ryosantoso15@gmail.com"/>
        <s v="satoru@penyuluh.com"/>
        <s v="shelashela064@gmail.com"/>
        <s v="mohondiedit@gmail.com"/>
        <s v="sigit22wahyudi@gmail.com"/>
        <s v="siketan@ngawikab.go.id"/>
        <s v="shaqueensha@gmail.com"/>
        <s v="nul@gmail.com"/>
        <s v="sugiantoraffi@gmail.com"/>
        <s v="sugiyantavina@gmail.com"/>
        <s v="Sugi14juni@gmail.com"/>
        <s v="sugiyartougik93@gmail.com"/>
        <s v="totokpadas@gmail.com"/>
        <s v="jitoahnaf00742@gmail.com"/>
        <s v="auliatikno81@gmail.com"/>
        <s v="wandisakdermo@gmail.com"/>
        <s v="suwartibpp@gmail.com"/>
        <s v="takiya@admin.com"/>
        <s v="budisuswanto5479@gmail.com"/>
        <s v="test@mail.com"/>
        <s v="trisujatmiko25@gmail.com"/>
        <s v="trimulyo090576@gmail.com"/>
        <s v="wahyusetiawan471@gmail.com"/>
        <s v="wahyu.ahadi19@gmail.com"/>
        <s v="wksihku@gmail.com"/>
        <s v="wibowo452@gmail.com"/>
        <s v="widyamaharani126@gmail.com"/>
        <s v="mbkyuni0102@gmail.com"/>
        <s v="rahmawatiyuni134@gmail.com"/>
        <s v="yusupefendi935@gmail.com"/>
        <s v="penyuluhswadaya@gmail.com"/>
        <s v="bayudwinugroho@gmail.com"/>
        <s v="darmo@gmail.com"/>
        <s v="null"/>
        <s v="jogorogosiketan@gmail.com"/>
        <s v="Fadel@gmail.com"/>
        <s v="Fadell@gmail.com"/>
        <s v="Fariz@gmail.com"/>
        <s v="jagoanlabs@gmail.com"/>
        <s v="lamiran@gmail.com"/>
        <s v="munir@gmail.com"/>
        <s v="nurrohman@gmail.com"/>
        <s v="reganyak@gmail.com"/>
        <s v="saifudin@gmail.com"/>
        <s v="herry.ngawi@gmail.com"/>
        <s v="birowo.organik@gmail.com"/>
        <s v="sumarso@gmail.com"/>
        <s v="a@gmail.com"/>
        <s v="suroso@petani.com"/>
        <s v="suroto@gmail.com"/>
        <s v="yfyfyguuh@gmail.com"/>
        <s v="zamzudin@gmail.com"/>
      </sharedItems>
    </cacheField>
    <cacheField name="No Telepon Referensi">
      <sharedItems containsBlank="1" containsMixedTypes="1" containsNumber="1" containsInteger="1">
        <n v="8.512375925E9"/>
        <n v="8.5736635579E10"/>
        <n v="8.5735113595E10"/>
        <n v="8.5856914475E10"/>
        <n v="8.5856261477E10"/>
        <n v="8.5736636579E10"/>
        <n v="8.2336621788E10"/>
        <n v="8.2335999707E10"/>
        <n v="8.3850518E10"/>
        <n v="8.5790570462E10"/>
        <n v="8.7856803894E10"/>
        <n v="8.9523655038E10"/>
        <n v="8.1231206843E10"/>
        <n v="8.123456789E9"/>
        <n v="8.5259626461E10"/>
        <n v="8.5235665155E10"/>
        <n v="8.5749592637E10"/>
        <n v="8.1333595339E10"/>
        <n v="8.5235415195E10"/>
        <n v="8.2143422489E10"/>
        <n v="8.953259349E10"/>
        <n v="8.2244693431E10"/>
        <n v="8.5812735927E10"/>
        <n v="8.123456789E10"/>
        <n v="8.10987654321E11"/>
        <m/>
        <n v="8.1252232644E10"/>
        <n v="8.953259349E11"/>
        <s v="jl. desa simanalagi"/>
        <s v="jl. desa kalimalang"/>
        <n v="8.5174325636E10"/>
        <n v="8.1235730137E10"/>
        <n v="8.1335684594E10"/>
        <n v="8.5736881069E10"/>
        <n v="8.5843671615E10"/>
        <n v="8.13342235E10"/>
        <n v="8.5649502506E10"/>
        <n v="8.563501392E9"/>
        <n v="8.5856261377E10"/>
        <n v="8.1244857061E10"/>
        <n v="8.5647109231E10"/>
        <n v="8.5233719491E10"/>
        <n v="8.123405154E9"/>
        <n v="8.5232108618E10"/>
        <n v="8.1330500074E10"/>
        <n v="8.1556423161E10"/>
        <n v="8.789465123E9"/>
        <n v="8.7894563213E10"/>
        <n v="8.1332029263E10"/>
        <n v="8.5784809735E10"/>
        <n v="8.2143367634E10"/>
        <n v="8.5790218884E10"/>
        <n v="8.1914859925E10"/>
        <n v="8.2299972261E10"/>
        <n v="8.1234381838E10"/>
        <n v="8.560470467E10"/>
        <n v="8.5326113894E10"/>
        <n v="8.563518338E9"/>
        <n v="8.1336304421E10"/>
        <n v="8.5233731763E10"/>
        <n v="8.1332102027E10"/>
        <n v="8.1359422525E10"/>
        <n v="8.5230941551E10"/>
        <n v="8.2228499822E10"/>
        <n v="8.1335455073E10"/>
        <n v="8.5636325E9"/>
        <n v="8.233452145E10"/>
        <n v="8.5233912942E10"/>
        <n v="8.5714169155E10"/>
        <n v="8.3845379145E10"/>
        <n v="8.133569183E10"/>
        <n v="8.1335252669E10"/>
        <n v="8.564527995E10"/>
        <n v="8.2232414825E10"/>
        <n v="8.1233539127E10"/>
        <n v="8.2231263861E10"/>
        <n v="8.5736954848E10"/>
        <n v="8.2298765432E10"/>
        <n v="8.563622003E9"/>
        <n v="8.1335616515E10"/>
        <n v="81.0"/>
        <n v="8.123572537E9"/>
        <n v="8.2264051008E10"/>
        <n v="8.1238451871E10"/>
        <n v="8.2215570607E10"/>
        <n v="8.1335199545E10"/>
        <n v="8.5259059866E10"/>
        <n v="8.9603093251E10"/>
        <n v="8.2244612233E10"/>
        <n v="8.2233902019E10"/>
        <n v="8.1328289929E10"/>
        <n v="8.5710247947E10"/>
        <n v="8.589524964E10"/>
        <n v="8.5649377468E10"/>
        <n v="8.1231281171E10"/>
        <n v="8.1330394994E10"/>
        <n v="8.5857501171E10"/>
        <n v="8.5851877086E10"/>
        <n v="8.5755349122E10"/>
        <n v="8.22453632E10"/>
        <n v="8.1335573403E10"/>
        <n v="8.1556554554E10"/>
        <n v="8.123171979E9"/>
        <n v="8.5100839993E10"/>
        <n v="8.5334055897E10"/>
        <n v="8.5790407759E10"/>
        <n v="8.9603178884E10"/>
        <n v="8.16567197E8"/>
        <n v="8.1231206844E10"/>
        <n v="8.9579876543E10"/>
        <n v="9.87655678909E11"/>
        <n v="8.233596541E10"/>
        <n v="8.5233898981E10"/>
        <n v="8.6598653246E10"/>
        <n v="8.1310015763E10"/>
        <n v="8.2334470456E10"/>
        <n v="8.5235002321E10"/>
        <n v="8.5123456871E10"/>
        <n v="8.1231849964E10"/>
        <n v="8.5851312209E10"/>
        <n v="8.523487736E10"/>
        <n v="8.5608292785E10"/>
        <n v="8.113777067E9"/>
        <n v="8.5843004495E10"/>
        <n v="8.5648811748E10"/>
        <n v="8.2133308063E10"/>
        <n v="8.5233915366E10"/>
        <n v="8.2301027322E10"/>
        <n v="8.22301027322E11"/>
        <n v="8.1334851474E10"/>
        <n v="8.2139641863E10"/>
        <n v="8.5210394099E10"/>
        <n v="8.5233900788E10"/>
        <n v="8.2330607672E10"/>
        <n v="8.213214321E9"/>
        <n v="8.1234567898E10"/>
        <n v="8.212788887E10"/>
        <n v="8.2335525155E10"/>
        <n v="8.56451631E10"/>
        <n v="8.5159259788E10"/>
        <n v="8.5791575347E10"/>
        <n v="8.124985514E9"/>
        <n v="8.5233523631E10"/>
        <n v="8.1359556552E10"/>
        <n v="8.5648524244E10"/>
        <n v="8.124918253E9"/>
        <n v="8.5814137165E10"/>
        <n v="8.5235744779E10"/>
        <n v="8.1359860945E10"/>
        <n v="8.1578188341E10"/>
        <n v="8.2334512595E10"/>
        <n v="8.155039276E9"/>
        <n v="8.2229184007E10"/>
        <n v="8.2336420388E10"/>
        <n v="8.5736191771E10"/>
        <n v="8.145607689E10"/>
        <n v="8.5645411453E10"/>
        <n v="8.1236554778E10"/>
        <n v="8.1217006728E10"/>
        <n v="1.0"/>
        <n v="8.223018766E10"/>
        <n v="8.5655388475E10"/>
        <n v="8.5853639904E10"/>
        <n v="8.5259451325E10"/>
        <n v="8.2142973516E10"/>
        <n v="8.5235630305E10"/>
        <n v="0.0"/>
        <n v="8.5103373232E10"/>
        <n v="8.5649098067E10"/>
        <n v="8.2141872198E10"/>
        <n v="8.5735602442E10"/>
        <n v="8.2140637531E10"/>
        <n v="8.5654128073E10"/>
        <n v="8.5236354217E10"/>
        <n v="8.5708015999E10"/>
        <n v="8.5748432062E10"/>
        <n v="8.233279389E10"/>
        <n v="8.1335261669E10"/>
        <n v="8.5235180496E10"/>
        <n v="8.5234446671E10"/>
        <n v="8.5749511857E10"/>
        <n v="8.13359905E10"/>
        <n v="2.0"/>
        <n v="8.1333906122E10"/>
        <n v="8.1329122107E10"/>
        <n v="8.5648555031E10"/>
        <n v="8.533662705E10"/>
        <n v="8.1233982352E10"/>
        <n v="8.2244825856E10"/>
        <n v="8.5234040176E10"/>
        <n v="8.1330720631E10"/>
        <n v="8.133596015E10"/>
        <n v="8.2301152355E10"/>
        <n v="8.2245442422E10"/>
        <n v="8.9631436646E10"/>
        <n v="8.5233836052E10"/>
        <n v="8.5336760229E10"/>
        <n v="8.1259621869E10"/>
        <n v="8.5293854446E10"/>
        <n v="8.139025822E10"/>
        <n v="8.2132190159E10"/>
        <n v="8.5217801919E10"/>
        <n v="8.5655522398E10"/>
        <n v="8.1359556087E10"/>
        <n v="8.2141312355E10"/>
        <n v="8.133527466E10"/>
        <n v="8.2140699265E10"/>
        <n v="8.223252301E10"/>
        <n v="8.5233742066E10"/>
        <n v="8.5235919085E10"/>
        <n v="8.133543388E10"/>
        <n v="8.1249434026E10"/>
        <n v="8.579067777E10"/>
        <n v="8.1527046505E10"/>
        <n v="8.5645477374E10"/>
        <n v="8.5850678281E10"/>
        <n v="8.5790863704E10"/>
        <n v="8.2257791825E10"/>
        <n v="8.1335208487E10"/>
        <n v="8.230185852E10"/>
        <n v="8.5235094487E10"/>
        <n v="8.5259906195E10"/>
        <n v="8.1225133819E10"/>
        <n v="8.523694096E10"/>
        <n v="8.5748519088E10"/>
        <n v="8.1230515354E10"/>
        <n v="8.2336841401E10"/>
        <n v="8.2330907017E10"/>
        <n v="8.5646256242E10"/>
        <n v="8.5646256243E10"/>
        <n v="8.135975241E10"/>
        <n v="8.15566411E10"/>
        <n v="8.1230925577E10"/>
        <n v="8.1330019908E10"/>
        <n v="8.5853417211E10"/>
        <n v="8.2331695666E10"/>
        <n v="8.5235665154E10"/>
        <n v="8.1252779695E10"/>
        <n v="8.5230936776E10"/>
        <n v="8.5230980404E10"/>
        <n v="8.1335389595E10"/>
        <n v="8.5103373231E10"/>
        <n v="8.13345206E10"/>
        <n v="8.1311827844E10"/>
        <n v="8.1331198303E10"/>
        <n v="8.233171555E9"/>
        <n v="8.5104622991E10"/>
        <n v="8.5334170068E10"/>
        <n v="8.1336184177E10"/>
        <n v="8.5235647267E10"/>
        <n v="8.2131008601E10"/>
        <n v="8.1226309333E10"/>
        <n v="8.5755303676E10"/>
        <n v="8.2132190158E10"/>
        <n v="8.5233563465E10"/>
        <n v="8.1293009692E10"/>
        <n v="8.1330239379E10"/>
        <s v="3521072602900003"/>
        <n v="8.5730115095E10"/>
        <n v="8.2132782503E10"/>
        <n v="8.1336973383E10"/>
        <n v="8.5853471212E10"/>
        <n v="8.5607633107E10"/>
        <n v="8.1335441183E10"/>
        <n v="8.1359544001E10"/>
        <n v="8.5233878924E10"/>
        <n v="8.5790554966E10"/>
        <n v="8.2220003557E10"/>
        <n v="8.214165148E10"/>
        <n v="8.2330421087E10"/>
        <n v="8.2301027211E10"/>
        <n v="8.5843004488E10"/>
        <n v="8.5604440008E10"/>
        <n v="8.1217755213E10"/>
        <n v="8.2141315373E10"/>
        <n v="8.5293854445E10"/>
        <n v="8.1335428544E10"/>
        <n v="8.585245612E10"/>
        <n v="8.533547433E10"/>
        <n v="8.5708227217E10"/>
        <n v="8.563483327E9"/>
        <n v="8.523393859E10"/>
        <n v="8.1335464406E10"/>
        <n v="8.5735878549E10"/>
        <n v="8.2318868112E10"/>
        <n v="8.5735438528E10"/>
        <n v="8.1232514422E10"/>
        <n v="8.5331754948E10"/>
        <n v="8.5235543827E10"/>
        <n v="8.5212635896E10"/>
        <n v="8.5790554965E10"/>
        <n v="8.5233596263E10"/>
        <n v="8.1335706863E10"/>
        <n v="8.525920211E10"/>
        <n v="8.5808430286E10"/>
        <n v="8.1335208367E10"/>
        <n v="8.5694040288E10"/>
        <n v="8.5708227216E10"/>
        <n v="8.5259838445E10"/>
        <n v="8.5233770937E10"/>
        <n v="8.5853362014E10"/>
        <n v="8.5736873913E10"/>
        <n v="8.1335760149E10"/>
        <n v="8.5233711713E10"/>
        <n v="8.5732216596E10"/>
        <n v="8.2141565509E10"/>
        <n v="8.5784375782E10"/>
        <n v="8.5736736496E10"/>
        <n v="8.5708105999E10"/>
        <n v="8.1234132272E10"/>
        <n v="8.5736901941E10"/>
        <n v="8.5791184735E10"/>
        <n v="8.5746553908E10"/>
        <n v="8.580684218E10"/>
        <n v="8.5704095477E10"/>
        <n v="8.5231194243E10"/>
        <n v="8.1373473866E10"/>
        <n v="8.5816137688E10"/>
        <n v="8.5790554964E10"/>
        <n v="8.1336496787E10"/>
        <n v="8.8697342208E10"/>
        <n v="8.2232066336E10"/>
        <n v="3.517009416E9"/>
        <n v="8.2331697033E10"/>
        <n v="8.1359023919E10"/>
        <n v="8.5790607669E10"/>
        <n v="8.2312388907E10"/>
        <n v="8.5235146712E10"/>
        <n v="8.5708011614E10"/>
        <n v="8.135714728E10"/>
        <n v="8.2332681766E10"/>
        <n v="8.1335285851E10"/>
        <n v="8.5335280985E10"/>
        <n v="8.5100414727E10"/>
        <n v="8.127535007E10"/>
        <n v="8.2269045241E10"/>
        <n v="8.5334028924E10"/>
        <n v="8.2332461206E10"/>
        <n v="8.5745977043E10"/>
        <n v="8.2336770777E10"/>
        <n v="8.5604388255E10"/>
        <n v="8.5235137251E10"/>
        <n v="8.1259902972E10"/>
        <n v="8.1331216956E10"/>
        <n v="8.1359267063E10"/>
        <n v="8.5326632177E10"/>
        <n v="8.1319283688E10"/>
        <n v="8.1393120813E10"/>
        <n v="8.1328929202E10"/>
        <n v="8.1332084559E10"/>
        <n v="8.1515880547E10"/>
        <n v="8.5856684253E10"/>
        <n v="8.5856234056E10"/>
        <n v="8.1348191E10"/>
        <n v="8.1234203007E10"/>
        <n v="8.5229582595E10"/>
        <n v="8.5235180495E10"/>
        <n v="8.538846747E10"/>
        <n v="8.817124623E9"/>
        <n v="8.1335663129E10"/>
        <n v="8.5869227477E10"/>
        <n v="8.523455327E10"/>
        <n v="8.5645810617E10"/>
        <n v="8.5655762124E10"/>
        <n v="8.1336184176E10"/>
        <n v="8.1247236487E10"/>
        <n v="8.5716360105E10"/>
        <n v="8.564584087E10"/>
        <n v="8.5229094349E10"/>
        <n v="8.1325019709E10"/>
        <n v="8.1359962888E10"/>
        <n v="8.573622103E10"/>
        <n v="8.1249551617E10"/>
        <n v="8.1359240487E10"/>
        <n v="8.133584603E10"/>
        <n v="8.5235052947E10"/>
        <n v="8.2332880388E10"/>
        <n v="8.5335474328E10"/>
        <n v="8.5641655935E10"/>
        <n v="8.5330549744E10"/>
        <n v="8.1329434504E10"/>
        <n v="8.5235961951E10"/>
        <n v="8.1556628882E10"/>
        <n v="8.5335474331E10"/>
        <n v="8.5259755878E10"/>
        <n v="8.5790570699E10"/>
        <n v="8.5729292088E10"/>
        <n v="8.1554152296E10"/>
        <n v="8.158327848E9"/>
        <n v="8.5334523413E10"/>
        <n v="8.5141565285E10"/>
        <n v="8.2337029948E10"/>
        <n v="8.5235256948E10"/>
        <n v="8.13285762E10"/>
        <n v="8.5710322783E10"/>
        <s v="3521091608710007"/>
        <n v="8.1335706864E10"/>
        <n v="8.133076679E10"/>
        <n v="8.5230636009E10"/>
        <n v="8.5869227476E10"/>
        <n v="8.121633354E10"/>
        <n v="8.2335355254E10"/>
        <n v="8.5649010902E10"/>
        <n v="8.5235782242E10"/>
        <n v="8.5336550367E10"/>
        <n v="8.1335810666E10"/>
        <n v="8.2141569707E10"/>
        <n v="8.1330880115E10"/>
        <n v="8.125936923E9"/>
        <n v="8.16520391E8"/>
        <n v="8.535143317E9"/>
        <n v="8.226476711E10"/>
        <n v="8.5645773199E10"/>
        <n v="8.5718396634E10"/>
        <n v="8.5604575111E10"/>
        <n v="8.563660184E9"/>
        <n v="8.5336837352E10"/>
        <n v="8.134690852E9"/>
        <n v="8.2220299966E10"/>
        <n v="8.3845138563E10"/>
        <n v="8.5229882642E10"/>
        <n v="8.2225917415E10"/>
        <n v="8.5232745388E10"/>
        <n v="8.5102849114E10"/>
        <n v="8.5790608277E10"/>
        <n v="8.5290198439E10"/>
        <n v="8.5784518176E10"/>
        <n v="8.1359598141E10"/>
        <n v="8.5236136662E10"/>
        <n v="8.2269791231E10"/>
        <n v="8.5755015044E10"/>
        <n v="8.5735593528E10"/>
        <n v="8.5235672001E10"/>
        <n v="8.5731087592E10"/>
        <n v="8.5330778688E10"/>
        <n v="8.5735674088E10"/>
        <n v="8.1558889985E10"/>
        <n v="8.571270839E10"/>
        <n v="8.5231216124E10"/>
        <n v="8.1459114506E10"/>
        <n v="8.5856444889E10"/>
        <n v="8.580690695E10"/>
        <n v="8.5735428448E10"/>
        <n v="8.128172531E10"/>
        <n v="8.5812490094E10"/>
        <n v="8.5233627039E10"/>
        <n v="8.2232319484E10"/>
        <n v="8.2232319485E10"/>
        <n v="8.214156551E10"/>
        <n v="8.5792219598E10"/>
        <n v="8.124986945E10"/>
        <n v="8.573391622E10"/>
        <n v="8.5337321217E10"/>
        <n v="8.5799111901E10"/>
        <n v="8.2333458543E10"/>
        <n v="8.1329326467E10"/>
        <n v="8.2142967226E10"/>
        <n v="8.5335960089E10"/>
        <n v="8.5655633834E10"/>
        <n v="8.5770427416E10"/>
        <n v="8.522981918E10"/>
        <n v="8.123427221E9"/>
        <n v="8.5303510261E10"/>
        <n v="8.5220797978E10"/>
        <n v="8.5235256946E10"/>
        <n v="8.1393031032E10"/>
        <n v="8.5233879638E10"/>
        <n v="8.1230515353E10"/>
        <n v="8.2325568205E10"/>
        <n v="8.5649315581E10"/>
        <s v="3521072805770001"/>
        <n v="8.2135033189E10"/>
        <n v="8.5231984464E10"/>
        <n v="8.2244488884E10"/>
        <n v="8.2229513547E10"/>
        <n v="8.1234131031E10"/>
        <n v="8.1335877574E10"/>
        <n v="8.5642111844E10"/>
        <n v="8.1335418908E10"/>
        <n v="8.5337321218E10"/>
        <n v="8.1335410377E10"/>
        <n v="8.1615600615E10"/>
        <n v="8.5235665278E10"/>
        <n v="8.5624085325E10"/>
        <n v="8.1556402433E10"/>
        <n v="8.5232934108E10"/>
        <n v="8.1216143675E10"/>
        <n v="8.1511210846E10"/>
        <n v="8.563656034E9"/>
        <n v="8.7766527766E10"/>
        <n v="8.21415937E10"/>
        <n v="8.5230422519E10"/>
        <n v="8.5607301504E10"/>
        <n v="8.2231787394E10"/>
        <n v="8.133595015E10"/>
        <n v="8.1382799446E10"/>
        <n v="8.3857163141E10"/>
        <n v="8.5790863703E10"/>
        <n v="8.5749860301E10"/>
        <n v="8.13355548E10"/>
        <n v="8.5736503436E10"/>
        <n v="8.5233311299E10"/>
        <n v="8.1212434396E10"/>
        <n v="8.563661882E9"/>
        <n v="8.2337221349E10"/>
        <n v="8.2134273082E10"/>
        <n v="8.5103370001E10"/>
        <n v="8.5233915365E10"/>
        <n v="8.5790227341E10"/>
        <n v="8.5235854516E10"/>
        <n v="8.5336620934E10"/>
        <n v="8.5815119622E10"/>
        <n v="8.5645814004E10"/>
        <n v="8.5232932995E10"/>
        <n v="8.5733096566E10"/>
        <n v="8.57461316E10"/>
        <n v="8.133598612E10"/>
        <n v="8.5330549742E10"/>
        <n v="8.5736454699E10"/>
        <n v="8.5216700888E10"/>
        <n v="8.1335860566E10"/>
        <n v="8.5790205524E10"/>
        <n v="8.1337766606E10"/>
        <n v="8.523364228E10"/>
        <n v="8.1335903738E10"/>
        <n v="8.5645704273E10"/>
        <n v="8.5234913825E10"/>
        <n v="9080808.0"/>
        <n v="8.5608725389E10"/>
        <n v="8.5732276653E10"/>
        <n v="6.282133084387E12"/>
        <n v="8.2225245074E10"/>
        <n v="8.1234480398E10"/>
        <n v="8.2330171555E10"/>
        <n v="8.2140698872E10"/>
        <n v="8.52596534E10"/>
        <n v="8.5257742588E10"/>
        <n v="8.5708931793E10"/>
        <n v="8.2331382326E10"/>
        <n v="8.5235040123E10"/>
        <n v="8.1249391445E10"/>
        <n v="8.5259661259E10"/>
        <n v="8.5733881471E10"/>
        <n v="8.5806844018E10"/>
        <n v="8.2330220693E10"/>
        <n v="8.5235379687E10"/>
        <n v="8.133598367E10"/>
        <n v="8.1946181206E10"/>
        <n v="8.5736858598E10"/>
        <n v="8.5330279021E10"/>
        <n v="8.5749394927E10"/>
        <n v="8.1229666655E10"/>
        <n v="8.3845898317E10"/>
        <n v="8.5230300182E10"/>
        <n v="8.5852865309E10"/>
        <n v="8.2213806392E10"/>
        <n v="8.5330338332E10"/>
        <n v="8.1249465799E10"/>
        <n v="8.1335033177E10"/>
        <n v="8.5335703268E10"/>
        <n v="8.1259807738E10"/>
        <n v="8.1218804597E10"/>
        <n v="8.2311546765E10"/>
        <n v="8.5235630303E10"/>
        <n v="8.1359515561E10"/>
        <n v="8.5258857732E10"/>
        <n v="8.5330337644E10"/>
        <n v="8.5236049804E10"/>
        <n v="8.5234937475E10"/>
        <n v="8.526632055E9"/>
        <n v="8.1330860853E10"/>
        <n v="8.5259568016E10"/>
        <n v="8.5645723997E10"/>
        <n v="8.5335383546E10"/>
        <n v="8.1335052884E10"/>
        <n v="8.1332005425E10"/>
        <n v="8.5790364717E10"/>
        <n v="8.2230187659E10"/>
        <n v="8.523504118E10"/>
        <n v="8.573590502E10"/>
        <n v="8.5645731126E10"/>
        <n v="8.5259224597E10"/>
        <n v="8.5233685156E10"/>
        <n v="8.5233879971E10"/>
        <n v="8.2397562129E10"/>
        <n v="8.5736622942E10"/>
        <n v="8.134556766E10"/>
        <n v="8.1357319689E10"/>
        <n v="8.155066711E9"/>
        <n v="8.1252779694E10"/>
        <n v="8.1234139591E10"/>
        <n v="8.2231787392E10"/>
        <n v="8.523362704E10"/>
        <n v="8.12592628E9"/>
        <n v="8.2335045393E10"/>
        <n v="8.5259654152E10"/>
        <n v="8.2301858518E10"/>
        <n v="8.5730843531E10"/>
        <n v="8.2137436753E10"/>
        <n v="8.19732922E8"/>
        <n v="8.3116606211E10"/>
        <n v="8.5649005844E10"/>
        <n v="8.2245409733E10"/>
        <n v="8.5204514478E10"/>
        <n v="8.2335164088E10"/>
        <n v="8.2141746854E10"/>
        <n v="8.5749506287E10"/>
        <n v="8.58124772551E11"/>
        <n v="8.5648616315E10"/>
        <n v="8.5735622614E10"/>
        <n v="8.5100676445E10"/>
        <n v="8.5100341426E10"/>
        <n v="8.1232023458E10"/>
        <n v="8.5235256947E10"/>
        <n v="8.510251935E10"/>
        <n v="8.5790364718E10"/>
        <n v="8.1252386006E10"/>
        <n v="8.15565894E10"/>
        <n v="8.5708503289E10"/>
        <n v="8.133575526E10"/>
        <n v="8.5259855444E10"/>
        <n v="8.1336178537E10"/>
        <n v="-1.0"/>
        <n v="8.5259908247E10"/>
        <n v="8.533445792E10"/>
        <n v="8.573004391E10"/>
        <n v="8.125904136E9"/>
        <n v="8.5655633832E10"/>
        <n v="8.1249673469E10"/>
        <n v="8.2262222073E10"/>
        <n v="8.2140520824E10"/>
        <n v="8.1249434025E10"/>
        <n v="8.2336649669E10"/>
        <n v="8.2334717274E10"/>
        <n v="8.5852330425E10"/>
        <n v="8.1259100393E10"/>
        <n v="8.1259000474E10"/>
        <n v="8.5859229259E10"/>
        <n v="8.5736672992E10"/>
        <n v="8.5815945336E10"/>
        <n v="8.5735093371E10"/>
        <n v="8.573510564E10"/>
        <n v="8.5708666077E10"/>
        <n v="8.1252779693E10"/>
        <n v="8.1332576177E10"/>
        <n v="8.5225637405E10"/>
        <n v="8.572155759E10"/>
        <n v="8.2133903151E10"/>
        <n v="8.5856092275E10"/>
        <n v="8.2141816903E10"/>
        <n v="8.1359559982E10"/>
        <n v="8.21310086E10"/>
        <n v="8.5733690458E10"/>
        <n v="8.1234028225E10"/>
        <n v="8.1556715577E10"/>
        <n v="8.1234251884E10"/>
        <n v="8.5954447637E10"/>
        <n v="8.2337454677E10"/>
        <n v="8.1359012432E10"/>
        <n v="8.8227786115E10"/>
        <n v="8.5235143317E10"/>
        <n v="8.3846966443E10"/>
        <n v="8.1216023265E10"/>
        <n v="8.587922261E10"/>
        <n v="8.2331794512E10"/>
        <n v="8.574901014E9"/>
        <n v="8.1367225044E10"/>
        <n v="8.5235231511E10"/>
        <n v="8.1381996165E10"/>
        <n v="8.1335388765E10"/>
        <n v="8.5746879791E10"/>
        <n v="8.5797064201E10"/>
        <n v="8.2338058887E10"/>
        <n v="8.52297333116E11"/>
        <n v="8.5230076676E10"/>
        <n v="8.5731696628E10"/>
        <n v="8.5731615748E10"/>
        <n v="8.133562307E10"/>
        <n v="8.5749125421E10"/>
        <n v="8.5235003271E10"/>
        <n v="8.5852504284E10"/>
        <n v="8.133534559E10"/>
        <n v="8.5229882641E10"/>
        <n v="8.1234105724E10"/>
        <n v="8.5107837891E10"/>
        <n v="8.5608925786E10"/>
        <n v="8.5730900352E10"/>
        <n v="8.5102517456E10"/>
        <n v="8.5736829012E10"/>
        <n v="8.5708227215E10"/>
        <n v="8.2228065398E10"/>
        <n v="8.1335465737E10"/>
        <n v="8.1217245422E10"/>
        <n v="8.5712708389E10"/>
        <n v="8.5755773688E10"/>
        <n v="8.2331261432E10"/>
        <n v="8.2334973646E10"/>
        <n v="8.1335944752E10"/>
        <n v="8.2143044812E10"/>
        <n v="8.15518147E9"/>
        <n v="8.5607005695E10"/>
        <n v="8.2331261437E10"/>
        <n v="8.2230846646E10"/>
        <n v="8.155545449E10"/>
        <n v="8.5745295955E10"/>
        <n v="8.5236197186E10"/>
        <n v="8.5786263046E10"/>
        <n v="8.5649946829E10"/>
        <n v="8.2326795661E10"/>
        <n v="8.159023919E9"/>
        <n v="8.1329418222E10"/>
        <n v="8.5319404441E10"/>
        <n v="8.5806842179E10"/>
        <n v="8.5229688588E10"/>
        <n v="8.2331081919E10"/>
        <n v="32.0"/>
        <n v="8.3850347826E10"/>
        <n v="8.5235617345E10"/>
        <n v="8.2302083711E10"/>
        <n v="8.5843168914E10"/>
        <n v="8.2142663057E10"/>
        <n v="8.5293650954E10"/>
        <n v="8.3845739951E10"/>
        <n v="8.1231586778E10"/>
        <n v="8.1224535472E10"/>
        <n v="8.125919566E10"/>
        <n v="8.5259662993E10"/>
        <n v="8.125990493E9"/>
        <n v="8.121606073E9"/>
        <n v="8.5234449814E10"/>
        <n v="8.5259060482E10"/>
        <n v="8.2335038016E10"/>
        <n v="8.2257793879E10"/>
        <n v="8.7888553684E10"/>
        <n v="8.1234246377E10"/>
        <n v="8.5895395795E10"/>
        <n v="8.5334913739E10"/>
        <n v="8.1556467515E10"/>
        <n v="8.1553258408E10"/>
        <n v="8.222739834E10"/>
        <n v="8.1336721441E10"/>
        <n v="8.5791863533E10"/>
        <n v="8.5259726687E10"/>
        <n v="8.5872294308E10"/>
        <n v="8.1393645582E10"/>
        <n v="8.232266647E10"/>
        <n v="8.1266654876E10"/>
        <n v="8.1335596408E10"/>
        <n v="8.533508125E10"/>
        <n v="8.57790604445E11"/>
        <n v="8.5334726934E10"/>
        <n v="8.1335663128E10"/>
        <n v="8.5856921039E10"/>
        <n v="8.133525487E10"/>
        <n v="8.5326054628E10"/>
        <n v="8.5334820396E10"/>
        <n v="8.2142818441E10"/>
        <n v="8.1249465798E10"/>
        <n v="8.1232531254E10"/>
        <n v="8.5257708516E10"/>
        <n v="8.5736866727E10"/>
        <n v="8.2141533393E10"/>
        <n v="8.1335276873E10"/>
        <n v="8.312954862E9"/>
        <n v="8.5602321325E10"/>
        <n v="8.7880138031E10"/>
        <n v="8.58356678E10"/>
        <n v="8.5784210898E10"/>
        <n v="8.5233742065E10"/>
        <n v="8.2141859566E10"/>
        <n v="8.1548287359E10"/>
        <n v="8.5785753006E10"/>
        <n v="8.2132796052E10"/>
        <n v="8.5736175232E10"/>
        <n v="8.5235630304E10"/>
        <n v="8.5736316638E10"/>
        <n v="8.5854677593E10"/>
        <n v="8.573513516E9"/>
        <n v="8.5236233096E10"/>
        <n v="8.5735135162E10"/>
        <n v="8.1249106276E10"/>
        <n v="8.2143633962E10"/>
        <n v="8.1216070182E10"/>
        <n v="8.1335428622E10"/>
        <n v="8.2230460602E10"/>
        <n v="8.1556453234E10"/>
        <n v="8.5235665279E10"/>
        <n v="8.5706842269E10"/>
        <n v="8.1335274416E10"/>
        <n v="8.123430386E10"/>
        <n v="8.2338729362E10"/>
        <n v="8.2334467939E10"/>
        <n v="8.1335669244E10"/>
        <n v="8.1334041615E10"/>
        <n v="8.5258006684E10"/>
        <n v="8.2230460603E10"/>
        <n v="8.2329249752E10"/>
        <n v="8.2337334958E10"/>
        <n v="8.5856842353E10"/>
        <n v="8.1335381021E10"/>
        <n v="8.5259902795E10"/>
        <n v="8.5816035703E10"/>
        <n v="8.579036555E10"/>
        <n v="8.5779150694E10"/>
        <n v="8.1359410878E10"/>
        <n v="8.5607299568E10"/>
        <n v="8.2332492405E10"/>
        <n v="8.3119861215E10"/>
        <n v="8.5235792017E10"/>
        <n v="8.1335634747E10"/>
        <n v="8.5856163439E10"/>
        <n v="8.5236087879E10"/>
        <n v="8.2338186836E10"/>
        <n v="8.5853471211E10"/>
        <n v="8.5335370649E10"/>
        <n v="8.5336838268E10"/>
        <n v="8.1359612323E10"/>
        <n v="8.5735070067E10"/>
        <n v="8.1359797803E10"/>
        <n v="8.5646118325E10"/>
        <n v="8.5103804726E10"/>
        <n v="8.5735098691E10"/>
        <n v="8.563638412E9"/>
        <n v="8.5234720809E10"/>
        <n v="8.2132333676E10"/>
        <n v="8.1232810351E10"/>
        <n v="8.5101350059E10"/>
        <n v="8.573618027E10"/>
        <n v="6.285259626461E12"/>
        <n v="8.570857555E10"/>
        <n v="8.2333458612E10"/>
        <n v="8.1217509357E10"/>
        <n v="8.5215504501E10"/>
        <n v="8.1252245391E10"/>
        <n v="8.57364455E10"/>
        <n v="8.1556579761E10"/>
        <n v="8.2135189165E10"/>
        <n v="8.1556735721E10"/>
        <n v="8.1330768511E10"/>
        <n v="8.1281437099E10"/>
        <n v="8.5257708517E10"/>
        <n v="8.1332581089E10"/>
        <n v="8.1335782873E10"/>
        <n v="8.1335309623E10"/>
        <n v="8.2332409958E10"/>
        <n v="8.2143044811E10"/>
        <n v="8.1234326507E10"/>
        <n v="8.1217843127E10"/>
        <n v="8.1335683393E10"/>
        <n v="8.2131375474E10"/>
        <n v="8.5233605545E10"/>
        <n v="8.121339341E9"/>
        <n v="8.12342722E9"/>
        <n v="8.1330388914E10"/>
        <n v="8.5790365549E10"/>
        <n v="8.5807224409E10"/>
        <n v="8.125949144E9"/>
        <n v="8.1232856662E10"/>
        <n v="8.5735537955E10"/>
        <n v="8.1335671489E10"/>
        <n v="8.1335186373E10"/>
        <n v="8.1335785687E10"/>
        <n v="8.5257516356E10"/>
        <n v="8.3845898316E10"/>
        <n v="8.817105691E9"/>
        <n v="8.1235597531E10"/>
        <n v="8.5748180154E10"/>
        <n v="8.1232188844E10"/>
        <n v="8.123251442E10"/>
        <n v="8.1357237172E10"/>
        <n v="8.5872294307E10"/>
        <n v="8.57369384E10"/>
        <n v="8.5101350058E10"/>
        <n v="8.5785871948E10"/>
        <n v="8.5645803221E10"/>
        <n v="8.5335334134E10"/>
        <n v="8.1242054445E10"/>
        <n v="8.1259277372E10"/>
        <n v="8.5235256945E10"/>
        <n v="8.1359118259E10"/>
        <n v="8.523444667E10"/>
        <n v="8.567399788E9"/>
        <n v="8.1233685156E10"/>
        <n v="8.5735616988E10"/>
        <n v="8.5335793658E10"/>
        <n v="8.2132186212E10"/>
        <n v="8.1232514421E10"/>
        <n v="8.5785874146E10"/>
        <n v="8.1360664456E10"/>
        <n v="8.5736736376E10"/>
        <n v="8.1359495405E10"/>
        <n v="8.5234752292E10"/>
        <n v="8.2133499069E10"/>
        <n v="8.1259195659E10"/>
        <n v="8.5336176123E10"/>
        <n v="8.1230269155E10"/>
        <n v="8.5233931614E10"/>
        <n v="8.1234364783E10"/>
        <n v="8.123447311E9"/>
        <n v="8.5735883398E10"/>
        <n v="8.1393869357E10"/>
        <n v="8.521131201E10"/>
        <n v="8.1232023457E10"/>
        <n v="8.1335305737E10"/>
        <n v="8.1359378525E10"/>
        <n v="8.2302528019E10"/>
        <n v="8.1216323954E10"/>
        <n v="8.1335054249E10"/>
        <n v="8.5856318654E10"/>
        <n v="8.5235003272E10"/>
        <n v="8.58126606E10"/>
        <n v="8.515645371E10"/>
        <n v="6.28563622003E11"/>
        <n v="8.1282796419E10"/>
        <n v="8.5812797699E10"/>
        <n v="8.5748198583E10"/>
        <n v="8.5791475508E10"/>
        <n v="8.5649380302E10"/>
        <n v="8.5790777738E10"/>
        <n v="8.233446856E10"/>
        <n v="8.123427222E9"/>
        <n v="8.1335712041E10"/>
        <n v="8.573580306E10"/>
        <n v="8.1249163754E10"/>
        <n v="8.5649006418E10"/>
        <n v="8.1381098857E10"/>
        <n v="8.2302359405E10"/>
        <n v="8.233733496E10"/>
        <n v="8.5607138956E10"/>
        <n v="8.5259554414E10"/>
        <n v="8.222995865E10"/>
        <n v="8.5204389777E10"/>
        <n v="8.5331979982E10"/>
        <n v="8.2132796977E10"/>
        <n v="8.5731174176E10"/>
        <n v="8.5735745996E10"/>
        <n v="8.2248828548E10"/>
        <n v="8.5240033855E10"/>
        <n v="8.3114350463E10"/>
        <n v="8.5741292508E10"/>
        <n v="8.5791861365E10"/>
        <n v="8.1245223531E10"/>
        <n v="8.5335045232E10"/>
        <n v="8.21428581E10"/>
        <n v="8.5105845585E10"/>
        <n v="8.1213992421E10"/>
        <n v="8.123051535E9"/>
        <n v="8.5736929887E10"/>
        <n v="8.2142127421E10"/>
        <n v="8.1231732393E10"/>
        <n v="8.1357054653E10"/>
        <n v="8.5646810812E10"/>
        <n v="8.1231683907E10"/>
        <n v="8.5648822053E10"/>
        <n v="8.2228297125E10"/>
        <n v="8.5735616987E10"/>
        <n v="8.3115201841E10"/>
        <n v="8.5335472474E10"/>
        <n v="8.5735530538E10"/>
        <n v="8.5231572312E10"/>
        <n v="8.5856361187E10"/>
        <n v="8.5735464172E10"/>
        <n v="8.5790224449E10"/>
        <n v="8.2336403701E10"/>
        <n v="8.2140181921E10"/>
        <n v="8.5785764268E10"/>
        <n v="8.5708158708E10"/>
        <n v="8.233596015E10"/>
        <n v="8.5853840551E10"/>
        <n v="8.5706544769E10"/>
        <n v="8.2335475404E10"/>
        <n v="8.5234439091E10"/>
        <n v="8.2264109061E10"/>
        <n v="8.5736634945E10"/>
        <n v="8.5790752436E10"/>
        <n v="8.1234326506E10"/>
        <n v="8.2139518425E10"/>
        <n v="8.2334849979E10"/>
        <n v="8.5234059005E10"/>
        <n v="8.1357678999E10"/>
        <n v="8.5607767265E10"/>
        <n v="8.5856444002E10"/>
        <n v="8.5234664415E10"/>
        <n v="8.5706192729E10"/>
        <n v="8.5655755136E10"/>
        <n v="8.5655810065E10"/>
        <n v="8.1359109381E10"/>
        <n v="8.2299972201E10"/>
        <n v="8.133538102E10"/>
        <n v="8.58728645918E11"/>
        <n v="8.5956598158E10"/>
        <n v="8.1249163753E10"/>
        <n v="8.510251745E10"/>
        <n v="8.5607840293E10"/>
        <n v="8.5707572717E10"/>
        <n v="8.5889171005E10"/>
        <n v="8.121796676E10"/>
        <n v="8.5749143975E10"/>
        <n v="8.1330217814E10"/>
        <n v="8.2132077369E10"/>
        <n v="8.533617612E10"/>
        <n v="8.533596015E10"/>
        <n v="8.1259791177E10"/>
        <n v="8.5755212106E10"/>
        <n v="8.5233641243E10"/>
        <n v="8.1335810232E10"/>
        <n v="8.5235645732E10"/>
        <n v="8.1249434024E10"/>
        <n v="8.5813525533E10"/>
        <n v="8.5235792018E10"/>
        <n v="8.2213806393E10"/>
        <n v="8.2334668497E10"/>
        <n v="8.5259935813E10"/>
        <n v="8.5331754946E10"/>
        <n v="8.1233176473E10"/>
        <n v="8.59176810946E11"/>
        <n v="8.568937596E9"/>
        <n v="8.5733544307E10"/>
        <n v="8.5204354674E10"/>
        <n v="8.525906048E10"/>
        <n v="8.123420715E10"/>
        <n v="8.560645554E10"/>
        <n v="8.5607375867E10"/>
        <n v="8.2245861001E10"/>
        <n v="8.1335564498E10"/>
        <n v="8.2230706447E10"/>
        <n v="8.1227636271E10"/>
        <n v="8.1360664455E10"/>
        <n v="8.214212742E10"/>
        <n v="8.1217731632E10"/>
        <n v="8.12595819E10"/>
        <n v="8.5859010022E10"/>
        <n v="8.5806778428E10"/>
        <n v="8.1330348474E10"/>
        <n v="8.2335239616E10"/>
        <n v="8.5334751073E10"/>
        <n v="8.2338373115E10"/>
        <n v="8.156716156E9"/>
        <n v="8.5372550555E10"/>
        <n v="8.5335292897E10"/>
        <n v="8.5229792099E10"/>
        <n v="8.1359758842E10"/>
        <n v="8.1335770213E10"/>
        <n v="8.5784676494E10"/>
        <n v="8.125245787E10"/>
        <n v="8.5228023581E10"/>
        <n v="8.572993633E10"/>
        <n v="8.2338196831E10"/>
        <n v="8.1335320057E10"/>
        <n v="8.123449241E9"/>
        <n v="8.5335270123E10"/>
        <n v="8.5649162982E10"/>
        <n v="8.2143210221E10"/>
        <n v="8.5235343675E10"/>
        <n v="8.2335984151E10"/>
        <n v="8.5234553947E10"/>
        <n v="8.5645163601E10"/>
        <n v="8.1335035149E10"/>
        <n v="8.55658586E8"/>
        <n v="8.5742348562E10"/>
        <n v="8.5257077661E10"/>
        <n v="8.5655755138E10"/>
        <n v="8.2141311315E10"/>
        <n v="8.5736710759E10"/>
        <n v="8.2212345678E10"/>
        <n v="8.5328804105E10"/>
      </sharedItems>
    </cacheField>
    <cacheField name="NIK">
      <sharedItems containsBlank="1" containsMixedTypes="1" containsNumber="1" containsInteger="1">
        <s v="3213456718901235"/>
        <s v="3521045710840002"/>
        <s v="3521091704840003"/>
        <s v="3521062908770001"/>
        <s v="3521050207800005"/>
        <s v="3521052602790002"/>
        <s v="3521091809810002"/>
        <s v="3521051207840005"/>
        <s v="3521041302850001"/>
        <s v="3521081305900002"/>
        <s v="3521091906850001"/>
        <s v="3521101406730006"/>
        <s v="1976082820212110"/>
        <s v="8880477788990003"/>
        <s v="3521022211830001"/>
        <s v="3521081406760004"/>
        <s v="3521090311770002"/>
        <s v="3521100101980001"/>
        <s v="3521092808760003"/>
        <s v="3521061604790003"/>
        <s v="3518195002930001"/>
        <s v="3521076505790003"/>
        <s v="3521100702990005"/>
        <s v="1234567890123456"/>
        <s v="8882966677880003"/>
        <m/>
        <s v="3514002000000033"/>
        <n v="9.0"/>
        <s v="3517432563600012"/>
        <s v="198309172010012001"/>
        <s v="196401091988011001"/>
        <s v="198410172017062001"/>
        <s v="198501132010011004"/>
        <s v="3521091301850003"/>
        <s v="198404172009011005"/>
        <s v="197708292010011008"/>
        <s v="198308132017062001"/>
        <s v="197805012021211004"/>
        <s v="199011012023211015"/>
        <s v="198007022010011002"/>
        <s v="197708122021212004"/>
        <s v="198604122017062001"/>
        <s v="197602192003121003"/>
        <s v="198110162010011002"/>
        <n v="999.0"/>
        <s v="198506112011011015"/>
        <s v="197902262021211003"/>
        <s v="197005032021211001"/>
        <s v="196509051987111001"/>
        <s v="3514112201990002"/>
        <n v="7.894561327898E12"/>
        <n v="7.8987879456545E13"/>
        <s v="198005232010011003"/>
        <s v="199312202021211001"/>
        <s v="198109182010011004"/>
        <s v="3521091312850003"/>
        <s v="197605052021212003"/>
        <s v="198207082017062001"/>
        <s v="3521095911840002"/>
        <s v="198411192021212002"/>
        <s v="198205242017062001"/>
        <s v="198407122010011002"/>
        <s v="197503152008011016"/>
        <s v="198509262005012001"/>
        <s v="197407082021211002"/>
        <s v="198403142005011002"/>
        <s v="197511112021212004"/>
        <s v="197510102021211001"/>
        <s v="3521011112990005"/>
        <n v="119.0"/>
        <s v="19810823 200604 2 015"/>
        <s v="198108232006042015"/>
        <s v="197404182009012003"/>
        <s v="198002112009011005"/>
        <s v="197309052021211002"/>
        <s v="198502132011011012"/>
        <s v="197306052010011002"/>
        <s v="196808092000031006"/>
        <s v="199005132021211001"/>
        <s v="197110102021211001"/>
        <s v="198409152010012001"/>
        <s v="196806101994032011"/>
        <s v="198204142010012026"/>
        <s v="198104032021211002"/>
        <n v="1001001.0"/>
        <s v="198510232010011016"/>
        <s v="196612071994032005"/>
        <s v="197810152021212003"/>
        <s v="3521105510780004"/>
        <s v="197902142008011011"/>
        <s v="196902112006042008"/>
        <s v="197901112023212015"/>
        <s v="198107182008011021"/>
        <s v="197010052021211001"/>
        <s v="199402062023211007"/>
        <s v="196410091987111002"/>
        <s v="198506192010011017"/>
        <s v="1234567890654321"/>
        <s v="197306142021211002"/>
        <s v="19730614220211002"/>
        <n v="102.0"/>
        <s v="3521091703800008"/>
        <s v="198003172007011010"/>
        <s v="197608282021211001"/>
        <s v="198110212017062001"/>
        <s v="198105262010012022"/>
        <s v="3521116605810002"/>
        <s v="198411042010011002"/>
        <s v="198008042008011008"/>
        <s v="197008271993032008"/>
        <s v="197208042021211002"/>
        <s v="198010242011011005"/>
        <s v="198308042017061001"/>
        <s v="3514112401950009"/>
        <s v="197303242021211002"/>
        <s v="199110152023212042"/>
        <s v="197801222021211001"/>
        <s v="197109092021212001"/>
        <n v="8.8829666E7"/>
        <s v="1234567899988998"/>
        <s v="197908172021212003"/>
        <s v="197811152009011008"/>
        <s v="197208232021211002"/>
        <s v="197306062021211008"/>
        <s v="3521030606730005"/>
        <s v="196508252021211001"/>
        <s v="3521091211700004"/>
        <s v="197207022021211003"/>
        <s v="197011122007011019"/>
        <s v="11100229987654321"/>
        <n v="9.87654321234567E14"/>
        <s v="199103282023211028"/>
        <n v="1.23546848954E11"/>
        <n v="3.1420326598523E13"/>
        <s v="197304232021211002"/>
        <s v="200102052025042003"/>
        <n v="122.0"/>
        <s v="198311222017061001"/>
        <s v="196811122021212001"/>
        <n v="1.234567891E11"/>
        <s v="198507302010012038"/>
        <s v="197702122023212011"/>
        <s v="197803292009011005"/>
        <s v="196712152021211002"/>
        <s v="197606142021211003"/>
        <s v="196612191991031008"/>
        <s v="197305312006041007"/>
        <s v="197711032008011012"/>
        <s v="197307022021211002"/>
        <s v="196403231987111002"/>
        <s v="197210012021211001"/>
        <s v="3521051405750002"/>
        <s v="197505142021211005"/>
        <n v="4.352101145E9"/>
        <s v="3521056607660001"/>
        <s v="196907062021211002"/>
        <s v="197209062021211001"/>
        <s v="197505172021212003"/>
        <s v="3514112401950003"/>
        <s v="3521091011800002"/>
        <s v="198011102010011005"/>
        <n v="1.23456789E8"/>
        <n v="123.0"/>
        <s v="198201202017062001"/>
        <s v="197009092021211002"/>
        <s v="197002172021212001"/>
        <s v="199705022025041005"/>
        <s v="199404142023212046"/>
        <s v="3521190905760002"/>
        <s v="197605092021211001"/>
        <s v="197501042021211002"/>
        <s v="197707142021211001"/>
        <s v="198011202009011003"/>
        <s v="197707272021212001"/>
        <s v="3521191907750002"/>
        <s v="197507192007011013"/>
        <s v="197902202006042008"/>
        <s v="197008152021212004"/>
        <s v="197303112021211002"/>
        <s v="196707101999032003"/>
        <s v="197904162021211001"/>
        <s v="197203282010011003"/>
        <s v="197508272021211002"/>
        <s v="198303182017061001"/>
        <s v="199302102021212001"/>
        <s v="197506212021212001"/>
        <s v="197905252021212005"/>
        <s v="196711252021212001"/>
        <s v="197702162021211001"/>
        <n v="2.1123323356656E13"/>
        <s v="3521051512660008"/>
        <s v="3521050412710002"/>
        <s v="6408040908900014"/>
        <s v="3521020404810001"/>
        <s v="3521101511780001"/>
        <n v="3.52103101284002E14"/>
        <s v="5101010404810002"/>
        <s v="3521076503840009"/>
        <s v="3521030508810003"/>
        <s v="3521050308720003"/>
        <s v="3521051504630004"/>
        <s v="3521121308880005"/>
        <s v="3314060306590003"/>
        <s v="3521050606600003"/>
        <s v="3509011705860005"/>
        <s v="3521090112400004"/>
        <s v="3521113006530055"/>
        <s v="3521191309730001"/>
        <s v="3521021212560002"/>
        <s v="3521191503920002"/>
        <s v="3521012212640001"/>
        <s v="3521051110540002"/>
        <s v="3521022011660002"/>
        <s v="3521041501680001"/>
        <s v="3521121307640001"/>
        <s v="3521140306650002"/>
        <s v="3521140803720001"/>
        <s v="3520151701630001"/>
        <s v="3521052212550001"/>
        <s v="3521181503700004"/>
        <s v="3521051504650003"/>
        <s v="3521052701780004"/>
        <s v="3521093006450006"/>
        <s v="3521021112650001"/>
        <s v="3521052009630002"/>
        <s v="3521052510580001"/>
        <s v="3521112008650004"/>
        <s v="3521051901620001"/>
        <s v="3521050807660003"/>
        <s v="3521181503660001"/>
        <s v="3521140312460001"/>
        <s v="3521120407470001"/>
        <s v="3521051610850004"/>
        <s v="3521030404880001"/>
        <s v="3521100506590003"/>
        <s v="3521050109750001"/>
        <s v="3521051508450002"/>
        <s v="3521161008740001"/>
        <s v="3521020605650001"/>
        <s v="3521091603470001"/>
        <s v="3521021006420003"/>
        <s v="3521044504920001"/>
        <s v="3521122904990001"/>
        <s v="3520151105950003"/>
        <s v="3521051311660002"/>
        <s v="3521050612690006"/>
        <s v="3521161202490001"/>
        <s v="3521151603840002"/>
        <s v="3521050209570002"/>
        <s v="3521023012520009"/>
        <s v="3521020903510001"/>
        <s v="3521061306720001"/>
        <s v="3521020209620001"/>
        <s v="3521053006650035"/>
        <s v="3521012505550001"/>
        <s v="3521023006510001"/>
        <s v="3521021204520004"/>
        <s v="3521021205560002"/>
        <s v="3521023006400038"/>
        <s v="3521023112600037"/>
        <s v="33521023112600037"/>
        <s v="3521050806550001"/>
        <s v="3521150503950003"/>
        <s v="3521050806600002"/>
        <s v="3521123112530022"/>
        <s v="3521022906510002"/>
        <s v="3521020203910001"/>
        <s v="3521021712450001"/>
        <s v="3521122509960002"/>
        <s v="3521022907470001"/>
        <s v="3521022111570002"/>
        <s v="3521056903780001"/>
        <s v="3521092406880002"/>
        <s v="3309112307949004"/>
        <s v="3521063112550026"/>
        <s v="3314190301890001"/>
        <s v="3521010102890001"/>
        <s v="3521111811830001"/>
        <s v="3521051105860006"/>
        <s v="3521060908760003"/>
        <s v="3521152811860001"/>
        <s v="3521012409860002"/>
        <s v="3521012207840001"/>
        <s v="3521121206830003"/>
        <s v="3521011705810002"/>
        <s v="3521151905920002"/>
        <s v="3521081011780001"/>
        <s v="3521030509840001"/>
        <s v="3521122403870003"/>
        <s v="3521092202880001"/>
        <s v="3521052001680001"/>
        <s v="3521052611830001"/>
        <s v="3521121504870001"/>
        <s v="3521152911950002"/>
        <s v="3521040409700002"/>
        <s v="3521011301990005"/>
        <s v="3521143001850001"/>
        <s v="3521111808810005"/>
        <s v="3521020108780001"/>
        <s v="3521162808660001"/>
        <s v="3521050808720004"/>
        <s v="3521141411820001"/>
        <s v="3521010509800002"/>
        <s v="3521021205880001"/>
        <s v="3521162406820004"/>
        <s v="3521050708700002"/>
        <s v="3521022008740001"/>
        <s v="3521051808720001"/>
        <s v="3521150510830001"/>
        <s v="3521122208720003"/>
        <s v="3521081708820001"/>
        <s v="3521090408770001"/>
        <s v="3521122506790006"/>
        <s v="3521011206820003"/>
        <s v="3521011405820002"/>
        <s v="3521021911800007"/>
        <s v="3521090508730005"/>
        <s v="3521052207770002"/>
        <s v="3521020202890001"/>
        <s v="3521012508830002"/>
        <s v="3521050608800001"/>
        <s v="3521092607680001"/>
        <s v="3521013101810001"/>
        <s v="3521102809950002"/>
        <s v="3521051006780003"/>
        <s v="3521152503820001"/>
        <s v="3521051906760001"/>
        <s v="3521061604840001"/>
        <s v="3521081411540001"/>
        <s v="3521050805770004"/>
        <s v="3521020510750003"/>
        <s v="3521072004800001"/>
        <s v="3521042906870002"/>
        <s v="3521093105770002"/>
        <s v="3521023005750001"/>
        <s v="3521032205680001"/>
        <s v="3521021305690001"/>
        <s v="3526010507840017"/>
        <s v="3521071008710002"/>
        <s v="3521021708700001"/>
        <s v="3521070210860001"/>
        <s v="3521050408730002"/>
        <s v="3521051010820007"/>
        <s v="3521053005650003"/>
        <s v="3521061504710002"/>
        <s v="3521073009800001"/>
        <s v="3521172701810001"/>
        <s v="6108012208810001"/>
        <s v="3521060608770005"/>
        <s v="3520161906900001"/>
        <s v="3521110108690004"/>
        <s v="3521112503900001"/>
        <s v="3521022608890001"/>
        <s v="3521082802840002"/>
        <s v="3521031010950001"/>
        <s v="3521020408940001"/>
        <s v="3521020308890005"/>
        <s v="3521022208900003"/>
        <s v="3521022208840002"/>
        <s v="3521151602920001"/>
        <s v="3521020805870002"/>
        <s v="3521021708770001"/>
        <s v="3521122711830003"/>
        <s v="3521170308760002"/>
        <s v="3521022605640001"/>
        <s v="3521151305900002"/>
        <s v="3521020108820002"/>
        <s v="3521021308740004"/>
        <s v="3521032508900003"/>
        <s v="3521031212880002"/>
        <s v="3521071408760002"/>
        <s v="3521011601880001"/>
        <s v="3521061503790001"/>
        <s v="3521072602900003"/>
        <s v="3521091008830002"/>
        <s v="3521160107730007"/>
        <s v="3521150910880004"/>
        <s v="3521071205720002"/>
        <s v="3521092602710002"/>
        <s v="3521080704670001"/>
        <s v="3521120607700003"/>
        <s v="3521023006680006"/>
        <s v="3521191509710001"/>
        <s v="3521120501870006"/>
        <s v="3521122202710001"/>
        <s v="3521120405700004"/>
        <s v="3521060503770001"/>
        <s v="3521091402730002"/>
        <s v="3521151503770002"/>
        <s v="3521110102530004"/>
        <s v="3521020904590002"/>
        <s v="3521082503850003"/>
        <s v="3521080111660002"/>
        <s v="3521152203860002"/>
        <s v="3521092503010001"/>
        <s v="3521152002850001"/>
        <s v="3521100803810001"/>
        <s v="3521094406910002"/>
        <s v="3521023003810003"/>
        <s v="3521012702920003"/>
        <s v="3521060604680001"/>
        <s v="3521100109860005"/>
        <s v="3521111704580001"/>
        <s v="3521031310780004"/>
        <s v="3521021601830001"/>
        <s v="3521022606770002"/>
        <s v="3521012110750003"/>
        <s v="3521030109770001"/>
        <s v="3521121110810004"/>
        <s v="3521110707640003"/>
        <s v="3521120907880005"/>
        <s v="3521012303580001"/>
        <s v="3521012205830002"/>
        <s v="3521051401600001"/>
        <s v="3521124605860002"/>
        <s v="3521111407750005"/>
        <s v="3521011706880001"/>
        <s v="3521092909860002"/>
        <n v="3.52102300650004E15"/>
        <s v="3521123112650019"/>
        <s v="3521053108520001"/>
        <s v="3521110707470001"/>
        <s v="3521113012520006"/>
        <n v="3.52105311233002E15"/>
        <s v="3521021604580001"/>
        <s v="3521021606550002"/>
        <s v="3521164701900002"/>
        <s v="3521052808700003"/>
        <s v="3521082104680002"/>
        <s v="3521021310630001"/>
        <s v="3521022609790001"/>
        <s v="3521101211750005"/>
        <s v="3521070904770001"/>
        <s v="3521101001680006"/>
        <s v="3521021010720007"/>
        <s v="3521020110600004"/>
        <s v="3521024204480002"/>
        <s v="3504035905690001"/>
        <s v="3521067005820001"/>
        <s v="3521030206730001"/>
        <s v="3521021707670002"/>
        <s v="3521130508570001"/>
        <s v="3521022810820002"/>
        <s v="3521121303940002"/>
        <s v="3521074608770001"/>
        <s v="3521021507820004"/>
        <s v="3521162608870001"/>
        <s v="3521031402890003"/>
        <s v="3521052208900001"/>
        <s v="3521122101920005"/>
        <s v="3521022001780001"/>
        <s v="3521092104840002"/>
        <s v="35211614022790001"/>
        <s v="3521081308750002"/>
        <s v="3521111505780002"/>
        <s v="3521064506800001"/>
        <s v="3521032201860001"/>
        <s v="3577012404990001"/>
        <s v="3521022403610002"/>
        <s v="3521191612920002"/>
        <s v="3521172605840001"/>
        <s v="3521080210980002"/>
        <s v="3521021001760001"/>
        <s v="3521161406850001"/>
        <s v="3521151911880001"/>
        <s v="3521071005910001"/>
        <s v="3521012505920001"/>
        <s v="3521090608790005"/>
        <s v="3521062103820001"/>
        <s v="3521021203980001"/>
        <s v="3521090407820002"/>
        <s v="3521140511920001"/>
        <s v="3521010303820007"/>
        <s v="3521021812870002"/>
        <s v="3521152604980001"/>
        <s v="3521041905830002"/>
        <s v="3521124512890006"/>
        <s v="3521020205650003"/>
        <s v="3521095903780002"/>
        <s v="3521066605810002"/>
        <s v="3521146506950002"/>
        <s v="3521115604840001"/>
        <s v="3521116110860002"/>
        <s v="3521031303770001"/>
        <s v="3521025604760004"/>
        <s v="3521113006680022"/>
        <s v="3521022705690001"/>
        <s v="3521142412820001"/>
        <s v="3521020112770004"/>
        <s v="3521122811760001"/>
        <s v="3521011309860001"/>
        <s v="3521160406650001"/>
        <s v="3521105204860005"/>
        <s v="3521040502780004"/>
        <s v="3521191112660001"/>
        <s v="3521111902760002"/>
        <s v="3521112208030004"/>
        <s v="3521071704910001"/>
        <s v="3521071108730001"/>
        <s v="3521095908900001"/>
        <s v="3521061207850001"/>
        <s v="3521081205860002"/>
        <s v="3521021002860003"/>
        <s v="3521110201740003"/>
        <s v="3521152905850002"/>
        <s v="3521151106730002"/>
        <s v="3521150206970003"/>
        <s v="3521152609780001"/>
        <s v="3521030906660001"/>
        <s v="3521110909820003"/>
        <s v="3521140309740002"/>
        <s v="3521081005750003"/>
        <s v="3521026303710002"/>
        <s v="3521020301730003"/>
        <s v="3521100908810001"/>
        <s v="3521192305800001"/>
        <s v="3521012504940003"/>
        <s v="3521092608870002"/>
        <s v="3521181308800001"/>
        <s v="3521132201840001"/>
        <s v="3521061606810002"/>
        <s v="3521080507760004"/>
        <s v="3521021910880001"/>
        <s v="3521012801840001"/>
        <s v="3521040103880004"/>
        <s v="3521120110820002"/>
        <s v="3521100507770003"/>
        <s v="3521171205700001"/>
        <s v="3521166607790001"/>
        <s v="3521151706650001"/>
        <s v="3521190804720002"/>
        <s v="3521110304490002"/>
        <s v="3521020608550002"/>
        <s v="3521020507550007"/>
        <s v="3521023112590015"/>
        <s v="3521060102700001"/>
        <s v="3521035708980002"/>
        <s v="3521122609830001"/>
        <s v="3521101205720005"/>
        <s v="3521140208790002"/>
        <s v="3521040308820004"/>
        <s v="3521194805890001"/>
        <s v="3521021105630001"/>
        <s v="3521042712660001"/>
        <s v="3578271402690004"/>
        <s v="3521030907630003"/>
        <s v="3308124705760005"/>
        <s v="3521101207780004"/>
        <s v="3521113112550014"/>
        <s v="3521111206420003"/>
        <s v="3521120111430003"/>
        <s v="3521020404300001"/>
        <n v="3.52102300653001E15"/>
        <s v="3521170410520001"/>
        <s v="3521092007670001"/>
        <s v="3521011301820002"/>
        <s v="3521151704950001"/>
        <s v="3521071203830005"/>
        <s v="3521020103810002"/>
        <s v="3517131106850001"/>
        <s v="3521156706940001"/>
        <s v="3521115502740005"/>
        <s v="3521122706000001"/>
        <s v="3521011202850001"/>
        <n v="3.52111120252E15"/>
        <s v="3521153112720025"/>
        <s v="3521152101960002"/>
        <s v="3521100208880001"/>
        <s v="3521111802700001"/>
        <n v="3.52104201179E15"/>
        <s v="3521090306650005"/>
        <s v="3521020407730001"/>
        <s v="3521050609600001"/>
        <s v="3521021111720005"/>
        <s v="3521020609830001"/>
        <s v="3521021401620001"/>
        <s v="3521052701660001"/>
        <s v="3521021407740002"/>
        <s v="3521011706810001"/>
        <s v="3521112203750002"/>
        <s v="3521093012560006"/>
        <s v="3521060709820001"/>
        <s v="3521092607790002"/>
        <s v="3521131508640001"/>
        <s v="3521062606870001"/>
        <s v="3521023108770001"/>
        <s v="3521050107540049"/>
        <s v="3521161703600002"/>
        <s v="3521063006620007"/>
        <s v="3521061606750003"/>
        <s v="3521191407710001"/>
        <s v="3521090306570002"/>
        <s v="3521060306890002"/>
        <s v="3521061008750001"/>
        <s v="3521072304730001"/>
        <s v="3521162607650001"/>
        <s v="3521151203830004"/>
        <s v="3521133003650003"/>
        <n v="6.47105090467001E15"/>
        <s v="3521102408430002"/>
        <s v="3521150102010001"/>
        <s v="2171031212819031"/>
        <s v="3521022001870003"/>
        <s v="3521020603800001"/>
        <s v="3521190811560001"/>
        <s v="3521113006500138"/>
        <n v="3.52109300659004E15"/>
        <s v="3521110101640006"/>
        <s v="3521040301730003"/>
        <s v="3521020807710002"/>
        <s v="3521024606800002"/>
        <s v="3521071201640001"/>
        <s v="3521023112620038"/>
        <s v="3521027112490008"/>
        <s v="3521025311580001"/>
        <s v="3521097112580018"/>
        <s v="3521160106630002"/>
        <s v="3521165704880001"/>
        <s v="3521130508640001"/>
        <s v="3521110206470002"/>
        <s v="3521152203880002"/>
        <s v="3521111606620002"/>
        <s v="3521172109640001"/>
        <s v="3521010301810002"/>
        <s v="3521110303660003"/>
        <s v="3521091808640003"/>
        <s v="3521021401700001"/>
        <s v="3521162212880001"/>
        <s v="3521060607900002"/>
        <s v="3521112509810001"/>
        <s v="3521021206700002"/>
        <n v="3.52101070269E15"/>
        <s v="3521122903950002"/>
        <s v="3521091005750006"/>
        <s v="3521191505790001"/>
        <s v="3521165812800001"/>
        <s v="3521164302790001"/>
        <s v="3521111307850005"/>
        <s v="3521192506780001"/>
        <s v="3521161912660001"/>
        <s v="3521162008740001"/>
        <s v="3521161110560002"/>
        <s v="3521030709830002"/>
        <s v="3521111908800002"/>
        <s v="3521092305790001"/>
        <s v="3521171507680001"/>
        <n v="3.52110010780011E15"/>
        <s v="3521141101770001"/>
        <s v="3521091708620002"/>
        <s v="3521096210660001"/>
        <s v="3521090105900005"/>
        <s v="3521090201750003"/>
        <s v="3521021011780004"/>
        <s v="3521010705940003"/>
        <s v="3521021109920001"/>
        <s v="3521010507870003"/>
        <s v="3521020101800002"/>
        <s v="3521024506530002"/>
        <s v="3521027112440013"/>
        <s v="3521025912520003"/>
        <s v="3521011402670002"/>
        <s v="3521071008540001"/>
        <s v="3521023112450013"/>
        <s v="3521024707700002"/>
        <s v="3521110307600003"/>
        <s v="3521043112830002"/>
        <s v="3521040501720003"/>
        <s v="3521090607460002"/>
        <s v="3521164206730001"/>
        <s v="3521120608720004"/>
        <s v="3521072703780001"/>
        <s v="3521110306560008"/>
        <s v="3521093112610008"/>
        <s v="3521114107590016"/>
        <s v="3521165212590001"/>
        <s v="3521011008820002"/>
        <s v="3521101205820006"/>
        <s v="3521163006860003"/>
        <s v="3521011609850002"/>
        <s v="3521155404780002"/>
        <s v="3521091908840004"/>
        <s v="3521021710800001"/>
        <s v="3521021708670001"/>
        <s v="3521121305820003"/>
        <s v="3521091208790001"/>
        <s v="3521152106700001"/>
        <s v="1405032110760004"/>
        <s v="3521030905690001"/>
        <s v="3521153107770001"/>
        <s v="3521080403620002"/>
        <s v="3521082802510002"/>
        <s v="3521150412710002"/>
        <s v="3521164107710009"/>
        <s v="3521071104820001"/>
        <s v="3521040306810001"/>
        <s v="3521111611470001"/>
        <s v="3521120107500012"/>
        <s v="3521112807460001"/>
        <s v="3521113006550025"/>
        <s v="3521093006530044"/>
        <s v="3521013006380002"/>
        <s v="3521021704500001"/>
        <s v="3521113006550026"/>
        <s v="3521091202490001"/>
        <s v="3521021606540002"/>
        <s v="3521161805800004"/>
        <s v="3521052605690001"/>
        <s v="3521040306750004"/>
        <s v="3521160110410001"/>
        <s v="3521111104680003"/>
        <s v="3521111704740004"/>
        <s v="3521114305780004"/>
        <s v="3521064210760001"/>
        <s v="3521061207890004"/>
        <s v="3521081008760001"/>
        <s v="3521161709470001"/>
        <s v="3521062303730001"/>
        <s v="3521125201800005"/>
        <s v="3521021909500002"/>
        <s v="3521021307630001"/>
        <n v="3.52112020773E15"/>
        <s v="3521130203650002"/>
        <s v="3521012512750001"/>
        <s v="3521111107690004"/>
        <s v="3521162909630001"/>
        <s v="3521091608710007"/>
        <s v="3521020908630001"/>
        <s v="3521025506680002"/>
        <s v="3521022707650001"/>
        <s v="3521050203720001"/>
        <s v="3521163006640005"/>
        <s v="3521091112510002"/>
        <s v="3521142210850001"/>
        <s v="3521010110570014"/>
        <s v="3521156405850001"/>
        <s v="3521042103780005"/>
        <s v="3521070906570001"/>
        <s v="3521090712600002"/>
        <s v="3521191004780003"/>
        <s v="3521167112640002"/>
        <s v="3821161001750001"/>
        <s v="3521031606650001"/>
        <s v="3521160504570001"/>
        <s v="3521051910660001"/>
        <s v="3521165210650002"/>
        <s v="3521070612750001"/>
        <s v="3521165206750001"/>
        <s v="3521111212930002"/>
        <s v="3521056512990004"/>
        <s v="3521062010830002"/>
        <s v="3521165604950002"/>
        <s v="3521026803840003"/>
        <s v="3521010505850005"/>
        <s v="3521012605850001"/>
        <s v="3521160907810001"/>
        <s v="3521023112780003"/>
        <s v="3521151408930002"/>
        <s v="3521062507730001"/>
        <s v="3521102408770002"/>
        <s v="3521121712820002"/>
        <s v="3521083010870004"/>
        <s v="3521062708720001"/>
        <s v="3521162704920002"/>
        <s v="3521160703810001"/>
        <s v="3521022303800005"/>
        <s v="3521012506950002"/>
        <s v="3521071407720001"/>
        <s v="3521141005880001"/>
        <s v="3521082903700001"/>
        <s v="3521020606650003"/>
        <s v="3216021408770004"/>
        <s v="3521120704750001"/>
        <s v="3521023112490007"/>
        <s v="3521022607960001"/>
        <s v="3521090910640002"/>
        <n v="3.52112311261001E15"/>
        <s v="3521196303570001"/>
        <s v="3521026402850002"/>
        <n v="3.52102300650003E15"/>
        <s v="3521091010530001"/>
        <s v="3521020505710003"/>
        <s v="3521101104600005"/>
        <s v="3521022303790001"/>
        <s v="3521111604500001"/>
        <s v="3521016704640001"/>
        <s v="3521122107610002"/>
        <s v="3521070608600002"/>
        <s v="3521171505540001"/>
        <s v="3521160807570001"/>
        <s v="3521180705580001"/>
        <n v="3.52109011050001E15"/>
        <s v="3521024506550001"/>
        <s v="3521025004720002"/>
        <s v="3521083012590003"/>
        <s v="3521180607560006"/>
        <s v="3521091601780001"/>
        <s v="3521160509700001"/>
        <s v="3521061307820001"/>
        <s v="3521021407710001"/>
        <s v="3521161308560001"/>
        <s v="3521130809720002"/>
        <s v="3521052501510002"/>
        <s v="3521041101570001"/>
        <s v="3521092508570001"/>
        <s v="3521111907580001"/>
        <s v="3521082008870001"/>
        <s v="3521173112890003"/>
        <s v="3521131712730002"/>
        <s v="3521091512720001"/>
        <s v="3521192808840001"/>
        <s v="3521021402800003"/>
        <s v="3521022212720002"/>
        <s v="3521022010930004"/>
        <s v="3521172212770002"/>
        <s v="3521012404900006"/>
        <s v="3521150107770004"/>
        <s v="3521031412900001"/>
        <s v="3521051503750095"/>
        <s v="3521015501840002"/>
        <s v="3521092801920001"/>
        <s v="3521032210760001"/>
        <s v="3521171403900002"/>
        <s v="3521090305900001"/>
        <s v="3521110911760001"/>
        <s v="3521050903780002"/>
        <s v="3521072703880004"/>
        <s v="3521062403720001"/>
        <s v="3521011603870001"/>
        <s v="3521023112770014"/>
        <s v="3521110310640001"/>
        <s v="3521072711710001"/>
        <s v="3521112802820004"/>
        <s v="3521010304860003"/>
        <s v="3521061901840001"/>
        <s v="3521014810960002"/>
        <s v="3521012506830003"/>
        <s v="3521032108720001"/>
        <s v="3521101404900005"/>
        <s v="3521142208840001"/>
        <s v="3314051512990002"/>
        <s v="3521112508710005"/>
        <s v="3521011210870002"/>
        <s v="3521030303800002"/>
        <s v="3521080904690002"/>
        <s v="3521010907820001"/>
        <s v="3521021210690003"/>
        <s v="3521020903920001"/>
        <n v="3.52101290983E15"/>
        <s v="3273151505750017"/>
        <s v="3521151001910002"/>
        <s v="3521022605840005"/>
        <s v="3521071111790001"/>
        <s v="3521091906800003"/>
        <s v="3519100505850007"/>
        <s v="3521012104860004"/>
        <s v="3521091712660002"/>
        <s v="3521111312750003"/>
        <s v="6307062809810001"/>
        <s v="3521010402900001"/>
        <s v="3521031112700001"/>
        <s v="3521081909750003"/>
        <s v="3521031209870003"/>
        <s v="3521096207850002"/>
        <s v="3521026709690001"/>
        <s v="3521105708830008"/>
        <s v="3521117008880003"/>
        <s v="3521035908800001"/>
        <s v="3521162710680001"/>
        <s v="3521142012770001"/>
        <s v="3521024910710004"/>
        <s v="3521034507860001"/>
        <s v="3521025801870001"/>
        <s v="3521024211740002"/>
        <s v="3521025704740001"/>
        <s v="3521010711860001"/>
        <s v="3521064201920001"/>
        <n v="3.52106607000001E14"/>
        <s v="3521125204820006"/>
        <s v="3521116204900004"/>
        <s v="3521166710880001"/>
        <s v="3521026208950001"/>
        <s v="3521024310750001"/>
        <s v="6471082232319484"/>
        <s v="6471082232319485"/>
        <s v="3521032610770001"/>
        <s v="3521122912900004"/>
        <s v="3521121504910001"/>
        <s v="3521091606870003"/>
        <s v="3521062904990003"/>
        <s v="3518082805910001"/>
        <s v="3521111409610001"/>
        <s v="3521130710950004"/>
        <s v="3521100606690004"/>
        <s v="3521130211740002"/>
        <s v="3521071001770001"/>
        <s v="3521070501940006"/>
        <s v="3521134812980001"/>
        <s v="3521093011840001"/>
        <s v="3521145405810002"/>
        <s v="3521175904900002"/>
        <s v="3521010911900005"/>
        <s v="3521130307620005"/>
        <n v="3.5210920850003E13"/>
        <s v="3521081708440002"/>
        <s v="3521076911960001"/>
        <s v="3521027012480002"/>
        <s v="3521171708760002"/>
        <s v="3521021908750004"/>
        <s v="3521122807820001"/>
        <s v="3521120409680003"/>
        <s v="3521090201500002"/>
        <s v="3521020612520002"/>
        <s v="3521020406600001"/>
        <n v="3.52112301253001E15"/>
        <s v="3521131606750002"/>
        <s v="3521020306510001"/>
        <n v="3.52112171175E14"/>
        <s v="3521021401510001"/>
        <s v="3521111205760004"/>
        <s v="3521010405820002"/>
        <s v="3521011101800003"/>
        <s v="3521026905690001"/>
        <s v="3521010301820005"/>
        <s v="3521011505840001"/>
        <s v="3521010402710001"/>
        <s v="3313162204690002"/>
        <s v="3521163112450011"/>
        <s v="3521072805770001"/>
        <s v="3521070306550005"/>
        <s v="3521161505770002"/>
        <s v="3521022708540001"/>
        <s v="3521020605480001"/>
        <s v="3521010507740003"/>
        <s v="3521022705730002"/>
        <s v="3521070701840001"/>
        <s v="3521032802730001"/>
        <s v="3521012603810001"/>
        <s v="3521030301860001"/>
        <s v="3521113112700037"/>
        <s v="3521100511680001"/>
        <s v="3521012910780001"/>
        <s v="3521111004540003"/>
        <s v="3521020910570001"/>
        <s v="3521022712570001"/>
        <s v="3521072103760001"/>
        <s v="3521071305770004"/>
        <s v="3521022401730002"/>
        <s v="3521042505670002"/>
        <s v="3521036109830001"/>
        <s v="3521022807820005"/>
        <s v="3521012412800002"/>
        <s v="7311037008790001"/>
        <s v="3521011809900001"/>
        <s v="3521101005870008"/>
        <s v="3521020305840004"/>
        <s v="3521011201910001"/>
        <s v="3521040204880002"/>
        <s v="3521123112640022"/>
        <s v="3521121110710002"/>
        <s v="3521110311680001"/>
        <s v="3521111908710002"/>
        <s v="3521021603740001"/>
        <s v="3521023006500035"/>
        <s v="3521071508650001"/>
        <s v="3521051712710001"/>
        <s v="3521061702810001"/>
        <s v="3521021201670001"/>
        <s v="3521083112540061"/>
        <s v="3521015204820001"/>
        <s v="3521014305880004"/>
        <s v="3521067006750001"/>
        <s v="3521020105730001"/>
        <s v="3521192806680001"/>
        <s v="3521013112820007"/>
        <s v="3521060905710001"/>
        <s v="3521021306830001"/>
        <s v="3521160905610001"/>
        <n v="3.52116050680002E14"/>
        <s v="3521191704720003"/>
        <s v="3521163112400026"/>
        <s v="3521020607580006"/>
        <s v="3521091503430001"/>
        <s v="3521072512580002"/>
        <s v="3521156012830002"/>
        <s v="3521151109760002"/>
        <s v="3521072206620002"/>
        <s v="3521040507540003"/>
        <s v="3521120708750002"/>
        <s v="3521060801660001"/>
        <s v="3521110609700001"/>
        <s v="3521051909610001"/>
        <s v="3521022208700002"/>
        <s v="3521030304690001"/>
        <s v="3521025811520001"/>
        <s v="3521140605730001"/>
        <s v="3521140806750001"/>
        <s v="3521070305700001"/>
        <s v="3521021601610001"/>
        <s v="3521071703790001"/>
        <s v="3521031802680002"/>
        <s v="3521061607600003"/>
        <s v="3521132407760001"/>
        <s v="3521090704750007"/>
        <s v="3521071007850001"/>
        <s v="3521026703830004"/>
        <s v="3521011310850002"/>
        <s v="3521082804810001"/>
        <s v="3521155712860001"/>
        <s v="3521060402830001"/>
        <s v="3521152607880004"/>
        <s v="3521100207950001"/>
        <s v="3521032403780001"/>
        <s v="3521071901850001"/>
        <s v="3521042408730003"/>
        <s v="3521016107860001"/>
        <s v="3521065112980001"/>
        <s v="3521141510800003"/>
        <s v="3521022212830002"/>
        <s v="3521071605850001"/>
        <s v="3521022508730002"/>
        <s v="3521152903850002"/>
        <s v="3521030202750005"/>
        <s v="3521021401780001"/>
        <s v="3521081010710002"/>
        <s v="3521032405790001"/>
        <s v="3521030412820002"/>
        <s v="3521030206780005"/>
        <s v="3521051301690001"/>
        <s v="3521143011740001"/>
        <s v="3521031808800002"/>
        <s v="3521060512850001"/>
        <s v="3578081504920004"/>
        <s v="3521014506950001"/>
        <s v="3521146206820001"/>
        <s v="3521032505820002"/>
        <s v="3521020610740001"/>
        <s v="3521161902690001"/>
        <s v="3521180507990002"/>
        <s v="3521031302820001"/>
        <s v="3521032304950001"/>
        <s v="3521022104810002"/>
        <s v="3521015206890004"/>
        <s v="3521026701940001"/>
        <s v="3521161309960001"/>
        <s v="3521070601710002"/>
        <s v="3521061510770001"/>
        <s v="3521162103610001"/>
        <s v="3521181510810001"/>
        <s v="3521062002710001"/>
        <s v="3521013011790001"/>
        <s v="3521086608860001"/>
        <s v="3521011911880002"/>
        <s v="3521041406710002"/>
        <s v="3521015605820004"/>
        <s v="3521072903740001"/>
        <s v="3524185204840006"/>
        <s v="3521092612580001"/>
        <s v="3521024408740002"/>
        <s v="3521103011060003"/>
        <s v="3521091306790004"/>
        <s v="3507100111930003"/>
        <s v="3521061208940003"/>
        <s v="3521020312650002"/>
        <s v="3521020812670001"/>
        <s v="3521021906560002"/>
        <s v="3521071812560003"/>
        <s v="3521080810600002"/>
        <s v="3521162601700001"/>
        <s v="3521165403590001"/>
        <s v="3521162103700001"/>
        <s v="3521070207670002"/>
        <s v="3521094306490001"/>
        <s v="3521024108620001"/>
        <s v="3521024101690002"/>
        <s v="3521071206760002"/>
        <n v="3.52102700643002E15"/>
        <s v="3521025006650002"/>
        <s v="3521032407810001"/>
        <s v="3521011904680001"/>
        <s v="3521100408540003"/>
        <s v="3521021103650004"/>
        <s v="3521022304870001"/>
        <s v="3521060111510001"/>
        <s v="3521100409670003"/>
        <s v="3521160110440001"/>
        <s v="3521143006480025"/>
        <s v="3521130404690004"/>
        <s v="3521063008660001"/>
        <s v="3521060101650001"/>
        <s v="3521080811990002"/>
        <s v="3521025605880004"/>
        <s v="3521030503710002"/>
        <s v="3521160111590001"/>
        <s v="3521042706860002"/>
        <s v="3521023112650011"/>
        <s v="3521191209800003"/>
        <s v="3521141901900001"/>
        <s v="3521010102570002"/>
        <s v="3521051508680002"/>
        <s v="3521152510840002"/>
        <n v="1.0"/>
        <s v="3521011205840002"/>
        <s v="3521011007850004"/>
        <s v="3521081401880001"/>
        <s v="3521062402890001"/>
        <s v="3521011507860003"/>
        <s v="3521050802800001"/>
        <s v="3521070305870001"/>
        <s v="3521021903680001"/>
        <s v="3521022808710004"/>
        <s v="3521160706560001"/>
        <s v="3521092011690002"/>
        <s v="3521060208780001"/>
        <s v="3521181907780001"/>
        <s v="3521080411770002"/>
        <s v="3521143110750001"/>
        <s v="3521091301730002"/>
        <s v="3521062007750001"/>
        <s v="3521010302840001"/>
        <s v="3521131206660001"/>
        <s v="3519131003930002"/>
        <s v="3521090505700001"/>
        <s v="3174062810810001"/>
        <s v="3521090108650003"/>
        <s v="3521011311700002"/>
        <s v="3521010512740001"/>
        <s v="3521031407650002"/>
        <s v="3521042907790001"/>
        <s v="3521021506830005"/>
        <s v="3521102805650002"/>
        <s v="3521011706830001"/>
        <s v="3521161806740001"/>
        <s v="3521050805700004"/>
        <s v="3521020803700002"/>
        <s v="3521021708600002"/>
        <s v="3521161907850001"/>
        <n v="3.52116300658003E15"/>
        <s v="3521151508780002"/>
        <s v="3521050403690004"/>
        <s v="3521160306620002"/>
        <s v="3521040308760005"/>
        <s v="3521050112210005"/>
        <s v="3521072405690001"/>
        <s v="3521172802780003"/>
        <s v="3521081505670002"/>
        <s v="3521020606770003"/>
        <s v="3521172301810001"/>
        <s v="3521041107720007"/>
        <s v="3521061102720001"/>
        <s v="3521082005790002"/>
        <s v="3521102107740001"/>
        <s v="3521111605490002"/>
        <s v="3521121006550006"/>
        <s v="3521195208890002"/>
        <s v="3521024504360001"/>
        <s v="3521082007740001"/>
        <s v="3521025011750009"/>
        <s v="3521120607720002"/>
        <n v="3.52112301277001E15"/>
        <s v="3521013112800023"/>
        <s v="3521081503790002"/>
        <s v="3521191506710001"/>
        <s v="3521071005700001"/>
        <s v="3521122507620001"/>
        <s v="3521020306610001"/>
        <s v="3521022906550001"/>
        <s v="3521140806540001"/>
        <s v="3521020404640003"/>
        <s v="3521050802600002"/>
        <s v="3521010511800002"/>
        <s v="3521020905700001"/>
        <s v="3521012103830003"/>
        <s v="3521080210500002"/>
        <s v="3521020705640004"/>
        <s v="3521040902550001"/>
        <s v="3521120708460001"/>
        <s v="3521050412500001"/>
        <s v="3521080807730003"/>
        <s v="3521061310660001"/>
        <s v="3521010306710001"/>
        <s v="3521143006710013"/>
        <s v="3521060912650001"/>
        <s v="3521022202820004"/>
        <s v="3521191106680001"/>
        <s v="3521160101560002"/>
        <s v="3521091006550001"/>
        <s v="3521023112440003"/>
        <s v="3521083011690002"/>
        <s v="3521163004680003"/>
        <s v="3521070606650003"/>
        <s v="3521156412870002"/>
        <s v="3521080108640001"/>
        <s v="3521100209620004"/>
        <s v="3521072112770001"/>
        <s v="3521163006620006"/>
        <s v="3521191304780001"/>
        <s v="3521024105380001"/>
        <s v="3521123112530011"/>
        <s v="3521163006450002"/>
        <s v="3521110610680001"/>
        <s v="3521021904650001"/>
        <s v="3521091911720001"/>
        <s v="3521164211570001"/>
        <s v="3521051107690001"/>
        <s v="3521081901540003"/>
        <s v="3521023003750001"/>
        <s v="3521020605770001"/>
        <s v="3521022811720001"/>
        <s v="3521020509700001"/>
        <s v="3521020303730002"/>
        <s v="3521081105660002"/>
        <s v="3521041516200002"/>
        <s v="3521064702830001"/>
        <s v="3521010111350001"/>
        <s v="3521071907730004"/>
        <s v="6208010105720001"/>
        <s v="3521060808770004"/>
        <s v="3521122901710001"/>
        <s v="3521020404730001"/>
        <s v="3521073012630007"/>
        <s v="3521022907680001"/>
        <s v="3521152112720001"/>
        <s v="3521070708630003"/>
        <s v="3521021010660004"/>
        <s v="3521024612800003"/>
        <s v="3521160903630002"/>
        <s v="3521140709570001"/>
        <s v="3521052109520003"/>
        <s v="3521194112530003"/>
        <s v="3521061704660001"/>
        <s v="1809050808840006"/>
        <s v="3521167112500004"/>
        <s v="3521025606550004"/>
        <s v="3521190501560001"/>
        <s v="3521024202580002"/>
        <s v="3521165902500001"/>
        <s v="3521110810700004"/>
        <s v="3521080108600003"/>
        <s v="3521080203700001"/>
        <s v="3521163006640007"/>
        <s v="3521160204540001"/>
        <s v="3521161909720002"/>
        <s v="3521117006680003"/>
        <s v="3521081903710002"/>
        <s v="3521073006630036"/>
        <s v="3521083112630053"/>
        <s v="3521021005750003"/>
        <s v="3521112310650001"/>
        <s v="3521112304780001"/>
        <s v="3521081303980001"/>
        <s v="3521062806800001"/>
        <s v="3521160108730003"/>
        <s v="3521101003710005"/>
        <s v="3521122610850001"/>
        <s v="3521102404790001"/>
        <s v="3521132408630002"/>
        <s v="3521101303800002"/>
        <s v="3521031606780001"/>
        <s v="3521023006680008"/>
        <s v="3521122504720001"/>
        <s v="3521141103660002"/>
        <s v="3521060710710002"/>
        <s v="3521042903940001"/>
        <s v="3521053003650001"/>
        <s v="3521142303700001"/>
        <s v="3521041306600004"/>
        <s v="3521071001710002"/>
        <s v="3521011509710001"/>
        <s v="3521046611840001"/>
        <s v="3521141111750001"/>
        <s v="3521190903650002"/>
        <s v="3521141211750002"/>
        <s v="3521026507670001"/>
        <s v="3521161210670001"/>
        <s v="3521190906650002"/>
        <s v="3521082708700004"/>
        <s v="3521082805700002"/>
        <s v="3521071007540001"/>
        <s v="3521081303650001"/>
        <s v="3521121203780001"/>
        <s v="3521142409850001"/>
        <s v="3521050307530001"/>
        <s v="3521071110670003"/>
        <s v="3521150504760002"/>
        <s v="3521083005580002"/>
        <s v="3521190506860004"/>
        <s v="3521092508580003"/>
        <s v="3521140110420006"/>
        <s v="3521192306640001"/>
        <s v="3521041912800001"/>
        <s v="3521024502610001"/>
        <s v="3521190509780001"/>
        <s v="3521121505800004"/>
        <s v="3521081507790006"/>
        <s v="3521122802650001"/>
        <s v="3521071304730002"/>
        <s v="3521081409720001"/>
        <s v="3521101603760007"/>
        <s v="3521061108590001"/>
        <s v="3521071105670001"/>
        <s v="3521081205770001"/>
        <s v="3521165103380001"/>
        <s v="3521144207700001"/>
        <n v="3.52101100377E15"/>
        <s v="3521024208870001"/>
        <s v="3521154410830002"/>
        <s v="3521024508710005"/>
        <s v="3521171204850001"/>
        <s v="3521161102690002"/>
        <s v="3521064908860001"/>
        <s v="3521062410620001"/>
        <s v="3521080307700001"/>
        <s v="3521074909760001"/>
        <s v="3521015804880001"/>
        <s v="3521035004960001"/>
        <s v="3521126210980002"/>
        <s v="3521093101690002"/>
        <s v="3521015502840005"/>
        <s v="3521021104620001"/>
        <s v="3521040506790004"/>
        <s v="3521016608810001"/>
        <s v="3521067108870001"/>
        <s v="3521014108990002"/>
        <s v="3521121001780006"/>
        <s v="3521100601650002"/>
        <s v="3521040409650003"/>
        <s v="3521121209580002"/>
        <s v="3521040711660001"/>
        <s v="3521130503640002"/>
        <s v="3521073112660014"/>
        <s v="3521052505860002"/>
        <n v="3.21052505860002E14"/>
        <s v="3521062401770001"/>
        <s v="3521031606860005"/>
        <s v="3521040905770001"/>
        <s v="3521020110530001"/>
        <s v="3521040610710001"/>
        <s v="3521024507510005"/>
        <s v="3521110402620003"/>
        <s v="3521170203510001"/>
        <s v="3521020107650019"/>
        <s v="3521191804670001"/>
        <s v="3521012308690001"/>
        <s v="3521020504830003"/>
        <s v="3521061603870001"/>
        <s v="3521020310510002"/>
        <s v="3521170910420001"/>
        <s v="3521126205770002"/>
        <s v="3521102104740002"/>
        <s v="3521130111820001"/>
        <s v="3521046308710001"/>
        <s v="3521061310770001"/>
        <s v="3521130101720005"/>
        <s v="3521051504650002"/>
        <s v="3521061602720002"/>
        <s v="3521153103900001"/>
        <s v="3521040202680002"/>
        <s v="3521071004810002"/>
        <s v="3521070406680008"/>
        <s v="3521071503790001"/>
        <s v="3521080604800004"/>
        <s v="3511180907750001"/>
        <s v="3521013112600033"/>
        <s v="3521051109700001"/>
        <s v="3521082906750001"/>
        <s v="3521190312770001"/>
        <s v="3521081212600006"/>
        <s v="3521111505700009"/>
        <s v="3521192611880001"/>
        <s v="3521091512710001"/>
        <s v="3521041008700001"/>
        <s v="3521100708670002"/>
        <s v="3521131007850001"/>
        <s v="3521062406780001"/>
        <s v="3521180708470002"/>
        <s v="3521190805720001"/>
        <s v="3521024406840001"/>
        <s v="3521136505830002"/>
        <s v="3521192305690002"/>
        <s v="3521156003780001"/>
        <s v="3521041505700003"/>
        <s v="3521192805760002"/>
        <n v="3.52112020483E15"/>
        <s v="3521094104760002"/>
        <s v="3521090809650002"/>
        <s v="3521162512630001"/>
        <s v="3521060303720001"/>
        <s v="3521165202550002"/>
        <s v="3521170307500005"/>
        <s v="3521142004830003"/>
        <s v="3521151812730002"/>
        <s v="3521102807640002"/>
        <s v="3521132510800004"/>
        <s v="3521011005760001"/>
        <s v="3521082105900001"/>
        <n v="3.52117280400001E14"/>
        <s v="3521141905490001"/>
        <s v="3521031563850001"/>
        <s v="3521040403150001"/>
        <s v="3521100810810004"/>
        <s v="3521150110840002"/>
        <s v="3521081202630001"/>
        <s v="3521061806800001"/>
        <s v="3521132208580002"/>
        <s v="3521021912770004"/>
        <s v="3521141305670001"/>
        <s v="3521121005780007"/>
        <s v="3521010808700002"/>
        <s v="3521010908910003"/>
        <s v="3521111407760002"/>
        <s v="3521031504940002"/>
        <s v="3521171706050013"/>
        <s v="3521132902720001"/>
        <n v="3.52110140583001E15"/>
        <s v="3521050711610001"/>
        <s v="3521080101710006"/>
        <s v="3521115605780001"/>
        <s v="3521062302740001"/>
        <s v="3521031505690001"/>
        <s v="3521173012650002"/>
        <n v="3.52112061068E15"/>
        <s v="3521081105710001"/>
        <s v="3521121110540001"/>
        <s v="3521052606600001"/>
        <s v="3521011307790001"/>
        <s v="3521040507650008"/>
        <s v="3521062604730001"/>
        <s v="3521011105750001"/>
        <s v="3521061010720003"/>
        <s v="3521061510759995"/>
        <s v="3521161104700003"/>
        <s v="3521190512680001"/>
        <s v="3521083112650063"/>
        <s v="3521110402800003"/>
        <s v="3521025409540001"/>
        <s v="3521115206720009"/>
        <s v="3521092010760002"/>
        <s v="3521193112710004"/>
        <s v="3521030707840002"/>
        <s v="3521020501750001"/>
        <s v="3521021402970002"/>
        <s v="3521020405700002"/>
        <n v="3.52101080293E15"/>
        <s v="3522222003980001"/>
        <s v="3521031401920002"/>
        <s v="3521101301810003"/>
        <s v="3521192510740001"/>
        <s v="3521120401820002"/>
        <s v="3521083112790014"/>
        <s v="3521113112460001"/>
        <s v="3521080202600001"/>
        <s v="3521046102820001"/>
        <s v="3521131708810006"/>
        <s v="3521022801710002"/>
        <s v="3521010607700003"/>
        <s v="3521020307310001"/>
        <s v="3521026210780002"/>
        <s v="3521072310710001"/>
        <s v="3521070711710002"/>
        <s v="3521190110620001"/>
        <s v="3521083011860001"/>
        <s v="3521021909920002"/>
        <s v="3521031705880001"/>
        <s v="3521063105880002"/>
        <s v="3521195407920001"/>
        <s v="3521041205680003"/>
        <s v="3521031006820003"/>
        <s v="3521132706840002"/>
        <s v="3521042010730003"/>
        <s v="3521010607860001"/>
        <s v="3521031111770004"/>
        <s v="3521032909800001"/>
        <s v="3521042412800001"/>
        <s v="3521060610510001"/>
        <s v="3521140412710001"/>
        <s v="3521130808690001"/>
        <s v="3521082508660001"/>
        <s v="3521110301570001"/>
        <s v="3521040711500002"/>
        <s v="3521015407790003"/>
        <s v="3521021507860001"/>
        <s v="3521012003740001"/>
        <s v="3521151410770001"/>
        <s v="3521172009600001"/>
        <s v="3521062311880001"/>
        <s v="3521150103890001"/>
        <s v="3521060406540003"/>
        <s v="3521170311700001"/>
        <n v="3.52102311267001E15"/>
        <s v="3521022003700002"/>
        <s v="3521110306430001"/>
        <s v="3521121103530002"/>
        <s v="3521092607860002"/>
        <s v="3521070205530001"/>
        <s v="3521020709840001"/>
        <s v="3521155010710001"/>
        <s v="3521141404830001"/>
        <s v="3521072110660001"/>
        <s v="3521111807520002"/>
        <s v="3521060304650002"/>
        <s v="3521032611960002"/>
        <s v="3521072605790002"/>
        <s v="3521053006480015"/>
        <s v="3521020112550002"/>
        <s v="3521150904730001"/>
        <s v="3521150705710001"/>
        <s v="3521032004630004"/>
        <s v="3521091208820007"/>
        <s v="3521071605830005"/>
        <s v="3521140607590001"/>
        <s v="3521142302670001"/>
        <s v="3521122509750002"/>
        <s v="3521122803670002"/>
        <n v="3.52112410774004E15"/>
        <s v="3521060601780002"/>
        <s v="3521050805450001"/>
        <s v="3521140403720001"/>
        <s v="3521060208650002"/>
        <s v="3521170606710003"/>
        <s v="3521011204700002"/>
        <s v="3521121507770006"/>
        <s v="3521141212620006"/>
        <s v="3521190904570002"/>
        <s v="3521090406680003"/>
        <s v="3521092612690001"/>
        <s v="3521020304440003"/>
        <s v="3521092505520001"/>
        <s v="3521172706610001"/>
        <s v="3521082905720001"/>
        <s v="3521170403650002"/>
        <s v="3521071710790003"/>
        <s v="3521173112640003"/>
        <s v="3521150112680003"/>
        <s v="3521100306670002"/>
        <s v="3521173011620001"/>
        <s v="3521091509410001"/>
        <s v="3521050105680001"/>
        <s v="3521094703630001"/>
        <s v="3521022912910001"/>
        <s v="3521141209790003"/>
        <s v="3521081006720003"/>
        <s v="3521171006710001"/>
        <s v="3521171703800001"/>
        <s v="3521116704690001"/>
        <s v="3521030904840002"/>
        <s v="3521103112710015"/>
        <s v="3521031001780002"/>
        <s v="3521141708770001"/>
        <s v="3521020207800004"/>
        <s v="3521092004790002"/>
        <s v="3521031805930003"/>
        <s v="3521024907750002"/>
        <s v="3521042607680001"/>
        <s v="3521021007810007"/>
        <n v="3.52111051083E15"/>
        <s v="3521190105780002"/>
        <s v="3521022104920001"/>
        <s v="3521070107800014"/>
        <s v="3521100910850001"/>
        <s v="3521062705810001"/>
        <s v="3521172807540001"/>
        <s v="3521082308840001"/>
        <s v="3521062402770002"/>
        <s v="3521132502770001"/>
        <s v="3521091305620001"/>
        <s v="3521191303840001"/>
        <s v="3521151906710003"/>
        <s v="3521172002680002"/>
        <s v="3521095805620002"/>
        <s v="3521086908640001"/>
        <s v="3521027001840001"/>
        <s v="3521020802660001"/>
        <s v="3521090601810002"/>
        <s v="3521021008600004"/>
        <s v="3521151208750002"/>
        <s v="3521070805850002"/>
        <s v="3521190308760001"/>
        <s v="3521190905730001"/>
        <s v="3521190601780001"/>
        <s v="3521025011790001"/>
        <s v="3521190210670001"/>
        <s v="3521070505750001"/>
        <s v="3521154101790005"/>
        <s v="3521020506740002"/>
        <s v="3521071004650004"/>
        <s v="3521065509950001"/>
        <s v="3521096005900003"/>
        <s v="3521051010710002"/>
        <s v="3521061105790002"/>
        <s v="3521080904680002"/>
        <s v="3521131507670001"/>
        <s v="3521072702970002"/>
        <s v="3521013003950001"/>
        <s v="3521162010880001"/>
        <s v="3521170306790001"/>
        <s v="3521082804720001"/>
        <s v="3521143112650016"/>
        <s v="3521172004680001"/>
        <s v="3521141705630001"/>
        <s v="3521070210700001"/>
        <s v="3521072810580002"/>
        <s v="3521151205820001"/>
        <s v="3521102105690003"/>
        <s v="3521140705780002"/>
        <s v="3521080203540001"/>
        <s v="3521070704620002"/>
        <s v="3521020810550003"/>
        <s v="3521091904670001"/>
        <s v="3521071506700001"/>
        <s v="3521121205730005"/>
        <s v="3521191304560001"/>
        <s v="2315468456413213"/>
        <s v="3521140606710002"/>
        <s v="3520060607850001"/>
        <s v="3521150706910002"/>
        <s v="3521122604670001"/>
        <s v="3521110801550001"/>
        <s v="3521163004990001"/>
        <s v="3521040703710002"/>
        <s v="3521065709840001"/>
        <s v="3521035809950004"/>
        <s v="3521125306640001"/>
        <s v="3521020208800005"/>
        <s v="3521102412670001"/>
        <s v="3521102409760001"/>
        <s v="3311024912890003"/>
        <s v="3521073105810002"/>
        <s v="3521123006770011"/>
        <s v="3521155406780001"/>
        <s v="3521120703530001"/>
        <s v="3521122007680002"/>
        <s v="3521132601490001"/>
        <s v="3521014305940001"/>
        <s v="3521066812800001"/>
        <s v="3521031009690005"/>
        <s v="3521120301580001"/>
        <s v="3521021410770001"/>
        <s v="3521052098670001"/>
        <s v="3521082009700003"/>
        <s v="3521120901970004"/>
        <s v="3521121012730005"/>
        <s v="3521092912750001"/>
        <s v="3521064902920001"/>
        <s v="3521021910600001"/>
        <s v="3521031309910001"/>
        <s v="3521151303900003"/>
        <s v="3521012708870001"/>
        <s v="3521030410830001"/>
        <s v="3521102409870003"/>
        <s v="3521011309840001"/>
        <s v="3521070408710002"/>
        <s v="3521073006590033"/>
        <s v="3521167112350001"/>
        <s v="3521010512810001"/>
        <s v="3521014109840002"/>
        <s v="3521025001800001"/>
        <s v="3521080307690004"/>
        <s v="3521012205720001"/>
        <s v="3521021212490001"/>
        <s v="3521040805710001"/>
        <s v="3521160107720007"/>
        <s v="3521012009720001"/>
        <s v="3521190208780001"/>
        <s v="3521024909760001"/>
        <s v="3521142504730001"/>
        <s v="3521070702720001"/>
        <s v="3521070912740005"/>
        <s v="3521081412590001"/>
        <s v="3521022706700002"/>
        <s v="3521091204740004"/>
        <s v="3521060507700002"/>
        <s v="3521071507650001"/>
        <s v="3521080301580002"/>
        <s v="3521026505600001"/>
        <s v="3521021712620001"/>
        <s v="3521140602650002"/>
        <s v="3521180808700001"/>
        <s v="3521121805520001"/>
        <s v="3521170102560002"/>
        <s v="3521081209790001"/>
        <s v="3521023112620033"/>
        <s v="3521123110840004"/>
        <s v="3521041603710001"/>
        <s v="3521010505950007"/>
        <s v="3521053107670001"/>
        <s v="3521090509670002"/>
        <s v="3521070110680003"/>
        <s v="3521040105830002"/>
        <s v="3521070803690002"/>
        <s v="3521160104680001"/>
        <s v="3521081009650002"/>
        <s v="3521191704770002"/>
        <s v="3521103101700002"/>
        <s v="3521080510710001"/>
        <s v="3521021111560001"/>
        <s v="3521163112550003"/>
        <s v="3521071207780001"/>
        <s v="3521190711710001"/>
        <s v="3521021209700001"/>
        <s v="3521051007670002"/>
        <s v="3521163006580031"/>
        <s v="3521081911480001"/>
        <s v="3521142811630001"/>
        <s v="3521081609690003"/>
        <s v="3521190407430002"/>
        <s v="3521190801670001"/>
        <s v="3521080401700003"/>
        <s v="3521081002670002"/>
        <s v="3521192302650001"/>
        <s v="3521041412700002"/>
        <s v="3521082012670001"/>
        <s v="3521120708660002"/>
        <s v="3521050108590004"/>
        <s v="3521141609690002"/>
        <s v="3521032508720001"/>
        <s v="3521020306650001"/>
        <s v="3521101107610001"/>
        <s v="3521021003770001"/>
        <s v="3521100706760005"/>
        <s v="3521082003690002"/>
        <s v="3521160107650014"/>
        <s v="3521072906660001"/>
        <s v="3521042604680002"/>
        <s v="3521170502790001"/>
        <s v="3521022009650001"/>
        <s v="3521111603700003"/>
        <s v="3521020510630001"/>
        <s v="3521120101650009"/>
        <s v="3521020503650001"/>
        <s v="3521060101610002"/>
        <s v="3521171601700002"/>
        <s v="3521032601610001"/>
        <s v="3521082207620001"/>
        <s v="3521096801770001"/>
        <s v="3521084801690002"/>
        <s v="3521155911840003"/>
        <s v="3521010508840003"/>
        <s v="3521142508690002"/>
        <s v="3521051110550001"/>
        <s v="3521090307700001"/>
        <s v="3521081505790003"/>
        <s v="3521082006570003"/>
        <s v="3521080704740002"/>
        <s v="3521070704790004"/>
        <s v="3521030110740006"/>
        <s v="3521021001580004"/>
        <s v="3521071212820002"/>
        <s v="3521071906880001"/>
        <s v="3521020409600003"/>
        <s v="3521073006530024"/>
        <s v="3519114604800004"/>
        <s v="3521191901740001"/>
        <s v="3521111307800002"/>
        <s v="3521061705660001"/>
        <s v="3521151608800002"/>
        <s v="3521151501850003"/>
        <s v="3521141604650002"/>
        <s v="3521092308580002"/>
        <s v="3521116707790005"/>
        <s v="3521171606530002"/>
        <s v="3521035905910001"/>
        <s v="3521062410550002"/>
        <s v="3521080302690002"/>
        <s v="3521043012830003"/>
        <s v="3521142908720001"/>
        <s v="3521020910660002"/>
        <n v="3.52107311253003E15"/>
        <s v="3521132812700001"/>
        <s v="3521060211810001"/>
        <s v="3521080904620002"/>
        <s v="3521020201600002"/>
        <s v="3521191012740001"/>
        <s v="3404077003810018"/>
        <s v="3521191103550001"/>
        <s v="3521024604390003"/>
        <s v="3521073006630035"/>
        <s v="3521040203670002"/>
        <s v="3521012206750001"/>
        <s v="3521140807730001"/>
        <s v="3521121204740005"/>
        <s v="3521131007720001"/>
        <s v="3521073006480064"/>
        <s v="3521151608750002"/>
        <s v="3521160901750001"/>
        <s v="3521166804860001"/>
        <s v="3521154411880001"/>
        <s v="3521156306870002"/>
        <s v="3521144708620002"/>
        <s v="3521145703760001"/>
        <s v="3521020307500003"/>
        <s v="3521110606770004"/>
        <s v="3521061711710001"/>
        <s v="1671041809560002"/>
        <s v="3521050802770002"/>
        <s v="3521020112790005"/>
        <s v="3521130701770001"/>
        <s v="3521051507440001"/>
        <s v="3521071910690002"/>
        <s v="3521021809420001"/>
        <s v="3521031006660001"/>
        <s v="3521163006500024"/>
        <s v="3521041708760004"/>
        <n v="3.52101510781E15"/>
        <s v="3521175008850001"/>
        <s v="3521066209660001"/>
        <s v="3521080701690001"/>
        <s v="3521156111760001"/>
        <s v="3521175203850002"/>
        <s v="3521115204890002"/>
        <s v="3521065510720001"/>
        <s v="3521115112830002"/>
        <s v="3521155903840001"/>
        <s v="3521121506670005"/>
        <s v="3521082505780001"/>
        <s v="3521170809690002"/>
        <s v="3521031904880001"/>
        <s v="3521131506650003"/>
        <s v="3521042402930001"/>
        <s v="3521020409620001"/>
        <s v="3521061207840001"/>
        <s v="3521063003730002"/>
        <s v="3521123006580046"/>
        <s v="3521110807690001"/>
        <s v="3521090506690001"/>
        <s v="3521071605610001"/>
        <s v="3521031005700001"/>
        <s v="3521082008780002"/>
        <s v="3521061406630003"/>
        <s v="3521080206770002"/>
        <s v="3521051101570002"/>
        <s v="3521051407720001"/>
        <s v="3521072608750001"/>
        <s v="3521131802750001"/>
        <s v="3521051609650003"/>
        <s v="3521060504700001"/>
        <s v="3521072712590001"/>
        <s v="3521121709690002"/>
        <s v="3521141212740002"/>
        <s v="3521081107580002"/>
        <s v="3521102406840004"/>
        <s v="3521080402710002"/>
        <s v="3521040901690001"/>
        <s v="3521072411730001"/>
        <s v="3521050409620001"/>
        <s v="3521020307610001"/>
        <s v="3521151801870001"/>
        <s v="3521062004770001"/>
        <s v="3521040708800003"/>
        <s v="35210328009890001"/>
        <s v="3521080110880003"/>
        <s v="3521100408780002"/>
        <s v="3521071002600001"/>
        <s v="3521020504650002"/>
        <s v="3521020112680003"/>
        <s v="3521022708720001"/>
        <s v="3521102105740004"/>
        <s v="3521040901740001"/>
        <s v="3521120211640001"/>
        <s v="3521052403710002"/>
        <s v="3521062106790001"/>
        <s v="3521030609710002"/>
        <s v="3521050104730007"/>
        <s v="3521020202670003"/>
        <s v="3521131008650001"/>
        <s v="3521042609760001"/>
        <s v="3521140907720001"/>
        <s v="3521071812760003"/>
        <s v="3521090605590001"/>
        <s v="3521070807730001"/>
        <s v="3521080104690001"/>
        <s v="3521041412680001"/>
        <s v="3521082603700001"/>
        <s v="3521042511730002"/>
        <s v="3521043006750006"/>
        <s v="3521061807700001"/>
        <s v="3521111006700004"/>
        <s v="3521042201750002"/>
        <s v="3521040708640003"/>
        <s v="3521121203630004"/>
        <s v="3521172307610001"/>
        <s v="3521020610710001"/>
        <s v="3521121306780002"/>
        <s v="3521120802710002"/>
        <s v="3521020104760001"/>
        <s v="3521192807810001"/>
        <s v="3521143004680001"/>
        <s v="3521040403820003"/>
        <s v="3521060212600002"/>
        <s v="3521080604540001"/>
        <s v="3521082503740002"/>
        <s v="3521140112620003"/>
        <s v="3521100304680001"/>
        <s v="3521120707650001"/>
        <s v="3521021004740002"/>
        <s v="3521070407710001"/>
        <s v="3521092112640001"/>
        <s v="3521080404710002"/>
        <s v="3521100707680002"/>
        <s v="3521062710760001"/>
        <s v="3521142801750001"/>
        <s v="3521151710810001"/>
        <s v="3521052606680001"/>
        <s v="3521123012540014"/>
        <n v="3.52107101065001E15"/>
        <s v="3521101311820001"/>
        <s v="3521121109690001"/>
        <s v="3521130412740003"/>
        <s v="3521083006560001"/>
        <s v="3521081503720002"/>
        <s v="3521115208490003"/>
        <s v="3521050704480002"/>
        <s v="3521070309790001"/>
        <n v="3.52112030158E15"/>
        <s v="3521151410830001"/>
        <s v="3521072312640001"/>
        <s v="3521167112450003"/>
        <s v="3521092909630002"/>
        <s v="3521070112750001"/>
        <s v="3521102804610001"/>
        <s v="3521072804820001"/>
        <s v="3521020111600002"/>
        <s v="3507110707740004"/>
        <s v="3521040210750003"/>
        <s v="3521100210780005"/>
        <s v="3521113006640003"/>
        <s v="3521040305860002"/>
        <s v="3521032305840001"/>
        <s v="3521094407870001"/>
        <s v="3521174202830002"/>
        <s v="3521136708740002"/>
        <s v="3521150412510001"/>
        <s v="3521080611620002"/>
        <s v="3521082205710001"/>
        <s v="3521140306670002"/>
        <s v="3521180301690001"/>
        <s v="3521130909690001"/>
        <s v="3521100406760007"/>
        <s v="3521113006640009"/>
        <s v="3521170707910001"/>
        <s v="3521072211640001"/>
        <s v="3521141708650001"/>
        <s v="3578220909570002"/>
        <s v="3521031303600001"/>
        <s v="3521044608750003"/>
        <s v="3521110105750001"/>
        <s v="3521081310760001"/>
        <s v="3521061401650001"/>
        <s v="3521042007580001"/>
        <s v="3521110104750004"/>
        <s v="3521141003690002"/>
        <s v="3521082603650001"/>
        <s v="3521100505730005"/>
        <s v="3521091507700008"/>
        <s v="3521020312690002"/>
        <s v="3521012205780001"/>
        <s v="3521041310840002"/>
        <s v="3521160109720001"/>
        <s v="3521111012800003"/>
        <s v="3521062611680001"/>
        <s v="3521066510770001"/>
        <s v="3521041610830002"/>
        <s v="3521141006510001"/>
        <s v="3521115011560001"/>
        <n v="3.52118090174E15"/>
        <s v="3521041008770001"/>
        <s v="3521080710630001"/>
        <n v="3.52101010679E15"/>
        <s v="3521062306720001"/>
        <s v="3521042903880001"/>
        <s v="3521050908770003"/>
        <n v="3.52111080862E15"/>
        <s v="3521061407850001"/>
        <s v="3521080409720002"/>
        <s v="3521020403680002"/>
        <s v="3521090602680001"/>
        <s v="3521011512790001"/>
        <s v="3521090410600001"/>
        <s v="3521171212660006"/>
        <s v="3521045902890001"/>
        <s v="3521077004840002"/>
        <s v="3521062701720001"/>
        <s v="3521020803680001"/>
        <s v="3521082410600002"/>
        <s v="3521012308810002"/>
        <s v="3521091504820004"/>
        <s v="3521131711630002"/>
        <s v="3521090502750003"/>
        <s v="3521192812600001"/>
        <n v="3.52101240978E15"/>
        <s v="3521062705580001"/>
        <s v="3521032501830001"/>
        <s v="3521071404460001"/>
        <s v="3521113006550078"/>
        <s v="3521102009670001"/>
        <s v="3521091204630002"/>
        <s v="3521080105700001"/>
        <s v="3521052302750001"/>
        <s v="3521040608800003"/>
        <s v="3521050303570002"/>
        <s v="9103010209760008"/>
        <s v="3521130909780002"/>
        <s v="3521051107630001"/>
        <s v="3521050302710001"/>
        <s v="3521060304720001"/>
        <s v="3521090712600001"/>
        <s v="3521071012670003"/>
        <s v="3521012708790001"/>
        <s v="3521192105760003"/>
        <s v="3521141001780001"/>
        <s v="3521072906710001"/>
        <s v="3521082206660001"/>
        <s v="3521121412780001"/>
        <s v="3521061610780001"/>
        <s v="3521111008570001"/>
        <s v="3521061409720001"/>
        <s v="3521031807650002"/>
        <s v="3521092603720001"/>
        <s v="3521131104710003"/>
        <s v="3521083112760032"/>
        <s v="3521032405560001"/>
        <s v="3521062306710001"/>
        <s v="3521140309740001"/>
        <n v="3.52112080962022E15"/>
        <s v="3521170501550001"/>
        <s v="3521051207670003"/>
        <s v="3521060504800001"/>
        <s v="3521092308710001"/>
        <s v="3521160109680001"/>
        <s v="3521082005720001"/>
        <s v="3521170605760001"/>
        <n v="3.52111300558E15"/>
        <s v="3521121206780004"/>
        <s v="3521060209630001"/>
        <s v="3521090812680002"/>
        <s v="3521081804670001"/>
        <s v="3521041507770001"/>
        <s v="3521131201730003"/>
        <s v="3521042711810003"/>
        <s v="3521060405730001"/>
        <s v="3521100104580001"/>
        <s v="3521053010750002"/>
        <s v="3521032306600001"/>
        <s v="3521061204800002"/>
        <s v="3521023112700011"/>
        <s v="3521080111710001"/>
        <s v="3521030405540001"/>
        <s v="3521071606690002"/>
        <s v="3521081503610002"/>
        <s v="3521062207840001"/>
        <s v="3521141903670002"/>
        <s v="3521033006630002"/>
        <s v="3521150111860001"/>
        <s v="3520152607820001"/>
        <s v="3521080812680001"/>
        <s v="3521171409760001"/>
        <s v="3521040308740001"/>
        <s v="3521152306800001"/>
        <s v="3521122102680002"/>
        <s v="3521031206790003"/>
        <s v="3521051712810001"/>
        <s v="3521070307740001"/>
        <s v="3521151603780005"/>
        <s v="3521133112780005"/>
        <s v="3521090608720008"/>
        <s v="3521040107810021"/>
        <s v="3521070203570001"/>
        <s v="3521072403810002"/>
        <s v="3521050410710005"/>
        <s v="3521080804690004"/>
        <s v="3521123112690023"/>
        <s v="3521191012670002"/>
        <s v="3521071909680004"/>
        <s v="3521101103660001"/>
        <s v="3521031210780001"/>
        <s v="3621041301930003"/>
        <s v="3521111402730003"/>
        <s v="3521020110640005"/>
        <s v="3521032511800002"/>
        <s v="3521070705690001"/>
        <s v="3521021404680002"/>
        <s v="3521081101560001"/>
        <s v="3521061209790002"/>
        <s v="3521111106710001"/>
        <s v="3521091504530002"/>
        <s v="3521061910770003"/>
        <s v="3521142604770001"/>
        <s v="3521043007690002"/>
        <s v="3521052802790003"/>
        <s v="3521061808690001"/>
        <s v="3521031010640005"/>
        <s v="3521020111560001"/>
        <s v="3521072112790001"/>
        <s v="3521121006680004"/>
        <s v="3521190409650002"/>
        <s v="3521191902770002"/>
        <s v="3521072101740002"/>
        <s v="3521043007750001"/>
        <s v="3521102409750002"/>
        <s v="3521020211660003"/>
        <s v="3521020301510002"/>
        <s v="3521156802870001"/>
        <s v="3521020412620003"/>
        <s v="3521080604670002"/>
        <s v="3521042810610001"/>
        <n v="3.52101220677E15"/>
        <s v="3521082404680001"/>
        <s v="3521100606610002"/>
        <s v="3521081204670005"/>
        <s v="3521021408830001"/>
        <s v="3521171009720002"/>
        <s v="3521081209690002"/>
        <s v="3521082011770002"/>
        <s v="3521080110720007"/>
        <s v="3521071708860001"/>
        <s v="3521052310510001"/>
        <s v="3521155504830001"/>
        <s v="3521025006540001"/>
        <s v="3521025107520001"/>
        <s v="3521072606730002"/>
        <s v="3521051211660001"/>
        <s v="3521020510530002"/>
        <s v="3521030607680002"/>
        <s v="3521020605670001"/>
        <s v="3521160306800001"/>
        <s v="3521093107800001"/>
        <s v="3521180103840007"/>
        <s v="3521131411700001"/>
        <s v="3521040203650001"/>
        <s v="3521081106680003"/>
        <s v="3521061310740001"/>
        <s v="3521142503800003"/>
        <s v="3521101102520002"/>
        <s v="3521060311630001"/>
        <s v="3521072007600002"/>
        <s v="3521140310780003"/>
        <s v="3521080601710001"/>
        <s v="3521040106800005"/>
        <s v="3521170806790003"/>
        <s v="3521062705820001"/>
        <s v="3521060403850001"/>
        <s v="3521032206660001"/>
        <s v="3521072606730001"/>
        <s v="3521022611760002"/>
        <s v="3521062203770001"/>
        <s v="3521072802730001"/>
        <s v="3521040502620003"/>
        <s v="3521081005580004"/>
        <s v="3521081006690003"/>
        <s v="3521060204670002"/>
        <s v="3521050905540001"/>
        <s v="3521062408710002"/>
        <s v="3521113006660042"/>
        <s v="3521101107680001"/>
        <s v="3521114306550013"/>
        <s v="3521102912630001"/>
        <s v="3521060106790001"/>
        <s v="3521040110570003"/>
        <s v="3521082501710001"/>
        <s v="3521102408690003"/>
        <s v="3521070712770005"/>
        <s v="3521032011550001"/>
        <s v="3521100110770006"/>
        <s v="3521060501710001"/>
        <s v="3521151512710003"/>
        <s v="3521151108830001"/>
        <s v="3521011601750002"/>
        <s v="3521022104720004"/>
        <s v="3521141602620002"/>
        <s v="3521082006720002"/>
        <s v="3521072805720001"/>
        <s v="3521080205690001"/>
        <s v="3521132208810002"/>
        <s v="3521091012620005"/>
        <s v="3521082505560001"/>
        <s v="3521070508700002"/>
        <s v="3521060609720001"/>
        <s v="3521081501760003"/>
        <s v="3521070103690001"/>
        <s v="3521042103680001"/>
        <s v="3521042302740001"/>
        <s v="3521090107650014"/>
        <s v="3521062806810001"/>
        <s v="3521080105780002"/>
        <s v="3521110604560001"/>
        <s v="3521092605730002"/>
        <s v="3521141601770001"/>
        <s v="3521090408840001"/>
        <s v="3521190602730001"/>
        <s v="3521060805730002"/>
        <s v="3521172902800001"/>
        <s v="3521072403760001"/>
        <s v="3521061609750001"/>
        <s v="3521081610770001"/>
        <s v="3521030201730002"/>
        <s v="3521072005720001"/>
        <s v="3521172304690001"/>
        <s v="3521081607600002"/>
        <s v="3521082406720002"/>
        <s v="3521080903700002"/>
        <s v="3521020112630001"/>
        <s v="3521192703830002"/>
        <s v="3521030505780007"/>
        <s v="3521080212720001"/>
        <s v="3521051808570001"/>
        <s v="3521102109700001"/>
        <s v="3521081203650004"/>
        <s v="3521060110560001"/>
        <s v="3521051505610001"/>
        <s v="3521013112810011"/>
        <s v="3521022203580002"/>
        <s v="3521082806840002"/>
        <s v="3521100805750009"/>
        <n v="3.5210106077E15"/>
        <s v="3521142311910001"/>
        <s v="3521042805930001"/>
        <s v="3521051106750002"/>
        <s v="3521121207930001"/>
        <s v="3521083112610005"/>
        <s v="3521021905580001"/>
        <s v="3521022204500001"/>
        <s v="3521120301700004"/>
        <s v="3521192912590001"/>
        <s v="3521081804790001"/>
        <s v="3521122606600004"/>
        <s v="3521080406680002"/>
        <s v="3521181501720001"/>
        <s v="3521070809700001"/>
        <s v="3521192501640001"/>
        <s v="3521140504650002"/>
        <s v="3521120205650001"/>
        <s v="3521024212820004"/>
        <s v="3521130803680001"/>
        <s v="3521191709910002"/>
        <s v="3521101210580002"/>
        <s v="3521032611810001"/>
        <s v="3521070912720001"/>
        <s v="3521040807510001"/>
        <n v="3.52115051075002E14"/>
        <s v="3521035603810001"/>
        <s v="3521061206880001"/>
        <s v="3521030505840004"/>
        <s v="3521141012960001"/>
        <s v="3521021511760001"/>
        <s v="3521022903760001"/>
        <s v="3521081201640004"/>
        <s v="3521090703690001"/>
        <s v="3521170711890002"/>
        <s v="3521141006780001"/>
        <s v="3521032512750001"/>
        <s v="3172021601860021"/>
        <s v="3521030309870001"/>
        <s v="3521092503720002"/>
        <s v="3521091503680003"/>
        <s v="3521170911810001"/>
        <s v="3521121607550001"/>
        <s v="3521012301820002"/>
        <s v="3521090712630002"/>
        <s v="3521030106570002"/>
        <s v="3521020808780005"/>
        <s v="3521130306710001"/>
        <s v="3521190201540001"/>
        <s v="3521082705480001"/>
        <s v="3521021009470001"/>
        <s v="3521020406710002"/>
        <s v="3521024101550001"/>
        <s v="3521112005430001"/>
        <s v="3521142707780001"/>
        <s v="3521022306800002"/>
        <s v="3521062602610002"/>
        <s v="3521125606800003"/>
        <s v="3521036303870001"/>
        <s v="3521090712760003"/>
        <s v="3521092502760003"/>
        <s v="3521064103710001"/>
        <s v="3521131611790001"/>
        <s v="3521034506890001"/>
        <s v="3521130711670001"/>
        <s v="3521020101600005"/>
        <s v="3521141212690005"/>
        <s v="3521025011400002"/>
        <s v="3521080212730002"/>
        <s v="3521027112630027"/>
        <s v="3521091801510002"/>
        <s v="3521120101650013"/>
        <s v="3521040808670001"/>
        <s v="3521111002760001"/>
        <s v="3521030210750007"/>
        <n v="3.52101031085E15"/>
        <s v="3521021808830002"/>
        <s v="3521140109750004"/>
        <s v="3521042505750002"/>
        <s v="3521124710890001"/>
        <s v="3521110807790004"/>
        <s v="3521072111590001"/>
        <s v="3521113006530001"/>
        <s v="3521052209730002"/>
        <s v="3521161207460001"/>
        <s v="3521102008650001"/>
        <s v="3521080301590002"/>
        <s v="3521041011650005"/>
        <s v="3521023112620013"/>
        <s v="3521133112760011"/>
        <s v="3521131011690003"/>
        <s v="3521070903710001"/>
        <s v="3521031012610001"/>
        <s v="3521171603750002"/>
        <s v="3521131002680002"/>
        <s v="3521150301650003"/>
        <s v="3521061309760001"/>
        <s v="3521031501740001"/>
        <s v="3521121902800001"/>
        <s v="3521071302850002"/>
        <s v="3521181703660001"/>
        <s v="3521081006670002"/>
        <s v="3521070312660004"/>
        <s v="3521061304760002"/>
        <s v="3521091103660001"/>
        <s v="3521082402770001"/>
        <s v="3521130704680005"/>
        <s v="3521191303740001"/>
        <s v="3521122207770002"/>
        <s v="3521072705730002"/>
        <s v="3521030206810004"/>
        <s v="3521130501740003"/>
        <s v="6472100103780001"/>
        <s v="3521021204720002"/>
        <s v="3521022701670001"/>
        <s v="3521061605890004"/>
        <s v="3521052107810003"/>
        <s v="3521091803830001"/>
        <s v="3521170704530001"/>
        <s v="3521151904780001"/>
        <s v="3521172002770001"/>
        <s v="3521063012700002"/>
        <s v="3521120708680005"/>
        <s v="3521042305830001"/>
        <s v="3521075811840002"/>
        <s v="3521071306660002"/>
        <s v="3521026002680001"/>
        <s v="3521023112440018"/>
        <s v="3521050502820003"/>
        <s v="3521056202810006"/>
        <s v="3521072803820001"/>
        <s v="3521110107700011"/>
        <s v="3521131011720001"/>
        <s v="3521141304700001"/>
        <s v="3521071412720002"/>
        <s v="3521123012770007"/>
        <s v="3521091907780001"/>
        <s v="3521192102790002"/>
        <s v="3521171206650002"/>
        <s v="3521125610620002"/>
        <s v="3521034408880003"/>
        <s v="355557uugu888"/>
        <s v="3521042707850004"/>
        <s v="3521082710620002"/>
        <s v="3521032211880002"/>
        <s v="3521121909960001"/>
        <s v="3521110612760001"/>
        <s v="3521031101810001"/>
        <s v="3521031003790002"/>
        <s v="3521151801890002"/>
        <s v="3521155206820004"/>
        <s v="3521036304840006"/>
        <s v="3521075007920001"/>
        <s v="3521030909810001"/>
        <s v="3521051602770003"/>
        <s v="3521120303840004"/>
        <s v="3521064105970002"/>
        <s v="3521060708740001"/>
        <s v="3521031002820002"/>
        <s v="3521157112780035"/>
        <s v="3521081004940002"/>
        <s v="3521051709700004"/>
        <s v="3521023012780001"/>
        <s v="3521041401940001"/>
        <s v="6471123456789012"/>
        <s v="3521081010930001"/>
      </sharedItems>
    </cacheField>
    <cacheField name="NKK">
      <sharedItems containsBlank="1" containsMixedTypes="1" containsNumber="1" containsInteger="1">
        <s v="3521101708940001"/>
        <s v="3521045710840002"/>
        <s v="3521091704840003"/>
        <s v="3521062908770001"/>
        <s v="3521050207800005"/>
        <s v="3521052602790002"/>
        <s v="3521091809810002"/>
        <s v="3521051207840005"/>
        <s v="3521041302850001"/>
        <m/>
        <s v="3521081305900002"/>
        <s v="3521091906850001"/>
        <s v="3521101406730006"/>
        <s v="1976082820212110"/>
        <s v="3521022211830001"/>
        <s v="3521081406760004"/>
        <s v="3521090311770002"/>
        <s v="3521092808760003"/>
        <s v="3521061604790003"/>
        <s v="3518195002930001"/>
        <s v="3521076505790003"/>
        <s v="3521101102990005"/>
        <s v="1234567890123456"/>
        <s v="8882966677880003"/>
        <s v="3514002000000033"/>
        <s v="3521172701810001"/>
        <s v="2171031212819031"/>
        <s v="3521040306810001"/>
        <s v="3521172212770002"/>
        <s v="3521031209870003"/>
        <s v="6471082232319484"/>
        <s v="6471082232319485"/>
        <s v="3518082805910001"/>
        <s v="3521190906650002"/>
        <s v="3521041912800001"/>
        <s v="3521170910420001"/>
        <s v="3521042010730003"/>
        <s v="3521172009600001"/>
        <s v="3521170311700001"/>
        <s v="3521172002680002"/>
        <s v="3432431241232132"/>
        <n v="0.0"/>
        <s v="3521081002670002"/>
        <s v="3521171601700002"/>
        <s v="3521131007720001"/>
        <s v="3521175008850001"/>
        <s v="3521174202830002"/>
        <s v="3521041610830002"/>
        <s v="3521080409720002"/>
        <s v="3521052302750001"/>
        <s v="3521111106710001"/>
        <s v="3521043007690002"/>
        <s v="3521170806790003"/>
        <s v="3521030309870001"/>
        <s v="3521170704530001"/>
        <s v="3521056202810006"/>
        <s v="3521192102790002"/>
        <s v="355557uugu888"/>
        <s v="3521031101810001"/>
        <s v="6471123456789012"/>
      </sharedItems>
    </cacheField>
    <cacheField name="Alamat" numFmtId="0">
      <sharedItems containsBlank="1">
        <s v="Ngawi"/>
        <s v="BPP Kec. Jogorogo"/>
        <s v="BPP Kec. Ngawi"/>
        <s v="BPP Kec. Pangkur"/>
        <s v="BPP Kec. Gerih"/>
        <s v="BPP Kec. Kendal"/>
        <s v="BPP Kec. Karanganyar"/>
        <s v="BPP Kec. Bringin"/>
        <s v="BPP Kec. Ngrambe"/>
        <s v="dusun kiteran desa kwadungan lor kecamatan padas kabupaten ngawi"/>
        <s v="BPP Kec. Padas"/>
        <s v="BPP Kec. Paron"/>
        <s v="BPP Kec. Mantingan"/>
        <s v="BPP Kec. Kedunggalar"/>
        <s v="JL Malang"/>
        <s v="BPP Kec. Sine"/>
        <s v="BPP Kec. Karangjati"/>
        <s v="BPP Kec. Pitu"/>
        <s v="Jl. Yos Sudarso No.23, Kerek, Margomulyo, Kec. Ngawi, Kabupaten Ngawi, Jawa Timur 63217"/>
        <s v="BPP Kec. Widodaren"/>
        <s v="BPP Kec. Geneng"/>
        <s v="BPP Kec. Kasreman"/>
        <s v="BPP Kec. Kwadungan"/>
        <s v="paron"/>
        <s v="Jl. Jalan"/>
        <s v="malang"/>
        <m/>
        <s v="Jl. Raya SUkses Maju"/>
        <s v="Padas"/>
        <s v="3456020306512765"/>
        <s v="3652032623512565"/>
        <s v="Desa Sukomulyo RT 02 RW 01 No.53"/>
        <s v="DS. TEGUHAN, KEC. PARON, KAB. NGAWI"/>
        <s v="no. 22 rt02 rw05 Dsn Karangasem 1 Desa/Kec. GenengKab. ngawi"/>
        <s v="DESA KENDAL RT03/RW01 KEC. KENDAL KAB. NGAWI"/>
        <s v="Geneng"/>
        <s v="Dsn Purworejo RT 01 RW 04 Ds Watualang Ngawi"/>
        <s v="Dsn. Simo 3 RT. 1 RW. 1 DESA SIMO KEC. KWADUNGAN KAB NGAWI"/>
        <s v="dsn. simo III RT. 01 RW. 01 desa Simo kec. Kwadungan Kab. Ngawi"/>
        <s v="Wonosobo  Geneng"/>
        <s v="Kedunggalar"/>
        <s v="jenggrik"/>
        <s v="Jl. A. Yani Wareng Rt. 04 Rw 01"/>
        <s v="dungmiri"/>
        <s v="RT. 03 RW. 01"/>
        <s v="kawu"/>
        <s v="test"/>
        <s v="awda"/>
        <s v="jl. moch. ilyas Gg. I Kelurahan Margomulyo Kec. Ngawi, Kab. Ngawi 63217"/>
        <s v="Jogorogo"/>
        <s v="Desa Sekarjati Kecamatan Karanganyar Kabupaten Ngawi"/>
        <s v="Dungus, Karangasri, Ngawi"/>
        <s v="DS Baderan RT 01 RW 01 kec Geneng kab Ngawi"/>
        <s v="Glodog RT01/02 Kel. Karangrejo Kec. Karangrejo, Magetan"/>
        <s v="RT. 07 RW. 01"/>
        <s v="Sambirejo"/>
        <s v="Sambirobyong klitik,Geneng,Ngawi"/>
        <s v="Perum Griya Rahayu Kencana Blok C11 Trunojoyo gg pudak Ngawi"/>
        <s v="BPP Karanganyar"/>
        <s v="gelung"/>
        <s v="Grudo Ngawi"/>
        <s v="bringin"/>
        <s v="Jln.Mayjen Sungkono Gg. Sosropuran No.4 Madiun"/>
        <s v="Ds. Karangasri Ngawi"/>
        <s v="DUSUN PILANG RT006 RW002 DESA NGOMPRO KECAMATAN PANGKUR KABUPATEN NGAWI"/>
        <s v="Ds Kendal, Kec Kendal"/>
        <s v="RT.05 RW.01 DSN. PUCANGANOM, DESA / KEC. KENDAL, KAB. NGAWI"/>
        <s v="Desa Wonorejo RT.05 RW.01"/>
        <s v="RT 02 RW 03 Ds. Kauman, Kec. Karangrejo, Kab. Magetan"/>
        <s v="TAMBAKROMO RT 001 RW 001 DESA TAMBAKROMO KECAMATAN PADAS"/>
        <s v="Dsn. Kedunggalar"/>
        <s v="KWADUNGAN, NGAWI"/>
        <s v="Dsn Ngembak Ds Munggut kec.Padas, Kab.ngawi"/>
        <s v="LINGK KUTI 02 RT 01 RW 04 KUTOREJO"/>
        <s v="Jl. Darmo Mulyo J.55 Kota Madiun"/>
        <s v="JL GELATIK 30 RT 01 RW 02 DSN/DS. BERAN, KEC./ KAB. NGAWI"/>
        <s v="Jalan Sanjaya No 1 Jogorogo"/>
        <s v="RT 01 RW 02 Sambungan, Jogorogo"/>
        <s v="-"/>
        <s v="Graha Kirana F10, Winongo, Manguharjo, Kota Madiun"/>
        <s v="Desa Ngancar Kecamatan Pitu"/>
        <s v="Sambirobyong, Klitik, Geneng"/>
        <s v="JL. Sumber sari I"/>
        <s v="Mantingan"/>
        <s v="Ngale, RT 1 RW 1"/>
        <s v="DESA JURUREJO RT 002 RW 007 KEC./ KAB. NGAWI"/>
        <s v="watualang"/>
        <s v="desa Sumberejo Maospati Magetan"/>
        <s v="Jl. Garuda Gg. Parkit No. 08 Dsn. Grudo RT. 03 RW. 01 Ds. Grudo Kec. Ngawi Kab. Ngawi"/>
        <s v="Sihanouk Ville Kampung Som, Preah sihanouk Kamboja"/>
        <s v="Karanganyar"/>
        <s v="Rt01 Rw04 Desa Pohkonyal,Kec Pangkur Kab. Ngawi"/>
        <s v="RT. 02 RW. 04"/>
        <s v="Jl. Perkutut no 5 Rt 03 Rw 01 Ds. Beran Kec/Kab. Ngawi"/>
        <s v="RT 01 RW 01 Dawung, JGOROGO, NGAWI"/>
        <s v="RT 01/01 Ds. Dawung Kec. Jogorogo Kab. Ngawi"/>
        <s v="JL. WIGYO SI -67 RT/RW 005/003 KEL/DESA KARANGTENGAH KEC./ KAB. NGAWI"/>
        <s v="RT 01 RW 03 Dsn. Cupo, Ds. Grudo, Kec Ngawi"/>
        <s v="Gg Mawar 2"/>
        <s v="Dusun Ngompro RT 4 RW 1"/>
        <s v="jl. sepanjang kenangan"/>
        <s v="bpp sine"/>
        <s v="Bringin, Ngawi, Jawa Timur"/>
        <s v="sragen"/>
        <s v="DESA KENONGOMULYO RT. 06 RW. 02, KEC. NGUNTORONADI, KAB. MAGETAN"/>
        <s v="DESA NGALE RT 14/05 KEC PARON KAB NGAWI"/>
        <s v="Rt001 Rw002 Dsn/Ds.Kedungprahu.padas.Ngawi"/>
        <s v="Rt01 Rw02 Dsn/Ds. Kedungprahu,Padas,Ngawi"/>
        <s v="JL.INDRAGIRI RT.02. RW.02 DSN NAMAK TENGAH DESA NAMBAK KECAMATAN BUNGKAL KAB. PONOROGO"/>
        <s v="Ds.Sambiroto,Padas,Ngawi"/>
        <s v="JL DR WAHIDIN 46 RT 2 RW 2 MULYOREJO KEL. KARANGTENGAH, KEC./ KAB. NGAWI"/>
        <s v="Dsn Kuncen Ds Tambakromo Kec Padas Kab Ngawi rt01/rw04"/>
        <s v="Ds. Klitik Kec. Geneng Kab. Ngawi"/>
        <s v="Desa keras wetan"/>
        <s v="keraswetan Geneng"/>
        <s v="DS pojok rt03 rw01 kec kwadungan kab ngawi"/>
        <s v="glodog karangrejo magetan"/>
        <s v="asdwdsadadwdwa"/>
        <s v="RT 02 RW 01 Pacing, Padas, Ngawi"/>
        <s v="Dusun Brangol Desa Grudo"/>
        <s v="RT 02 RW 04 Dsn Purworejo Ds Watualang Ngawi"/>
        <s v="Kasreman"/>
        <s v="plampoan 1. Rt/Rw :02/03 ds Geneng"/>
        <s v="DSN. WARUK DS. MANGUNHARJO. KEC./KAB. NGAWI"/>
        <s v="Jl Teuku Umar"/>
        <s v="NGADIREJO"/>
        <s v="Balongcapang"/>
        <s v="Desa Tirak Kecamatan Kwadungan Kabupaten Ngawi."/>
        <s v="DS. NGRAMBE RT 01/RW 03, KEC. NGRAMBE,  KAB.NGAWI"/>
        <s v="RT. 04 RW. 04 Ds. Guyung, Kec. Gerih, Kab. Ngawi"/>
        <s v="jl supriyadi karangasri"/>
        <s v="Jl. Kawung Gang II No. 11 Ponorogo, Jawa Timur"/>
        <s v="RT. 01 RW. 01"/>
        <s v="dd"/>
        <s v="Klitik"/>
        <s v="Baderan"/>
        <s v="Keraswetan"/>
        <s v="Dusun Bombongan desa Manisharjo"/>
        <s v="Ds. Gentong, Kec. Paron"/>
        <s v="Dusun Jumog Desa Macanan Kec. Jogorogo"/>
        <s v="Klampisan"/>
        <s v="Desa Danguk"/>
        <s v="Kersoharjo"/>
        <s v="BENDO RT 4 RW 2 KAUMAN"/>
        <s v="katerban"/>
        <s v="Tepas"/>
        <s v="DUSUN MOJOMANIS DESA MOJOMANIS"/>
        <s v="BERAN 2"/>
        <s v="DUSUN WATUKARAS"/>
        <s v="Plelen"/>
        <s v="Ds. Sambirejo"/>
        <s v="Ngepung"/>
        <s v="Wonosari RT. 03 RW. 01"/>
        <s v="Sidorejo"/>
        <s v="Dsn. Baan Ds. Manisharjo"/>
        <s v="RT. 01 RW. 04 CARAT"/>
        <s v="Paras"/>
        <s v="Gulingan"/>
        <s v="DUSUN PUDAK"/>
        <s v="dsn jati I"/>
        <s v="Dusun Jetis Desa Jaten Kec. Jogorogo"/>
        <s v="Ds. Sirigan, Kec. Paron"/>
        <s v="Desa Selopuro Kecamatan pitu"/>
        <s v="NGRAMBE"/>
        <s v="RT. 07 RW. 01 SIMO"/>
        <s v="paldaplang"/>
        <s v="Dumplengan Desa Dumplengan kecamatan Pitu"/>
        <s v="Kenongorejo. Bringin"/>
        <s v="Kersikan"/>
        <s v="Sidomulyo"/>
        <s v="ds mendiro"/>
        <s v="Dsn. Dinden I Desa Dinden"/>
        <s v="Dsn. Bombongan ds. Manisharjo"/>
        <s v="Wonosari RT. 02 RW. 01"/>
        <s v="setono"/>
        <s v="PULE"/>
        <s v="Dampit, Bringin"/>
        <s v="DUSUN DUNGUS, KARANGASRI"/>
        <s v="Pojok"/>
        <s v="Ketanggung"/>
        <s v="Dsn Dungus"/>
        <s v="JENANGAN 3"/>
        <s v="KRAJAN RT 6 RW 1 KUNIRAN"/>
        <s v="BANGET I"/>
        <s v="Pojok Mojo, Bringin"/>
        <s v="SARIMULYO 01/09 SUMBERSARI"/>
        <s v="BENDO RT 02 RW 02"/>
        <s v="kenongo"/>
        <s v="PLOSO KEREP RT 06/05 DESA KUNIRAN, SINE"/>
        <s v="RT 01 RW 03 KROMPOL 2"/>
        <s v="Dusun Tungkulrejo IV &amp; V"/>
        <s v="Dusun Kleleng Desa Kletekan Kec. Jogorogo"/>
        <s v="Krajan Utara,Watualang"/>
        <s v="Sumberbening, Bringin"/>
        <s v="DUSUN GILIS"/>
        <s v="DUSUN DUKUH RT 06 RW 05 DESA TULAKAN"/>
        <s v="dsn jati II"/>
        <s v="ds cepoko"/>
        <s v="Desa Cantel Kecamatan Pitu"/>
        <s v="POHKONYAL 4"/>
        <s v="KRAJAN KULON RT 04 RW 02 SINE"/>
        <s v="Krajan RT. 04 RW. 03"/>
        <s v="Ngilon Desa Bangunrejo lor Kecamatan Pitu"/>
        <s v="Dsn. Sedran Ds. Manisharjo"/>
        <s v="RT 02 RW 03 KROMPOL 2"/>
        <s v="banyubiru"/>
        <s v="Dusun Tungkulrejo III &amp; VI"/>
        <s v="Dsn.Plosorejo"/>
        <s v="POLO RT 5 RW 2 HARGOSARI SINE"/>
        <s v="Ngasem RT.02 RW.04  Hargosari"/>
        <s v="Krandegan"/>
        <s v="Ngronggi"/>
        <s v="Plosorejo 08/04 JAGIR"/>
        <s v="Dsn.Banyakan"/>
        <s v="Gendol RT 1 RW 1, Gendol"/>
        <s v="Dero, Bringin"/>
        <s v="DUSUN GANTING"/>
        <s v="Dusun Kedungprahu Desa Kedungprahu"/>
        <s v="Desa Sidokerto"/>
        <s v="Dsn. Jogorogo Ds. Jogorogo Kec. Jogorogo"/>
        <s v="Dungus,Karangasri"/>
        <s v="Dusun Gagar Desa Ngrayudan Kec. Jogorogo"/>
        <s v="Desa Jatipuro"/>
        <s v="Desa Legundi"/>
        <s v="Tambakromo"/>
        <s v="Dsn. Serut Ds. Purwosari"/>
        <s v="Desa Brangol"/>
        <s v="Dusun Cepak RT.01/RW.05 Desa Sekarjati"/>
        <s v="Dusun Gatak Desa Kletekan"/>
        <s v="Dusun Sambiroto II Desa Sambiroto"/>
        <s v="Rt 003/003 Sidoharjo"/>
        <s v="Babadan 01/01"/>
        <s v="Dusun Watutinatah, Desa Gembol"/>
        <s v="Desa Sawo"/>
        <s v="PANDAN RT 03 RW 02"/>
        <s v="Desa Puhti"/>
        <s v="BANYUURIP"/>
        <s v="Porong Desa Kalang Kecamatan Pitu"/>
        <s v="Desa Rejomulyo"/>
        <s v="Dusun Bintoyo Desa Bintoyo"/>
        <s v="Kedungmiri"/>
        <s v="Widodaren Kidul"/>
        <s v="MARGOMULYO"/>
        <s v="Dusun Padas I Desa Padas"/>
        <s v="Gemarang Timur,Watualang"/>
        <s v="Ds. Kedungputri, Kec. Paron"/>
        <s v="DSN. sambirejo"/>
        <s v="NGLENCONG RT 02 RW 03"/>
        <s v="DUSUN GROGOLAN DESA WARUKKALONG"/>
        <s v="RT. 04 RW. 02 TEGALSARI"/>
        <s v="Dusun Sanan Desa Ngrayudan Kec. Jogorogo"/>
        <s v="KAUMAN RT 03 RW 01"/>
        <s v="kayutrejo"/>
        <s v="Gendingan kidul"/>
        <s v="Wonosari RT. 01RW. 01"/>
        <s v="NGLENCONG RT 10 RW 03"/>
        <s v="NGLENCONG RT 5 RW 3"/>
        <s v="DUSUN POHJENGGEL"/>
        <s v="TENDEN RT 04 RW 01"/>
        <s v="CRAWUK"/>
        <s v="Dusun Slumbung Desa Padas"/>
        <s v="003/006 Ds. Ngrambe"/>
        <s v="Ds. Tempuran, Kec. Paron"/>
        <s v="Desa Ploso Lor"/>
        <s v="003/004 Ds. Ngrambe"/>
        <s v="Jl. Raya Kwadungan Ngawi"/>
        <s v="Ds. Girimulyo Kec. Jogorogo"/>
        <s v="Pakah"/>
        <s v="Dsn Gedoro Desa Cepoko"/>
        <s v="Desa Ringinanom"/>
        <s v="Dusun Ngariboyo Desa Manisharjo"/>
        <s v="Papungan Desa Papungan Kecamatan Pitu"/>
        <s v="Dusun Gembol, Desa Gembol"/>
        <s v="RT 04 RW 02 KROMPOL 1"/>
        <s v="JL RAYA KWADUNGAN SUMENGKO"/>
        <s v="Dsn. Pocol Ds. Kletekan Kec. Jogorogo"/>
        <s v="Dusun Banyuasin Barat"/>
        <s v="Desa Sambiroto"/>
        <s v="Legowetan, Bringin"/>
        <s v="PLOSOKEREP RT 3 RW 4 KUNIRAN"/>
        <s v="Jururejo"/>
        <s v="Dsn. Srikaton Ds. Manisharjo"/>
        <s v="Dsn Pilang"/>
        <s v="KAUMAN RT 01 RW 01"/>
        <s v="Dusun Munggur"/>
        <s v="Dsn Berjing Ds Cepoko"/>
        <s v="DUSUN PONJEN"/>
        <s v="GEMARANG"/>
        <s v="WARUK"/>
        <s v="sidolaju"/>
        <s v="NGEMPLAK RT5 RW3"/>
        <s v="Jatifembol"/>
        <s v="RT. 02 RW. 05 JERUK GULUNG"/>
        <s v="Pencol, Cangakan"/>
        <s v="Dsn Bulung"/>
        <s v="Dsn Tirak 1 Ds. Tirak"/>
        <s v="Dusun Gambang Ds. Girimulyo Kec. Jogorogo"/>
        <s v="TAPEN"/>
        <s v="Geger"/>
        <s v="Gandong, Bringin"/>
        <s v="Dsn. Wage Ds. Purwosari"/>
        <s v="RT. 04 RW. 02 TEGALREJO"/>
        <s v="DUSUN KRAJAN RT 3 RW 2 KUNIRAN"/>
        <s v="Dusun Bulak Ombo, Desa Karanganyar"/>
        <s v="Legokulon"/>
        <s v="NGRAMBE 004/004"/>
        <s v="Dsn Dinden I, Desa Dinden"/>
        <s v="Ds. Teguhan, Kec. Paron"/>
        <s v="RT.04 RW. 02 JETAK"/>
        <s v="RT. 02 RW. 01 PATALAN"/>
        <s v="Butuh"/>
        <s v="Dusun Banaran, Desa Sriwedari"/>
        <s v="KOPENAN RT4/RW1"/>
        <s v="Mojo II, Bringin"/>
        <s v="RT 03 RW 01 Dsn Pucanganom Ds KendaL"/>
        <s v="Bayem RT 03 RW 02"/>
        <s v="Ds. Kenongorejo, Bringin"/>
        <s v="Plosorejo, 09/04 JAGIR"/>
        <s v="Dusun Ngrancang"/>
        <s v="Krajan Selatan,Watualang"/>
        <s v="Nglegok RT.04 RW.03"/>
        <s v="BANGET II"/>
        <s v="Jatimulyo"/>
        <s v="JEANANGAN 2"/>
        <s v="Dsn. Dinden III, Desa Dinden"/>
        <s v="DSN KWADUNGAN"/>
        <s v="&quot;RT 05 RW 02 KROMPOL 1 &quot;"/>
        <s v="Ds. Babadan, Kec. Paron"/>
        <s v="Dusun Pucanganom RT.06 RW.01"/>
        <s v="Pucang"/>
        <s v="Dsn.Dungus"/>
        <s v="DUSUN BUGEL"/>
        <s v="Tambakboyo"/>
        <s v="Sooko"/>
        <s v="Dusun Ngrebeng, Pandean"/>
        <s v="Girikerto RT.03 RW.02"/>
        <s v="Wonosari RT. 04 RW. 02"/>
        <s v="Krajan Kulon RT 03 RW 02 Sine"/>
        <s v="Pondok"/>
        <s v="Cetokan"/>
        <s v="Karangasri"/>
        <s v="SERENAN"/>
        <s v="Jetis"/>
        <s v="JAGIR RT 07 RW 01"/>
        <s v="BAYEM TAMAN RT 10 RW 03 JAGIR"/>
        <s v="Wonosari RT. 03 RW. 02"/>
        <s v="DUSUN WONOKERTO"/>
        <s v="Dusun Dadapan"/>
        <s v="Butuh Desa Banjarbanggi Kecamatan Pitu"/>
        <s v="pa"/>
        <s v="Desa Gempol"/>
        <s v="Duwet RT 1 RW 4 Sumberejo"/>
        <s v="Plosorejo, 03/04 JAGIR"/>
        <s v="Pengkol"/>
        <s v="RT 01 RW 02 KROMPOL 1"/>
        <s v="Dusun Sukowiyono II Desa Sukowiyono"/>
        <s v="Desa Sidorejo"/>
        <s v="DUSUN BEDOG"/>
        <s v="DUSUN BRUBAHAN"/>
        <s v="Gendol RT. 06 RW. 01"/>
        <s v="Keniten"/>
        <s v="DUSUN KARANGNONGKO TIMUR"/>
        <s v="PELANG LOR"/>
        <s v="&quot;GEMARANG &quot;"/>
        <s v="DSN GROGOLAN"/>
        <s v="JETAK RT. 03 RW. 03"/>
        <s v="NGLERI"/>
        <s v="DUSUN DUWET"/>
        <s v="Jati"/>
        <s v="Kricak Desa Karanggeneng Kecamatan Pitu"/>
        <s v="POJOK 4"/>
        <s v="JAGIR RT 05RW 05"/>
        <s v="JENANGAN 1"/>
        <s v="Desa Kwadungan Lor"/>
        <s v="Dsn. Gabuhan Ds. Purwosari"/>
        <s v="BENDO RT 04 RW 02"/>
        <s v="Desa Karangjati"/>
        <s v="KARASAN"/>
        <s v="Dusun Pacing Desa Pacing"/>
        <s v="BELUKAN"/>
        <s v="KARANGNONGKO RT 1 RW 4 PANDANSARI"/>
        <s v="Dusun Nglantung Desa Bangunrejo"/>
        <s v="PENCOL 1"/>
        <s v="Dusun Pilang Bangu Desa Kedungprahu"/>
        <s v="Centong"/>
        <s v="DUSUN BASRI"/>
        <s v="Dusun Nglegok RT.05/RW.03 Desa Pandean"/>
        <s v="Dsn. gandu Ds. Sambirejo"/>
        <s v="Dusun Sekarjati RT.01/RW.03 Desa Sekarjati"/>
        <s v="BULAK RT 06 RW 02"/>
        <s v="Dusun Talang Desa Talang Kec. Jogorogo"/>
        <s v="Desa Dungmiri"/>
        <s v="Dns. Kramat Ds. Tirak"/>
        <s v="Powan. RT3/RW8"/>
        <s v="NGEMPLAK RT 6/ RW 3"/>
        <s v="GENDOL RT 6 RW 1 GENDOL"/>
        <s v="KRAJAN KULON RT 06 RW 02 SINE"/>
        <s v="Dusun Jogorogo Desa Jogorogo Kec. Jogorogo"/>
        <s v="Dusun Kwadungan Desa Kwadungan Lor"/>
        <s v="Gendol RT.01 RW.01"/>
        <s v="POLO RT 3 RW 2 HARGOSARI SINE"/>
        <s v="dsn kasren"/>
        <s v="BENDO RT 01 RW 02"/>
        <s v="JETAK RT. 04 RW. 03"/>
        <s v="Dusun Soco Desa Soco"/>
        <s v="Dsn Sumyangan Desa Tanjungsari Kec. Jogorogo"/>
        <s v="MANGGONG"/>
        <s v="Duwet RT8 RW 2"/>
        <s v="Dsn Tirak 2 Ds. Tirak"/>
        <s v="JATIGEMBOL"/>
        <s v="jl pap"/>
        <s v="jllajsja"/>
        <s v="PONDOK RT 1 RW 5 HARGOSARI"/>
        <s v="Jl. Ngawi"/>
        <s v="DUSUN BEGAL"/>
        <s v="dsn ngompro"/>
        <s v="PANJEN RT 03 RW 01"/>
        <s v="Dusun Sukowiyono V Desa Sukowiyono"/>
        <s v="Dusun Wonoboyo, Desa Sriwedari "/>
        <s v="Kedungharjo"/>
        <s v="PUCANGAN"/>
        <s v="SEDONOREJO RT 03/01 DESA WONOSARI KEC. SINE"/>
        <s v="KRAJAN RT. 05 RW. 02 KUNIRAN"/>
        <s v="KOPENAN RT1/RW1"/>
        <s v="NGADILUWIH RT 02/03 DESA WONOSARI KEC. SINE"/>
        <s v="Desa Pitu Kecamatan Pitu"/>
        <s v="Babadan"/>
        <s v="Dusun Bendo Desa Bendo"/>
        <s v="Dusun Manyul Desa Girimulyo Kec. Jogorogo"/>
        <s v="Ngasem RT.02 RW.02"/>
        <s v="Duwet RT 01 RW 02 Sumberejo"/>
        <s v="Krajan RT. 05 RW. 03"/>
        <s v="NGEMPLAK RT 2 RW 3 KETANGGUNG"/>
        <s v="BULAKREJO RT 03 RW 02"/>
        <s v="RT. 07 RW. 04 BANDEM"/>
        <s v="gendingan"/>
        <s v="SOKO"/>
        <s v="Dusun Mendalan Desa Kedungprahu"/>
        <s v="BAYEMTAMAN RT 01 RW 03"/>
        <s v="Konten"/>
        <s v="Duwet RT7 RW2"/>
        <s v="Dusun Bulak"/>
        <s v="POHKONYAL II"/>
        <s v="DUSUN KARANGNONGKO BARAT"/>
        <s v="PANJEN RT 02 RW 01"/>
        <s v="Dusun Tambakromo Desa Tambakromo"/>
        <s v="ngompro"/>
        <s v="BEJEN RT 01 RW 03"/>
        <s v="NGESREP"/>
        <s v="DUWET RT 08 RW 02"/>
        <s v="Widodaren"/>
        <s v="KERASKULON 2"/>
        <s v="Sendang RT3/RW7 TULAKAN"/>
        <s v="Dusun Kuncen Desa Tambakromo"/>
        <s v="RT. 04 RW 05 PENTHUKPELEM"/>
        <s v="KRAJAN WETAN RT 3 RW 1 KUNIRAN"/>
        <s v="KRAJAN RT 2 RW 2 KETANGGUNG"/>
        <s v="Mojorejo"/>
        <s v="dsn. Genggong RT 04 RW 03"/>
        <s v="Desa Padas"/>
        <s v="RT. 03 RW. 05 PLAYARAN"/>
        <s v="Gondang"/>
        <s v="Pohkonyal 3"/>
        <s v="WONOSARI RT 02/02 DESA WONOSARI KEC. SINE"/>
        <s v="nkk"/>
        <s v="Klito RT. 03 RW. 02"/>
        <s v="JL Jalan ke bandung"/>
        <s v="Dusun Sambiroto I Desa Sambiroto"/>
        <s v="DSN SOKO"/>
        <s v="GARIT,RT3/1"/>
        <s v="Dusun Krawut"/>
        <s v="Dsn. NGUDAL"/>
        <s v="SARIMULYO RT 01 RW 03"/>
        <s v="Genengan, Bringin"/>
        <s v="KRAJAN WETAN RT 1 RW 1 SINE"/>
        <s v="INGASREJO"/>
        <s v="Girikerto RT.01 RW.02"/>
        <s v="Ngasem RT.03 RW.04"/>
        <s v="Dusun Balepanjang Desa Jogorogo Kec. Jogorogo"/>
        <s v="DUSUN CAMPUREJO"/>
        <s v="wakah"/>
        <s v="Krajan RT. 02 RW. 01"/>
        <s v="DUSUN PLOSO"/>
        <s v="Dusun Bangunrejo Desa Bangunrejo"/>
        <s v="Dusun Tremas, Desa Karanganyar"/>
        <s v="DUSUN GETAS"/>
        <s v="Jaten"/>
        <s v="PANJEN RT 01 RW 01"/>
        <s v="SAMBIROBYONG"/>
        <s v="Nglegok RT.02 RW.03"/>
        <s v="KARANG NONGKO RT 01 RW 04"/>
        <s v="DUSUN TANON"/>
        <s v="POJOK 3"/>
        <s v="SOMBO RT 05 RW 02"/>
        <s v="Kedung Jangan"/>
        <s v="Dusun Gedangan Desa Kwadungan Lor"/>
        <s v="Dsn Pangkur"/>
        <s v="NGADILUWIH RT 03/03 DESA WONOSARI KEC. SINE"/>
        <s v="Dsn. DINDEN II Desa. DINDEN"/>
        <s v="RT 01 RW 06 DSN KROMPOL"/>
        <s v="dsn gerung"/>
        <s v="Tarub"/>
        <s v="KRAJAN WETAN RT 4 RW 4 SINE"/>
        <s v="Dusun Padas II Desa Padas"/>
        <s v="Dusun Tungkulrejo I &amp; II"/>
        <s v="Dusun Oto-oto Desa Tambakromo"/>
        <s v="Dusun Ngijo Desa Macanan Kec. Jogorogo"/>
        <s v="RT. 07 RW.03 SAMBI"/>
        <s v="Dusun Bedingin"/>
        <s v="Desa Campurasri"/>
        <s v="PENDOWO RT 10 / 02"/>
        <s v="Banjar"/>
        <s v="Tawun III"/>
        <s v="Dusun Kiteran Desa Kwadungan Lor"/>
        <s v="Dusun kerso Desa Pacing"/>
        <s v="POHKONYAL 1"/>
        <s v="Grenjeng"/>
        <s v="RT. 01 RW. 02 TOWO"/>
        <s v="kerjo"/>
        <s v="Dusun Bolo II Desa Sambiroto"/>
        <s v="RT 001 RW 006 DESA TUNGKULREJO KECAMATAN PADAS"/>
        <s v="KESUMOREJO RT 08/02"/>
        <s v="Dusun Jenggrik RT.03/RW.01 Desa Bangunrejo"/>
        <s v="Duwet RT 01 RW 04 Sumberejo"/>
        <s v="Tulakan Kulon RT 01/09"/>
        <s v="Krajan Wetan RT 03 RW 01 Sine"/>
        <s v="Dusun Kepuh"/>
        <s v="mloso"/>
        <s v="RT. 04 RW. 05 PENTHUKPELEM"/>
        <s v="RT. 03 RW. 02 JETAK"/>
        <s v="Desa Pandean"/>
        <s v="Beton, Tawun"/>
        <s v="BEJEN RT 02 RW 03 PANDANSARI"/>
        <s v="RT. 02 RW. 03 SAMBI"/>
        <s v="DUSUN MALANG"/>
        <s v="mangkujayan"/>
        <s v="Dusun Brangkal Desa Banjaransari"/>
        <s v="Wening"/>
        <s v="RT. 01 RW. 06 NGIJO"/>
        <s v="Siwalan"/>
        <s v="Kasreman 1"/>
        <s v="RT. 08 RW. 01 PATALAN"/>
        <s v="Cangakan I"/>
        <s v="Walikukun wetan Desa Walikukun"/>
        <s v="Dsn. NGANDONG"/>
        <s v="Dsn. Dinden III, DS. Dinden"/>
        <s v="Dusun Nglegok, Pandean"/>
        <s v="PONDOK 2/5 HARGOSARI"/>
        <s v="JENANGAN 2"/>
        <s v="Kedung Prahu"/>
        <s v="JETAK RT. 02 RW. 03"/>
        <s v="TULAKAN RT1/RW4"/>
        <s v="Dusun Sanan Desa Macanan Kec. Jogorogo"/>
        <s v="Dusun Banjar I Desa Banjaransari"/>
        <s v="Dusun Bedug Desa Sriwedari"/>
        <s v="Cabeyan. RT2/RW6"/>
        <s v="Ngasem RT.04 RW.04"/>
        <s v="POJOK 1"/>
        <s v="Kasreman 2"/>
        <s v="Kaliwowo"/>
        <s v="Dsn. KARANGTENGAH"/>
        <s v="Klito RT. 01 RW. 02"/>
        <s v="RT. 02 RW.01 SIMO"/>
        <s v="KESUMOREJO RT 07/02"/>
        <s v="Desa Rejuno"/>
        <s v="Dusun Ngablak Desa Pacing"/>
        <s v="Prayungan, Cangakan"/>
        <s v="DUSUN NGADIPIRO"/>
        <s v="Dusun Jatisari RT.02 RW.06"/>
        <s v="Dusun Kembangsore Desa Talang Kec. Jogorogo"/>
        <s v="RT. 05 RW. 03 JATIREJO"/>
        <s v="KRAJAN RT 02/01"/>
        <s v="Plosokerep RT. 02 RW. 04"/>
        <s v="DESA MOJOMANIS"/>
        <s v="Dusun Sekarputih RT.02/RW.01 Desa Sekarjati"/>
        <s v="Kedung prawan"/>
        <s v="Dsn Dinden II, Desa Dinden"/>
        <s v="Dsn. GANDU"/>
        <s v="walikukun"/>
        <s v="Tanon"/>
        <s v="PANDAN RT 04 RW 02"/>
        <s v="wa"/>
        <s v="Dusun Depok"/>
        <s v="Dsn Sidomulyo"/>
        <s v="Jrubong Utara"/>
        <s v="Dusun Sukowiyono I Desa Sukowiyono"/>
        <s v="Dusun Bendo, Desa Karanganyar"/>
        <s v="Dusun Takteng Desa Bangunrejo"/>
        <s v="Dusun Dungkul Desa Dawung Kec. Jogorogo"/>
        <s v="Brangol"/>
        <s v="RT. 02 RW 02 TEGALSARI"/>
        <s v="Dusun Sobo, Desa Sriwedari"/>
        <s v="Dusun Krawut Desa Bendo"/>
        <s v="Cangakan II"/>
        <s v="Pucung"/>
        <s v="KRAJAN RT 03 RW 01 KUNIRAN"/>
        <s v="Dusun Dukuhan, Desa Gembol"/>
        <s v="Dusun Ngepeh Desa Bendo"/>
        <s v="Dusun Waruk"/>
        <s v="Dusun Sumyangan Desa Tanjungsari Kec. Jogorogo"/>
        <s v="Dusun Gayam"/>
        <s v="Sukorejo"/>
        <s v="KAJAN RT 03/01"/>
        <s v="KAJAN RT 11/01"/>
        <s v="Banjaran RT.05 RW.01"/>
        <s v="NGEMPLAK RT3/RW3"/>
        <s v="Banjaran RT.02 RW.01"/>
        <s v="RT. 02 RW. 06 JATISARI"/>
        <s v="Grojokan Desa Kalang Kecamatan Pitu"/>
        <s v="Banjaran RT.03 RW.01"/>
        <s v="Kiyonten"/>
        <s v="Dusun Mugu Raya Desa kedungprahu"/>
        <s v="Dsn. PRANDON"/>
        <s v="Bangsal"/>
        <s v="Dusun Wonokerto RT. 03 RW. 01"/>
        <s v="Dsn Desan  RT 001  RW 011"/>
        <s v="Nglebur Desa Kalang Kecamatan Pitu"/>
        <s v="Gempolowo"/>
        <s v="Dusun Barahan Desa Banjaransari"/>
        <s v="Desa Sukowiyono"/>
        <s v="DUSUN WIJIL"/>
        <s v="Dusun Teteng, Desa Gembol"/>
        <s v="PANGKUR"/>
        <s v="Dsn Plosorejo"/>
        <s v="Dusun Bolo I Desa Sambiroto"/>
        <s v="Dusun Banjar II Desa Banjaransari"/>
        <s v="Dusun Duren Desa Jaten Kec. Jogorogo"/>
        <s v="Dero Bringin"/>
        <s v="Dsn. SADANG"/>
        <s v="WARUKTENGAH"/>
        <s v="Dsn. Boto Ds. Purwoasri"/>
        <s v="Dusun Sukowiyono IV Desa Sukowiyono"/>
        <s v="Tempel RT.03 RW.01"/>
        <s v="Dusun Getas Desa Walikukun"/>
        <s v="Sambirejo, RT.002 RW.008 Sambirejo, Kecamatan Mantingan"/>
        <s v="SOMBO RT 04 RW 02"/>
        <s v="Dusun Dondong RT.03/RW.06 Desa Sekarjati"/>
        <s v="wonosari"/>
        <s v="Dusun Pendem"/>
        <s v="Dusun Seloumpak Desa Tambakromo"/>
        <s v="Banjarejo"/>
        <s v="Desa Jambangan Kecamatan Paron"/>
        <s v="RT. 06 RW 02 TEGALREJO"/>
        <s v="RT. 04 RW. 03 CEPET"/>
        <s v="Dsn. Balepanjang Ds. Jogorogo Kec. Jogorogo"/>
        <s v="BERAN 1"/>
        <s v="DUSUN GENENG"/>
        <s v="RT.02 RW. 04 KRAJAN"/>
        <s v="Dusun Gebang Desa Walikukun"/>
        <s v="Dusun Sukowiyono III Desa Sukowiyono"/>
        <s v="dsn tengahan"/>
        <s v="Cupo"/>
        <s v="RT, 04 RW. 02 TEGALREJO"/>
        <s v="RT. 06 RW. 04 BANDEM"/>
        <s v="DUSUN PANDEAN RT.05 RW.01"/>
        <s v="Ds. Jogorogo Kec. Jogorogo"/>
        <s v="RT. 06 RW. 01 PATALAN"/>
        <s v="Dsn. JOHO"/>
        <s v="KRAJAN KULON RT 02 RW 02 SINE"/>
        <s v="Ngawen Desa Kalang kecamatan Pitu"/>
        <s v="DESA BANGET"/>
        <s v="Bulak Bunder"/>
        <s v="GONDOREJO 3/1 HARGOSARI"/>
        <s v="DUSUN BULU"/>
        <s v="Ngasem RT.04 RW.04 Hargosari"/>
        <s v="Klito  RT.01 RW.02"/>
        <s v="Ngadirejo RT 08/RW 04"/>
        <s v="KRAJAN WETAN RW 04 RT 04 SINE"/>
        <s v="Widodaren Lor"/>
        <s v="Dusun Nguwin"/>
        <s v="Dusun Pondok Desa Macanan Kec. Jogorogo"/>
        <s v="Kandangan II"/>
        <s v="Dusun Sentul, Desa Gembol"/>
        <s v="b"/>
        <s v="KANDANGAN I"/>
        <s v="Dsn. Dinden III Ds. Dinden"/>
        <s v="Dusun Tumpang Desa Jogorogo Kec. Jogorogo"/>
        <s v="Dsn. Manyul Ds. Girimulyo Kec. Jogorogo"/>
        <s v="Dusun Karangnongko"/>
        <s v="Jenak"/>
        <s v="Dusun Bungkus Desa Ngrayudan Kec. Jogorogo"/>
        <s v="Dsn. Dinden II, Desa Dinden"/>
        <s v="bulakpande"/>
        <s v="Gunung Kendil"/>
        <s v="Dusun Gambang Desa Girimulyo Kec. Jogorogo"/>
        <s v="RT. 02 RW 04 KRAJAN"/>
        <s v="Desa Wonokerto"/>
        <s v="DUSUN PUCANGANOM RT.015 RW.001"/>
        <s v="kenonggo"/>
        <s v="Tawun I"/>
        <s v="Kareman 1"/>
        <s v="DUSUN WONOREJO"/>
        <s v="Gondorejo RT.04 RW.01"/>
        <s v="Dsn.karangtejo RT 1/8"/>
        <s v="Dusun Pancuran Desa Pacing"/>
        <s v="DUSUN MANDEN"/>
        <s v="Dusun Nglorok Desa Ngrayudan Kec. Jogorogo"/>
        <s v="Tempel RT.02 RW.01"/>
        <s v="RT. 01 RW. 06 JATISARI"/>
        <s v="Dsn. CABEAN"/>
        <s v="Dusun Karanganyar, Desa Karanganyar"/>
        <s v="Dusun Talok, Desa Karanganyar"/>
        <s v="Krajan Kulon RT. 02 RW. 02"/>
        <s v="RT. 02 RW.02 JETAK"/>
        <s v="Grenteng"/>
        <s v="Desa Legowetan"/>
        <s v="DUSUN BANGET"/>
        <s v="kletekan jogorogo"/>
        <s v="nglongkeh"/>
        <s v="Krajan Wetan RT. 03 RW. 01"/>
        <s v="d"/>
        <s v="KEMBANGAN"/>
        <s v="kauman"/>
        <s v="RT.02 . RW. 03 SAPEN"/>
        <s v="Gendol RT.08 RW.01"/>
        <s v="Dusun Banyuasin Timur"/>
        <s v="Kedungrejo, Bringin"/>
        <s v="Bulakpepe"/>
        <s v="Tegalrejo"/>
        <s v="Dsn.karangtejo RT 1 RW 7"/>
        <s v="Ca"/>
        <s v="RT 02 RW 06 DSN KROMPOL"/>
        <s v="RT 01 RW 02 Desa Kasreman, Kec. Kasreman"/>
        <s v="Dsn.Ketanggi Lor"/>
        <s v="Gempolowo Rt 003 RW 002, JATIREJO, KASREMAN"/>
        <s v="Walikukun Kulon Desa Walikukun"/>
        <s v="hjsjshsjjs"/>
        <s v="GONDANG SOCO JOGOROGO"/>
        <s v="RT. 04 RW. 01 SIMO"/>
        <s v="hah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Nama" cacheId="0" dataCaption="" compact="0" compactData="0">
  <location ref="A1:B1887" firstHeaderRow="0" firstDataRow="1" firstDataCol="0"/>
  <pivotFields>
    <pivotField name="Accou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t="default"/>
      </items>
    </pivotField>
    <pivotField name="Peran" dataField="1" compact="0" outline="0" multipleItemSelectionAllowed="1" showAll="0">
      <items>
        <item x="0"/>
        <item x="1"/>
        <item x="2"/>
        <item x="3"/>
        <item x="4"/>
        <item x="5"/>
        <item t="default"/>
      </items>
    </pivotField>
    <pivotField name="Nama" axis="axisRow" compact="0" outline="0" multipleItemSelectionAllowed="1" showAll="0" sortType="ascending">
      <items>
        <item x="30"/>
        <item x="31"/>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32"/>
        <item x="33"/>
        <item x="225"/>
        <item x="226"/>
        <item x="227"/>
        <item x="228"/>
        <item x="229"/>
        <item x="230"/>
        <item x="231"/>
        <item x="232"/>
        <item x="233"/>
        <item x="234"/>
        <item x="235"/>
        <item x="236"/>
        <item x="237"/>
        <item x="238"/>
        <item x="239"/>
        <item x="240"/>
        <item x="241"/>
        <item x="242"/>
        <item x="243"/>
        <item x="244"/>
        <item x="245"/>
        <item x="246"/>
        <item x="247"/>
        <item x="248"/>
        <item x="249"/>
        <item x="0"/>
        <item x="250"/>
        <item x="251"/>
        <item x="252"/>
        <item x="253"/>
        <item x="254"/>
        <item x="34"/>
        <item x="255"/>
        <item x="256"/>
        <item x="1"/>
        <item x="257"/>
        <item x="35"/>
        <item x="36"/>
        <item x="258"/>
        <item x="259"/>
        <item x="260"/>
        <item x="261"/>
        <item x="262"/>
        <item x="263"/>
        <item x="264"/>
        <item x="265"/>
        <item x="266"/>
        <item x="2"/>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
        <item x="37"/>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39"/>
        <item x="422"/>
        <item x="423"/>
        <item x="424"/>
        <item x="425"/>
        <item x="426"/>
        <item x="427"/>
        <item x="428"/>
        <item x="429"/>
        <item x="430"/>
        <item x="431"/>
        <item x="432"/>
        <item x="433"/>
        <item x="434"/>
        <item x="435"/>
        <item x="436"/>
        <item x="437"/>
        <item x="438"/>
        <item x="439"/>
        <item x="40"/>
        <item x="440"/>
        <item x="41"/>
        <item x="4"/>
        <item x="441"/>
        <item x="442"/>
        <item x="443"/>
        <item x="444"/>
        <item x="445"/>
        <item x="446"/>
        <item x="447"/>
        <item x="42"/>
        <item x="448"/>
        <item x="449"/>
        <item x="450"/>
        <item x="451"/>
        <item x="23"/>
        <item x="452"/>
        <item x="453"/>
        <item x="454"/>
        <item x="455"/>
        <item x="456"/>
        <item x="457"/>
        <item x="458"/>
        <item x="459"/>
        <item x="43"/>
        <item x="460"/>
        <item x="461"/>
        <item x="462"/>
        <item x="44"/>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45"/>
        <item x="506"/>
        <item x="46"/>
        <item x="507"/>
        <item x="508"/>
        <item x="509"/>
        <item x="510"/>
        <item x="511"/>
        <item x="512"/>
        <item x="513"/>
        <item x="514"/>
        <item x="515"/>
        <item x="516"/>
        <item x="517"/>
        <item x="518"/>
        <item x="519"/>
        <item x="520"/>
        <item x="521"/>
        <item x="522"/>
        <item x="47"/>
        <item x="523"/>
        <item x="524"/>
        <item x="5"/>
        <item x="525"/>
        <item x="526"/>
        <item x="527"/>
        <item x="528"/>
        <item x="529"/>
        <item x="530"/>
        <item x="531"/>
        <item x="532"/>
        <item x="533"/>
        <item x="534"/>
        <item x="535"/>
        <item x="536"/>
        <item x="537"/>
        <item x="538"/>
        <item x="539"/>
        <item x="540"/>
        <item x="541"/>
        <item x="542"/>
        <item x="543"/>
        <item x="544"/>
        <item x="545"/>
        <item x="546"/>
        <item x="547"/>
        <item x="48"/>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49"/>
        <item x="592"/>
        <item x="593"/>
        <item x="594"/>
        <item x="595"/>
        <item x="596"/>
        <item x="50"/>
        <item x="597"/>
        <item x="598"/>
        <item x="599"/>
        <item x="600"/>
        <item x="601"/>
        <item x="602"/>
        <item x="603"/>
        <item x="604"/>
        <item x="605"/>
        <item x="606"/>
        <item x="607"/>
        <item x="51"/>
        <item x="52"/>
        <item x="608"/>
        <item x="609"/>
        <item x="610"/>
        <item x="611"/>
        <item x="612"/>
        <item x="53"/>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54"/>
        <item x="6"/>
        <item x="665"/>
        <item x="666"/>
        <item x="667"/>
        <item x="668"/>
        <item x="669"/>
        <item x="670"/>
        <item x="671"/>
        <item x="672"/>
        <item x="673"/>
        <item x="674"/>
        <item x="675"/>
        <item x="676"/>
        <item x="677"/>
        <item x="678"/>
        <item x="679"/>
        <item x="680"/>
        <item x="681"/>
        <item x="682"/>
        <item x="683"/>
        <item x="684"/>
        <item x="685"/>
        <item x="686"/>
        <item x="687"/>
        <item x="55"/>
        <item x="688"/>
        <item x="689"/>
        <item x="690"/>
        <item x="56"/>
        <item x="691"/>
        <item x="692"/>
        <item x="693"/>
        <item x="694"/>
        <item x="695"/>
        <item x="696"/>
        <item x="697"/>
        <item x="698"/>
        <item x="699"/>
        <item x="700"/>
        <item x="701"/>
        <item x="702"/>
        <item x="703"/>
        <item x="704"/>
        <item x="705"/>
        <item x="706"/>
        <item x="707"/>
        <item x="708"/>
        <item x="709"/>
        <item x="710"/>
        <item x="711"/>
        <item x="712"/>
        <item x="713"/>
        <item x="714"/>
        <item x="715"/>
        <item x="716"/>
        <item x="57"/>
        <item x="58"/>
        <item x="717"/>
        <item x="718"/>
        <item x="719"/>
        <item x="720"/>
        <item x="721"/>
        <item x="722"/>
        <item x="723"/>
        <item x="724"/>
        <item x="59"/>
        <item x="7"/>
        <item x="725"/>
        <item x="726"/>
        <item x="727"/>
        <item x="728"/>
        <item x="729"/>
        <item x="730"/>
        <item x="731"/>
        <item x="60"/>
        <item x="732"/>
        <item x="733"/>
        <item x="61"/>
        <item x="734"/>
        <item x="735"/>
        <item x="736"/>
        <item x="737"/>
        <item x="738"/>
        <item x="739"/>
        <item x="740"/>
        <item x="741"/>
        <item x="742"/>
        <item x="743"/>
        <item x="744"/>
        <item x="62"/>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63"/>
        <item x="782"/>
        <item x="783"/>
        <item x="784"/>
        <item x="785"/>
        <item x="786"/>
        <item x="787"/>
        <item x="788"/>
        <item x="789"/>
        <item x="790"/>
        <item x="791"/>
        <item x="792"/>
        <item x="64"/>
        <item x="793"/>
        <item x="794"/>
        <item x="795"/>
        <item x="796"/>
        <item x="65"/>
        <item x="797"/>
        <item x="798"/>
        <item x="799"/>
        <item x="800"/>
        <item x="801"/>
        <item x="802"/>
        <item x="803"/>
        <item x="804"/>
        <item x="805"/>
        <item x="806"/>
        <item x="807"/>
        <item x="808"/>
        <item x="66"/>
        <item x="809"/>
        <item x="810"/>
        <item x="811"/>
        <item x="67"/>
        <item x="812"/>
        <item x="813"/>
        <item x="68"/>
        <item x="69"/>
        <item x="814"/>
        <item x="70"/>
        <item x="815"/>
        <item x="71"/>
        <item x="816"/>
        <item x="817"/>
        <item x="818"/>
        <item x="819"/>
        <item x="820"/>
        <item x="821"/>
        <item x="822"/>
        <item x="823"/>
        <item x="824"/>
        <item x="825"/>
        <item x="826"/>
        <item x="827"/>
        <item x="828"/>
        <item x="829"/>
        <item x="830"/>
        <item x="831"/>
        <item x="832"/>
        <item x="72"/>
        <item x="833"/>
        <item x="834"/>
        <item x="835"/>
        <item x="836"/>
        <item x="837"/>
        <item x="838"/>
        <item x="839"/>
        <item x="840"/>
        <item x="841"/>
        <item x="842"/>
        <item x="843"/>
        <item x="844"/>
        <item x="845"/>
        <item x="846"/>
        <item x="847"/>
        <item x="848"/>
        <item x="849"/>
        <item x="850"/>
        <item x="851"/>
        <item x="852"/>
        <item x="853"/>
        <item x="854"/>
        <item x="855"/>
        <item x="856"/>
        <item x="857"/>
        <item x="858"/>
        <item x="859"/>
        <item x="8"/>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73"/>
        <item x="888"/>
        <item x="889"/>
        <item x="890"/>
        <item x="891"/>
        <item x="892"/>
        <item x="74"/>
        <item x="893"/>
        <item x="894"/>
        <item x="895"/>
        <item x="896"/>
        <item x="897"/>
        <item x="898"/>
        <item x="24"/>
        <item x="899"/>
        <item x="900"/>
        <item x="901"/>
        <item x="902"/>
        <item x="903"/>
        <item x="904"/>
        <item x="905"/>
        <item x="906"/>
        <item x="907"/>
        <item x="908"/>
        <item x="909"/>
        <item x="9"/>
        <item x="10"/>
        <item x="910"/>
        <item x="75"/>
        <item x="911"/>
        <item x="912"/>
        <item x="913"/>
        <item x="914"/>
        <item x="915"/>
        <item x="916"/>
        <item x="917"/>
        <item x="918"/>
        <item x="919"/>
        <item x="76"/>
        <item x="77"/>
        <item x="920"/>
        <item x="921"/>
        <item x="78"/>
        <item x="922"/>
        <item x="923"/>
        <item x="924"/>
        <item x="925"/>
        <item x="926"/>
        <item x="79"/>
        <item x="927"/>
        <item x="80"/>
        <item x="928"/>
        <item x="81"/>
        <item x="929"/>
        <item x="82"/>
        <item x="930"/>
        <item x="931"/>
        <item x="932"/>
        <item x="933"/>
        <item x="934"/>
        <item x="935"/>
        <item x="83"/>
        <item x="936"/>
        <item x="937"/>
        <item x="938"/>
        <item x="939"/>
        <item x="940"/>
        <item x="941"/>
        <item x="942"/>
        <item x="943"/>
        <item x="944"/>
        <item x="945"/>
        <item x="26"/>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84"/>
        <item x="85"/>
        <item x="979"/>
        <item x="980"/>
        <item x="981"/>
        <item x="982"/>
        <item x="983"/>
        <item x="86"/>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87"/>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88"/>
        <item x="89"/>
        <item x="1093"/>
        <item x="1094"/>
        <item x="1095"/>
        <item x="1096"/>
        <item x="1097"/>
        <item x="1098"/>
        <item x="1099"/>
        <item x="1100"/>
        <item x="1101"/>
        <item x="1102"/>
        <item x="1103"/>
        <item x="1104"/>
        <item x="1105"/>
        <item x="1106"/>
        <item x="1107"/>
        <item x="1108"/>
        <item x="1109"/>
        <item x="90"/>
        <item x="1110"/>
        <item x="1111"/>
        <item x="1112"/>
        <item x="1113"/>
        <item x="1114"/>
        <item x="91"/>
        <item x="1115"/>
        <item x="1116"/>
        <item x="1117"/>
        <item x="92"/>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93"/>
        <item x="1144"/>
        <item x="1145"/>
        <item x="1146"/>
        <item x="1147"/>
        <item x="1148"/>
        <item x="1149"/>
        <item x="1150"/>
        <item x="11"/>
        <item x="1151"/>
        <item x="1152"/>
        <item x="1153"/>
        <item x="1154"/>
        <item x="1155"/>
        <item x="1156"/>
        <item x="1157"/>
        <item x="1158"/>
        <item x="1159"/>
        <item x="1160"/>
        <item x="1161"/>
        <item x="1162"/>
        <item x="1163"/>
        <item x="1164"/>
        <item x="1165"/>
        <item x="1166"/>
        <item x="1167"/>
        <item x="94"/>
        <item x="1168"/>
        <item x="1169"/>
        <item x="1170"/>
        <item x="1171"/>
        <item x="1172"/>
        <item x="1173"/>
        <item x="1174"/>
        <item x="1175"/>
        <item x="1176"/>
        <item x="1177"/>
        <item x="1178"/>
        <item x="1179"/>
        <item x="1180"/>
        <item x="1181"/>
        <item x="1182"/>
        <item x="12"/>
        <item x="1183"/>
        <item x="95"/>
        <item x="1184"/>
        <item x="1185"/>
        <item x="1186"/>
        <item x="1187"/>
        <item x="1188"/>
        <item x="1189"/>
        <item x="13"/>
        <item x="96"/>
        <item x="1190"/>
        <item x="1191"/>
        <item x="1192"/>
        <item x="1193"/>
        <item x="1194"/>
        <item x="1195"/>
        <item x="1196"/>
        <item x="1197"/>
        <item x="1198"/>
        <item x="1199"/>
        <item x="1200"/>
        <item x="1201"/>
        <item x="97"/>
        <item x="98"/>
        <item x="99"/>
        <item x="1202"/>
        <item x="1203"/>
        <item x="1204"/>
        <item x="1205"/>
        <item x="1206"/>
        <item x="1207"/>
        <item x="1208"/>
        <item x="1209"/>
        <item x="1210"/>
        <item x="1211"/>
        <item x="1212"/>
        <item x="1213"/>
        <item x="100"/>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01"/>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02"/>
        <item x="103"/>
        <item x="1275"/>
        <item x="1276"/>
        <item x="104"/>
        <item x="1277"/>
        <item x="1278"/>
        <item x="1279"/>
        <item x="1280"/>
        <item x="1281"/>
        <item x="1282"/>
        <item x="1283"/>
        <item x="1284"/>
        <item x="1285"/>
        <item x="1286"/>
        <item x="1287"/>
        <item x="1288"/>
        <item x="1289"/>
        <item x="1290"/>
        <item x="1291"/>
        <item x="1292"/>
        <item x="1293"/>
        <item x="105"/>
        <item x="1294"/>
        <item x="1295"/>
        <item x="1296"/>
        <item x="106"/>
        <item x="107"/>
        <item x="1297"/>
        <item x="108"/>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09"/>
        <item x="1328"/>
        <item x="1329"/>
        <item x="110"/>
        <item x="1330"/>
        <item x="25"/>
        <item x="14"/>
        <item x="111"/>
        <item x="173"/>
        <item x="27"/>
        <item x="28"/>
        <item x="112"/>
        <item x="1331"/>
        <item x="1332"/>
        <item x="1333"/>
        <item x="113"/>
        <item x="1334"/>
        <item x="1335"/>
        <item x="1336"/>
        <item x="1337"/>
        <item x="1338"/>
        <item x="1339"/>
        <item x="1340"/>
        <item x="1341"/>
        <item x="114"/>
        <item x="1342"/>
        <item x="1343"/>
        <item x="1344"/>
        <item x="1345"/>
        <item x="1346"/>
        <item x="1347"/>
        <item x="1348"/>
        <item x="1349"/>
        <item x="1350"/>
        <item x="1351"/>
        <item x="1352"/>
        <item x="1353"/>
        <item x="1354"/>
        <item x="1355"/>
        <item x="1356"/>
        <item x="1357"/>
        <item x="1358"/>
        <item x="1359"/>
        <item x="1360"/>
        <item x="1361"/>
        <item x="1362"/>
        <item x="1363"/>
        <item x="1364"/>
        <item x="1365"/>
        <item x="115"/>
        <item x="1366"/>
        <item x="1367"/>
        <item x="1368"/>
        <item x="1369"/>
        <item x="1370"/>
        <item x="116"/>
        <item x="117"/>
        <item x="118"/>
        <item x="119"/>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20"/>
        <item x="121"/>
        <item x="1398"/>
        <item x="1399"/>
        <item x="1400"/>
        <item x="1401"/>
        <item x="1402"/>
        <item x="1403"/>
        <item x="1404"/>
        <item x="1405"/>
        <item x="122"/>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23"/>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24"/>
        <item x="1505"/>
        <item x="1506"/>
        <item x="1507"/>
        <item x="1508"/>
        <item x="1509"/>
        <item x="1510"/>
        <item x="1511"/>
        <item x="125"/>
        <item x="1512"/>
        <item x="1513"/>
        <item x="1514"/>
        <item x="1515"/>
        <item x="126"/>
        <item x="1516"/>
        <item x="1517"/>
        <item x="1518"/>
        <item x="1519"/>
        <item x="127"/>
        <item x="1520"/>
        <item x="1521"/>
        <item x="1522"/>
        <item x="1523"/>
        <item x="1524"/>
        <item x="1525"/>
        <item x="15"/>
        <item x="128"/>
        <item x="129"/>
        <item x="1526"/>
        <item x="1527"/>
        <item x="1528"/>
        <item x="1529"/>
        <item x="1530"/>
        <item x="1531"/>
        <item x="1532"/>
        <item x="1533"/>
        <item x="1534"/>
        <item x="1535"/>
        <item x="1536"/>
        <item x="1537"/>
        <item x="1538"/>
        <item x="1539"/>
        <item x="1540"/>
        <item x="130"/>
        <item x="1541"/>
        <item x="1542"/>
        <item x="1543"/>
        <item x="1544"/>
        <item x="1545"/>
        <item x="1546"/>
        <item x="1547"/>
        <item x="1548"/>
        <item x="1549"/>
        <item x="1550"/>
        <item x="1551"/>
        <item x="1552"/>
        <item x="1553"/>
        <item x="1554"/>
        <item x="1555"/>
        <item x="1556"/>
        <item x="1557"/>
        <item x="131"/>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32"/>
        <item x="1587"/>
        <item x="1588"/>
        <item x="1589"/>
        <item x="1590"/>
        <item x="1591"/>
        <item x="133"/>
        <item x="1592"/>
        <item x="16"/>
        <item x="134"/>
        <item x="1593"/>
        <item x="135"/>
        <item x="1594"/>
        <item x="1595"/>
        <item x="1596"/>
        <item x="1597"/>
        <item x="136"/>
        <item x="1598"/>
        <item x="1599"/>
        <item x="1600"/>
        <item x="1601"/>
        <item x="17"/>
        <item x="1602"/>
        <item x="1603"/>
        <item x="1604"/>
        <item x="174"/>
        <item x="1605"/>
        <item x="1606"/>
        <item x="1607"/>
        <item x="1608"/>
        <item x="1609"/>
        <item x="1610"/>
        <item x="1611"/>
        <item x="137"/>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38"/>
        <item x="1682"/>
        <item x="1683"/>
        <item x="175"/>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39"/>
        <item x="1711"/>
        <item x="1712"/>
        <item x="1713"/>
        <item x="1714"/>
        <item x="1715"/>
        <item x="1716"/>
        <item x="1717"/>
        <item x="1718"/>
        <item x="1719"/>
        <item x="1720"/>
        <item x="1721"/>
        <item x="1722"/>
        <item x="140"/>
        <item x="141"/>
        <item x="1723"/>
        <item x="1724"/>
        <item x="1725"/>
        <item x="1726"/>
        <item x="142"/>
        <item x="1727"/>
        <item x="1728"/>
        <item x="143"/>
        <item x="1729"/>
        <item x="1730"/>
        <item x="1731"/>
        <item x="144"/>
        <item x="1732"/>
        <item x="1733"/>
        <item x="1734"/>
        <item x="1735"/>
        <item x="1736"/>
        <item x="145"/>
        <item x="1737"/>
        <item x="1738"/>
        <item x="1739"/>
        <item x="1740"/>
        <item x="1741"/>
        <item x="1742"/>
        <item x="1743"/>
        <item x="1744"/>
        <item x="1745"/>
        <item x="1746"/>
        <item x="1747"/>
        <item x="1748"/>
        <item x="146"/>
        <item x="1749"/>
        <item x="1750"/>
        <item x="1751"/>
        <item x="1752"/>
        <item x="1753"/>
        <item x="1754"/>
        <item x="1755"/>
        <item x="1756"/>
        <item x="1757"/>
        <item x="1758"/>
        <item x="1759"/>
        <item x="1760"/>
        <item x="147"/>
        <item x="1761"/>
        <item x="1762"/>
        <item x="148"/>
        <item x="149"/>
        <item x="1763"/>
        <item x="1764"/>
        <item x="18"/>
        <item x="1765"/>
        <item x="1766"/>
        <item x="150"/>
        <item x="1767"/>
        <item x="1768"/>
        <item x="1769"/>
        <item x="1770"/>
        <item x="1771"/>
        <item x="1772"/>
        <item x="151"/>
        <item x="152"/>
        <item x="1773"/>
        <item x="19"/>
        <item x="153"/>
        <item x="154"/>
        <item x="155"/>
        <item x="156"/>
        <item x="1774"/>
        <item x="1775"/>
        <item x="1776"/>
        <item x="157"/>
        <item x="1777"/>
        <item x="1778"/>
        <item x="1779"/>
        <item x="1780"/>
        <item x="1781"/>
        <item x="1782"/>
        <item x="1783"/>
        <item x="1784"/>
        <item x="1785"/>
        <item x="1786"/>
        <item x="1787"/>
        <item x="1788"/>
        <item x="1789"/>
        <item x="158"/>
        <item x="1790"/>
        <item x="1791"/>
        <item x="1792"/>
        <item x="1793"/>
        <item x="1794"/>
        <item x="1795"/>
        <item x="1796"/>
        <item x="1797"/>
        <item x="1798"/>
        <item x="1799"/>
        <item x="1800"/>
        <item x="1801"/>
        <item x="1802"/>
        <item x="1803"/>
        <item x="1804"/>
        <item x="1805"/>
        <item x="1806"/>
        <item x="159"/>
        <item x="160"/>
        <item x="161"/>
        <item x="162"/>
        <item x="1807"/>
        <item x="1808"/>
        <item x="163"/>
        <item x="1809"/>
        <item x="1810"/>
        <item x="1811"/>
        <item x="1812"/>
        <item x="1813"/>
        <item x="1814"/>
        <item x="1815"/>
        <item x="1816"/>
        <item x="1817"/>
        <item x="1818"/>
        <item x="1819"/>
        <item x="1820"/>
        <item x="1821"/>
        <item x="1822"/>
        <item x="1823"/>
        <item x="1824"/>
        <item x="1825"/>
        <item x="1826"/>
        <item x="1827"/>
        <item x="164"/>
        <item x="1828"/>
        <item x="165"/>
        <item x="166"/>
        <item x="1829"/>
        <item x="1830"/>
        <item x="1831"/>
        <item x="1832"/>
        <item x="1833"/>
        <item x="20"/>
        <item x="167"/>
        <item x="1834"/>
        <item x="1835"/>
        <item x="1836"/>
        <item x="1837"/>
        <item x="168"/>
        <item x="169"/>
        <item x="1838"/>
        <item x="1839"/>
        <item x="1840"/>
        <item x="1841"/>
        <item x="1842"/>
        <item x="1843"/>
        <item x="1844"/>
        <item x="1845"/>
        <item x="1846"/>
        <item x="21"/>
        <item x="29"/>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70"/>
        <item x="22"/>
        <item x="171"/>
        <item x="1873"/>
        <item x="172"/>
        <item x="1874"/>
        <item x="1875"/>
        <item x="1876"/>
        <item x="1877"/>
        <item x="1878"/>
        <item x="1879"/>
        <item x="1880"/>
        <item x="1881"/>
        <item x="1882"/>
        <item x="1883"/>
        <item x="1884"/>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No WhatsAp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t="default"/>
      </items>
    </pivotField>
    <pivotField name="Verified" compact="0" outline="0" multipleItemSelectionAllowed="1" showAll="0">
      <items>
        <item x="0"/>
        <item x="1"/>
        <item t="default"/>
      </items>
    </pivotField>
    <pivotField name="Nama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t="default"/>
      </items>
    </pivotField>
    <pivotField name="Email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No Telepon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t="default"/>
      </items>
    </pivotField>
    <pivotField name="NI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t="default"/>
      </items>
    </pivotField>
    <pivotField name="NK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Alam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s>
  <rowFields>
    <field x="2"/>
  </rowFields>
  <dataFields>
    <dataField name="Jumlah Peran" fld="1" subtotal="count" baseField="0"/>
  </dataFields>
</pivotTableDefinition>
</file>

<file path=xl/pivotTables/pivotTable2.xml><?xml version="1.0" encoding="utf-8"?>
<pivotTableDefinition xmlns="http://schemas.openxmlformats.org/spreadsheetml/2006/main" name="Pivot Table Email" cacheId="0" dataCaption="" compact="0" compactData="0">
  <location ref="A1:B139" firstHeaderRow="0" firstDataRow="1" firstDataCol="0"/>
  <pivotFields>
    <pivotField name="Accou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t="default"/>
      </items>
    </pivotField>
    <pivotField name="Peran" dataField="1" compact="0" outline="0" multipleItemSelectionAllowed="1" showAll="0">
      <items>
        <item x="0"/>
        <item x="1"/>
        <item x="2"/>
        <item x="3"/>
        <item x="4"/>
        <item x="5"/>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t="default"/>
      </items>
    </pivotField>
    <pivotField name="Email" axis="axisRow" compact="0" outline="0" multipleItemSelectionAllowed="1" showAll="0" sortType="ascending">
      <items>
        <item x="33"/>
        <item x="132"/>
        <item x="34"/>
        <item x="3"/>
        <item x="36"/>
        <item x="29"/>
        <item x="38"/>
        <item x="21"/>
        <item x="99"/>
        <item x="40"/>
        <item x="37"/>
        <item x="41"/>
        <item x="117"/>
        <item x="130"/>
        <item x="6"/>
        <item x="16"/>
        <item x="4"/>
        <item x="5"/>
        <item x="70"/>
        <item x="2"/>
        <item x="10"/>
        <item x="17"/>
        <item x="19"/>
        <item x="103"/>
        <item x="62"/>
        <item x="43"/>
        <item x="44"/>
        <item x="45"/>
        <item x="118"/>
        <item x="46"/>
        <item x="47"/>
        <item x="50"/>
        <item x="49"/>
        <item x="7"/>
        <item x="51"/>
        <item x="52"/>
        <item x="121"/>
        <item x="53"/>
        <item x="122"/>
        <item x="123"/>
        <item x="54"/>
        <item x="25"/>
        <item x="55"/>
        <item x="56"/>
        <item x="57"/>
        <item x="58"/>
        <item x="24"/>
        <item x="63"/>
        <item x="59"/>
        <item x="129"/>
        <item x="9"/>
        <item x="60"/>
        <item x="61"/>
        <item x="64"/>
        <item x="26"/>
        <item x="30"/>
        <item x="98"/>
        <item x="1"/>
        <item x="120"/>
        <item x="66"/>
        <item x="65"/>
        <item x="0"/>
        <item x="23"/>
        <item x="67"/>
        <item x="81"/>
        <item x="68"/>
        <item x="124"/>
        <item x="32"/>
        <item x="74"/>
        <item x="69"/>
        <item x="12"/>
        <item x="71"/>
        <item x="73"/>
        <item x="112"/>
        <item x="31"/>
        <item x="88"/>
        <item x="125"/>
        <item x="48"/>
        <item x="92"/>
        <item x="119"/>
        <item x="126"/>
        <item x="116"/>
        <item x="76"/>
        <item x="11"/>
        <item x="77"/>
        <item x="27"/>
        <item x="78"/>
        <item x="115"/>
        <item x="8"/>
        <item x="28"/>
        <item x="80"/>
        <item x="82"/>
        <item x="13"/>
        <item x="22"/>
        <item x="113"/>
        <item x="127"/>
        <item x="84"/>
        <item x="85"/>
        <item x="128"/>
        <item x="86"/>
        <item x="91"/>
        <item x="87"/>
        <item x="14"/>
        <item x="89"/>
        <item x="15"/>
        <item x="90"/>
        <item x="72"/>
        <item x="95"/>
        <item x="93"/>
        <item x="94"/>
        <item x="96"/>
        <item x="131"/>
        <item x="133"/>
        <item x="134"/>
        <item x="101"/>
        <item x="39"/>
        <item x="102"/>
        <item x="83"/>
        <item x="104"/>
        <item x="18"/>
        <item x="42"/>
        <item x="35"/>
        <item x="97"/>
        <item x="106"/>
        <item x="105"/>
        <item x="108"/>
        <item x="107"/>
        <item x="100"/>
        <item x="20"/>
        <item x="79"/>
        <item x="110"/>
        <item x="111"/>
        <item x="109"/>
        <item x="75"/>
        <item x="135"/>
        <item x="114"/>
        <item x="136"/>
        <item t="default"/>
      </items>
    </pivotField>
    <pivotField name="No WhatsAp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t="default"/>
      </items>
    </pivotField>
    <pivotField name="Verified" compact="0" outline="0" multipleItemSelectionAllowed="1" showAll="0">
      <items>
        <item x="0"/>
        <item x="1"/>
        <item t="default"/>
      </items>
    </pivotField>
    <pivotField name="Nama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t="default"/>
      </items>
    </pivotField>
    <pivotField name="Email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No Telepon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t="default"/>
      </items>
    </pivotField>
    <pivotField name="NI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t="default"/>
      </items>
    </pivotField>
    <pivotField name="NK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Alam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s>
  <rowFields>
    <field x="3"/>
  </rowFields>
  <dataFields>
    <dataField name="Jumlah Peran" fld="1" subtotal="count" baseField="0"/>
  </dataFields>
</pivotTableDefinition>
</file>

<file path=xl/pivotTables/pivotTable3.xml><?xml version="1.0" encoding="utf-8"?>
<pivotTableDefinition xmlns="http://schemas.openxmlformats.org/spreadsheetml/2006/main" name="Pivot Table WhatsApp" cacheId="0" dataCaption="" compact="0" compactData="0">
  <location ref="A1:B1070" firstHeaderRow="0" firstDataRow="1" firstDataCol="0"/>
  <pivotFields>
    <pivotField name="Accou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t="default"/>
      </items>
    </pivotField>
    <pivotField name="Peran" dataField="1" compact="0" outline="0" multipleItemSelectionAllowed="1" showAll="0">
      <items>
        <item x="0"/>
        <item x="1"/>
        <item x="2"/>
        <item x="3"/>
        <item x="4"/>
        <item x="5"/>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No WhatsApp" axis="axisRow" compact="0" outline="0" multipleItemSelectionAllowed="1" showAll="0" sortType="ascending">
      <items>
        <item x="165"/>
        <item x="624"/>
        <item x="168"/>
        <item x="159"/>
        <item x="184"/>
        <item x="717"/>
        <item x="80"/>
        <item x="529"/>
        <item x="411"/>
        <item x="107"/>
        <item x="601"/>
        <item x="1060"/>
        <item x="324"/>
        <item x="122"/>
        <item x="853"/>
        <item x="730"/>
        <item x="948"/>
        <item x="102"/>
        <item x="42"/>
        <item x="854"/>
        <item x="463"/>
        <item x="922"/>
        <item x="900"/>
        <item x="1051"/>
        <item x="13"/>
        <item x="81"/>
        <item x="145"/>
        <item x="141"/>
        <item x="628"/>
        <item x="595"/>
        <item x="410"/>
        <item x="858"/>
        <item x="729"/>
        <item x="419"/>
        <item x="151"/>
        <item x="590"/>
        <item x="701"/>
        <item x="1039"/>
        <item x="390"/>
        <item x="711"/>
        <item x="134"/>
        <item x="247"/>
        <item x="765"/>
        <item x="0"/>
        <item x="571"/>
        <item x="412"/>
        <item x="282"/>
        <item x="37"/>
        <item x="57"/>
        <item x="78"/>
        <item x="65"/>
        <item x="824"/>
        <item x="490"/>
        <item x="417"/>
        <item x="505"/>
        <item x="883"/>
        <item x="1018"/>
        <item x="779"/>
        <item x="667"/>
        <item x="46"/>
        <item x="866"/>
        <item x="360"/>
        <item x="504"/>
        <item x="947"/>
        <item x="664"/>
        <item x="784"/>
        <item x="488"/>
        <item x="908"/>
        <item x="402"/>
        <item x="158"/>
        <item x="694"/>
        <item x="833"/>
        <item x="1031"/>
        <item x="275"/>
        <item x="849"/>
        <item x="998"/>
        <item x="563"/>
        <item x="726"/>
        <item x="224"/>
        <item x="253"/>
        <item x="1028"/>
        <item x="553"/>
        <item x="897"/>
        <item x="469"/>
        <item x="227"/>
        <item x="234"/>
        <item x="12"/>
        <item x="108"/>
        <item x="94"/>
        <item x="725"/>
        <item x="954"/>
        <item x="951"/>
        <item x="118"/>
        <item x="904"/>
        <item x="614"/>
        <item x="869"/>
        <item x="870"/>
        <item x="888"/>
        <item x="288"/>
        <item x="760"/>
        <item x="827"/>
        <item x="859"/>
        <item x="1016"/>
        <item x="74"/>
        <item x="884"/>
        <item x="189"/>
        <item x="655"/>
        <item x="685"/>
        <item x="477"/>
        <item x="311"/>
        <item x="592"/>
        <item x="356"/>
        <item x="1022"/>
        <item x="736"/>
        <item x="657"/>
        <item x="791"/>
        <item x="977"/>
        <item x="848"/>
        <item x="899"/>
        <item x="54"/>
        <item x="534"/>
        <item x="23"/>
        <item x="135"/>
        <item x="26"/>
        <item x="867"/>
        <item x="31"/>
        <item x="157"/>
        <item x="83"/>
        <item x="878"/>
        <item x="39"/>
        <item x="943"/>
        <item x="367"/>
        <item x="782"/>
        <item x="993"/>
        <item x="925"/>
        <item x="542"/>
        <item x="1009"/>
        <item x="633"/>
        <item x="213"/>
        <item x="759"/>
        <item x="559"/>
        <item x="374"/>
        <item x="630"/>
        <item x="452"/>
        <item x="25"/>
        <item x="835"/>
        <item x="618"/>
        <item x="1046"/>
        <item x="645"/>
        <item x="591"/>
        <item x="239"/>
        <item x="638"/>
        <item x="637"/>
        <item x="895"/>
        <item x="727"/>
        <item x="879"/>
        <item x="1032"/>
        <item x="199"/>
        <item x="1004"/>
        <item x="562"/>
        <item x="344"/>
        <item x="748"/>
        <item x="336"/>
        <item x="841"/>
        <item x="445"/>
        <item x="915"/>
        <item x="257"/>
        <item x="114"/>
        <item x="245"/>
        <item x="348"/>
        <item x="371"/>
        <item x="90"/>
        <item x="395"/>
        <item x="350"/>
        <item x="186"/>
        <item x="457"/>
        <item x="712"/>
        <item x="382"/>
        <item x="235"/>
        <item x="1000"/>
        <item x="258"/>
        <item x="1035"/>
        <item x="855"/>
        <item x="95"/>
        <item x="44"/>
        <item x="192"/>
        <item x="399"/>
        <item x="840"/>
        <item x="572"/>
        <item x="409"/>
        <item x="246"/>
        <item x="345"/>
        <item x="577"/>
        <item x="48"/>
        <item x="351"/>
        <item x="60"/>
        <item x="646"/>
        <item x="843"/>
        <item x="17"/>
        <item x="185"/>
        <item x="795"/>
        <item x="35"/>
        <item x="244"/>
        <item x="129"/>
        <item x="560"/>
        <item x="1059"/>
        <item x="576"/>
        <item x="909"/>
        <item x="862"/>
        <item x="85"/>
        <item x="297"/>
        <item x="220"/>
        <item x="71"/>
        <item x="755"/>
        <item x="179"/>
        <item x="790"/>
        <item x="207"/>
        <item x="764"/>
        <item x="333"/>
        <item x="905"/>
        <item x="845"/>
        <item x="1050"/>
        <item x="683"/>
        <item x="990"/>
        <item x="801"/>
        <item x="671"/>
        <item x="242"/>
        <item x="482"/>
        <item x="480"/>
        <item x="278"/>
        <item x="785"/>
        <item x="212"/>
        <item x="265"/>
        <item x="64"/>
        <item x="284"/>
        <item x="693"/>
        <item x="501"/>
        <item x="1026"/>
        <item x="100"/>
        <item x="749"/>
        <item x="79"/>
        <item x="679"/>
        <item x="811"/>
        <item x="753"/>
        <item x="361"/>
        <item x="794"/>
        <item x="861"/>
        <item x="850"/>
        <item x="32"/>
        <item x="70"/>
        <item x="294"/>
        <item x="398"/>
        <item x="923"/>
        <item x="621"/>
        <item x="304"/>
        <item x="1044"/>
        <item x="844"/>
        <item x="863"/>
        <item x="1007"/>
        <item x="407"/>
        <item x="376"/>
        <item x="522"/>
        <item x="478"/>
        <item x="526"/>
        <item x="699"/>
        <item x="496"/>
        <item x="193"/>
        <item x="548"/>
        <item x="518"/>
        <item x="183"/>
        <item x="623"/>
        <item x="366"/>
        <item x="250"/>
        <item x="58"/>
        <item x="321"/>
        <item x="742"/>
        <item x="262"/>
        <item x="524"/>
        <item x="588"/>
        <item x="355"/>
        <item x="952"/>
        <item x="331"/>
        <item x="871"/>
        <item x="589"/>
        <item x="981"/>
        <item x="660"/>
        <item x="326"/>
        <item x="988"/>
        <item x="881"/>
        <item x="375"/>
        <item x="346"/>
        <item x="906"/>
        <item x="806"/>
        <item x="61"/>
        <item x="892"/>
        <item x="566"/>
        <item x="266"/>
        <item x="205"/>
        <item x="143"/>
        <item x="652"/>
        <item x="429"/>
        <item x="818"/>
        <item x="232"/>
        <item x="1043"/>
        <item x="820"/>
        <item x="148"/>
        <item x="372"/>
        <item x="1029"/>
        <item x="890"/>
        <item x="668"/>
        <item x="318"/>
        <item x="927"/>
        <item x="670"/>
        <item x="497"/>
        <item x="201"/>
        <item x="467"/>
        <item x="349"/>
        <item x="746"/>
        <item x="902"/>
        <item x="155"/>
        <item x="441"/>
        <item x="489"/>
        <item x="352"/>
        <item x="215"/>
        <item x="772"/>
        <item x="740"/>
        <item x="389"/>
        <item x="705"/>
        <item x="486"/>
        <item x="45"/>
        <item x="787"/>
        <item x="739"/>
        <item x="101"/>
        <item x="837"/>
        <item x="619"/>
        <item x="384"/>
        <item x="233"/>
        <item x="656"/>
        <item x="839"/>
        <item x="438"/>
        <item x="149"/>
        <item x="483"/>
        <item x="52"/>
        <item x="549"/>
        <item x="136"/>
        <item x="653"/>
        <item x="252"/>
        <item x="851"/>
        <item x="1001"/>
        <item x="887"/>
        <item x="255"/>
        <item x="202"/>
        <item x="826"/>
        <item x="261"/>
        <item x="774"/>
        <item x="935"/>
        <item x="125"/>
        <item x="894"/>
        <item x="649"/>
        <item x="507"/>
        <item x="473"/>
        <item x="838"/>
        <item x="600"/>
        <item x="978"/>
        <item x="130"/>
        <item x="966"/>
        <item x="632"/>
        <item x="173"/>
        <item x="536"/>
        <item x="208"/>
        <item x="1064"/>
        <item x="206"/>
        <item x="276"/>
        <item x="763"/>
        <item x="307"/>
        <item x="450"/>
        <item x="408"/>
        <item x="492"/>
        <item x="270"/>
        <item x="607"/>
        <item x="651"/>
        <item x="771"/>
        <item x="171"/>
        <item x="1030"/>
        <item x="950"/>
        <item x="160"/>
        <item x="722"/>
        <item x="758"/>
        <item x="945"/>
        <item x="458"/>
        <item x="166"/>
        <item x="847"/>
        <item x="700"/>
        <item x="1054"/>
        <item x="50"/>
        <item x="19"/>
        <item x="783"/>
        <item x="1066"/>
        <item x="557"/>
        <item x="1012"/>
        <item x="84"/>
        <item x="269"/>
        <item x="420"/>
        <item x="533"/>
        <item x="423"/>
        <item x="741"/>
        <item x="692"/>
        <item x="956"/>
        <item x="63"/>
        <item x="152"/>
        <item x="476"/>
        <item x="932"/>
        <item x="579"/>
        <item x="161"/>
        <item x="786"/>
        <item x="797"/>
        <item x="1027"/>
        <item x="704"/>
        <item x="75"/>
        <item x="593"/>
        <item x="495"/>
        <item x="323"/>
        <item x="448"/>
        <item x="449"/>
        <item x="73"/>
        <item x="209"/>
        <item x="89"/>
        <item x="475"/>
        <item x="88"/>
        <item x="21"/>
        <item x="190"/>
        <item x="99"/>
        <item x="604"/>
        <item x="195"/>
        <item x="1025"/>
        <item x="938"/>
        <item x="219"/>
        <item x="734"/>
        <item x="631"/>
        <item x="82"/>
        <item x="974"/>
        <item x="413"/>
        <item x="337"/>
        <item x="431"/>
        <item x="77"/>
        <item x="989"/>
        <item x="53"/>
        <item x="272"/>
        <item x="127"/>
        <item x="194"/>
        <item x="598"/>
        <item x="221"/>
        <item x="720"/>
        <item x="928"/>
        <item x="907"/>
        <item x="564"/>
        <item x="328"/>
        <item x="286"/>
        <item x="747"/>
        <item x="470"/>
        <item x="710"/>
        <item x="798"/>
        <item x="535"/>
        <item x="546"/>
        <item x="271"/>
        <item x="133"/>
        <item x="229"/>
        <item x="716"/>
        <item x="697"/>
        <item x="703"/>
        <item x="540"/>
        <item x="237"/>
        <item x="325"/>
        <item x="666"/>
        <item x="846"/>
        <item x="339"/>
        <item x="808"/>
        <item x="332"/>
        <item x="178"/>
        <item x="378"/>
        <item x="456"/>
        <item x="832"/>
        <item x="793"/>
        <item x="921"/>
        <item x="115"/>
        <item x="150"/>
        <item x="66"/>
        <item x="1013"/>
        <item x="635"/>
        <item x="979"/>
        <item x="698"/>
        <item x="733"/>
        <item x="596"/>
        <item x="606"/>
        <item x="1036"/>
        <item x="403"/>
        <item x="972"/>
        <item x="137"/>
        <item x="969"/>
        <item x="111"/>
        <item x="1056"/>
        <item x="7"/>
        <item x="965"/>
        <item x="153"/>
        <item x="6"/>
        <item x="634"/>
        <item x="341"/>
        <item x="228"/>
        <item x="393"/>
        <item x="506"/>
        <item x="799"/>
        <item x="929"/>
        <item x="659"/>
        <item x="674"/>
        <item x="814"/>
        <item x="1049"/>
        <item x="1038"/>
        <item x="792"/>
        <item x="586"/>
        <item x="940"/>
        <item x="958"/>
        <item x="602"/>
        <item x="809"/>
        <item x="421"/>
        <item x="69"/>
        <item x="724"/>
        <item x="865"/>
        <item x="554"/>
        <item x="663"/>
        <item x="718"/>
        <item x="8"/>
        <item x="498"/>
        <item x="613"/>
        <item x="335"/>
        <item x="612"/>
        <item x="103"/>
        <item x="874"/>
        <item x="828"/>
        <item x="994"/>
        <item x="689"/>
        <item x="616"/>
        <item x="425"/>
        <item x="508"/>
        <item x="243"/>
        <item x="169"/>
        <item x="822"/>
        <item x="248"/>
        <item x="946"/>
        <item x="686"/>
        <item x="117"/>
        <item x="392"/>
        <item x="913"/>
        <item x="139"/>
        <item x="30"/>
        <item x="1020"/>
        <item x="933"/>
        <item x="605"/>
        <item x="131"/>
        <item x="903"/>
        <item x="291"/>
        <item x="834"/>
        <item x="521"/>
        <item x="203"/>
        <item x="465"/>
        <item x="647"/>
        <item x="1047"/>
        <item x="370"/>
        <item x="357"/>
        <item x="715"/>
        <item x="1042"/>
        <item x="462"/>
        <item x="684"/>
        <item x="422"/>
        <item x="676"/>
        <item x="555"/>
        <item x="493"/>
        <item x="400"/>
        <item x="240"/>
        <item x="62"/>
        <item x="241"/>
        <item x="317"/>
        <item x="440"/>
        <item x="961"/>
        <item x="474"/>
        <item x="43"/>
        <item x="424"/>
        <item x="515"/>
        <item x="487"/>
        <item x="503"/>
        <item x="142"/>
        <item x="256"/>
        <item x="293"/>
        <item x="852"/>
        <item x="447"/>
        <item x="594"/>
        <item x="1006"/>
        <item x="525"/>
        <item x="584"/>
        <item x="305"/>
        <item x="41"/>
        <item x="59"/>
        <item x="770"/>
        <item x="210"/>
        <item x="301"/>
        <item x="197"/>
        <item x="267"/>
        <item x="468"/>
        <item x="585"/>
        <item x="112"/>
        <item x="132"/>
        <item x="67"/>
        <item x="509"/>
        <item x="126"/>
        <item x="898"/>
        <item x="283"/>
        <item x="191"/>
        <item x="980"/>
        <item x="973"/>
        <item x="882"/>
        <item x="181"/>
        <item x="731"/>
        <item x="363"/>
        <item x="1057"/>
        <item x="984"/>
        <item x="825"/>
        <item x="893"/>
        <item x="120"/>
        <item x="528"/>
        <item x="570"/>
        <item x="116"/>
        <item x="681"/>
        <item x="911"/>
        <item x="541"/>
        <item x="580"/>
        <item x="377"/>
        <item x="222"/>
        <item x="343"/>
        <item x="662"/>
        <item x="329"/>
        <item x="358"/>
        <item x="180"/>
        <item x="669"/>
        <item x="880"/>
        <item x="466"/>
        <item x="615"/>
        <item x="394"/>
        <item x="1055"/>
        <item x="547"/>
        <item x="18"/>
        <item x="290"/>
        <item x="719"/>
        <item x="565"/>
        <item x="776"/>
        <item x="167"/>
        <item x="1008"/>
        <item x="251"/>
        <item x="238"/>
        <item x="15"/>
        <item x="484"/>
        <item x="788"/>
        <item x="434"/>
        <item x="147"/>
        <item x="405"/>
        <item x="810"/>
        <item x="1011"/>
        <item x="511"/>
        <item x="211"/>
        <item x="383"/>
        <item x="569"/>
        <item x="813"/>
        <item x="430"/>
        <item x="707"/>
        <item x="780"/>
        <item x="175"/>
        <item x="225"/>
        <item x="939"/>
        <item x="1062"/>
        <item x="864"/>
        <item x="761"/>
        <item x="842"/>
        <item x="538"/>
        <item x="796"/>
        <item x="567"/>
        <item x="86"/>
        <item x="1021"/>
        <item x="732"/>
        <item x="295"/>
        <item x="583"/>
        <item x="164"/>
        <item x="931"/>
        <item x="573"/>
        <item x="14"/>
        <item x="537"/>
        <item x="597"/>
        <item x="543"/>
        <item x="728"/>
        <item x="744"/>
        <item x="386"/>
        <item x="300"/>
        <item x="622"/>
        <item x="802"/>
        <item x="223"/>
        <item x="625"/>
        <item x="1014"/>
        <item x="427"/>
        <item x="723"/>
        <item x="277"/>
        <item x="200"/>
        <item x="464"/>
        <item x="713"/>
        <item x="756"/>
        <item x="56"/>
        <item x="347"/>
        <item x="1067"/>
        <item x="551"/>
        <item x="568"/>
        <item x="558"/>
        <item x="519"/>
        <item x="381"/>
        <item x="436"/>
        <item x="1015"/>
        <item x="289"/>
        <item x="934"/>
        <item x="338"/>
        <item x="104"/>
        <item x="249"/>
        <item x="626"/>
        <item x="391"/>
        <item x="752"/>
        <item x="1037"/>
        <item x="757"/>
        <item x="738"/>
        <item x="944"/>
        <item x="750"/>
        <item x="1052"/>
        <item x="334"/>
        <item x="1041"/>
        <item x="877"/>
        <item x="816"/>
        <item x="575"/>
        <item x="959"/>
        <item x="379"/>
        <item x="280"/>
        <item x="385"/>
        <item x="561"/>
        <item x="886"/>
        <item x="459"/>
        <item x="1003"/>
        <item x="1002"/>
        <item x="896"/>
        <item x="406"/>
        <item x="512"/>
        <item x="188"/>
        <item x="198"/>
        <item x="418"/>
        <item x="817"/>
        <item x="454"/>
        <item x="481"/>
        <item x="1040"/>
        <item x="359"/>
        <item x="766"/>
        <item x="342"/>
        <item x="274"/>
        <item x="416"/>
        <item x="55"/>
        <item x="1023"/>
        <item x="702"/>
        <item x="930"/>
        <item x="807"/>
        <item x="494"/>
        <item x="1024"/>
        <item x="264"/>
        <item x="982"/>
        <item x="995"/>
        <item x="121"/>
        <item x="530"/>
        <item x="687"/>
        <item x="485"/>
        <item x="380"/>
        <item x="479"/>
        <item x="138"/>
        <item x="1058"/>
        <item x="72"/>
        <item x="156"/>
        <item x="216"/>
        <item x="527"/>
        <item x="574"/>
        <item x="582"/>
        <item x="414"/>
        <item x="876"/>
        <item x="364"/>
        <item x="514"/>
        <item x="369"/>
        <item x="821"/>
        <item x="230"/>
        <item x="231"/>
        <item x="953"/>
        <item x="40"/>
        <item x="144"/>
        <item x="187"/>
        <item x="610"/>
        <item x="124"/>
        <item x="955"/>
        <item x="603"/>
        <item x="926"/>
        <item x="404"/>
        <item x="170"/>
        <item x="1053"/>
        <item x="471"/>
        <item x="93"/>
        <item x="919"/>
        <item x="36"/>
        <item x="709"/>
        <item x="174"/>
        <item x="162"/>
        <item x="204"/>
        <item x="629"/>
        <item x="460"/>
        <item x="986"/>
        <item x="1063"/>
        <item x="365"/>
        <item x="987"/>
        <item x="298"/>
        <item x="316"/>
        <item x="985"/>
        <item x="971"/>
        <item x="789"/>
        <item x="996"/>
        <item x="330"/>
        <item x="176"/>
        <item x="310"/>
        <item x="968"/>
        <item x="691"/>
        <item x="299"/>
        <item x="281"/>
        <item x="620"/>
        <item x="831"/>
        <item x="644"/>
        <item x="539"/>
        <item x="91"/>
        <item x="396"/>
        <item x="695"/>
        <item x="439"/>
        <item x="68"/>
        <item x="368"/>
        <item x="415"/>
        <item x="648"/>
        <item x="388"/>
        <item x="1048"/>
        <item x="627"/>
        <item x="260"/>
        <item x="599"/>
        <item x="688"/>
        <item x="435"/>
        <item x="936"/>
        <item x="678"/>
        <item x="677"/>
        <item x="306"/>
        <item x="531"/>
        <item x="516"/>
        <item x="1019"/>
        <item x="654"/>
        <item x="544"/>
        <item x="453"/>
        <item x="819"/>
        <item x="642"/>
        <item x="823"/>
        <item x="643"/>
        <item x="2"/>
        <item x="781"/>
        <item x="444"/>
        <item x="287"/>
        <item x="963"/>
        <item x="960"/>
        <item x="860"/>
        <item x="433"/>
        <item x="172"/>
        <item x="957"/>
        <item x="885"/>
        <item x="611"/>
        <item x="437"/>
        <item x="937"/>
        <item x="924"/>
        <item x="285"/>
        <item x="901"/>
        <item x="581"/>
        <item x="775"/>
        <item x="829"/>
        <item x="154"/>
        <item x="373"/>
        <item x="777"/>
        <item x="836"/>
        <item x="520"/>
        <item x="502"/>
        <item x="587"/>
        <item x="975"/>
        <item x="1"/>
        <item x="5"/>
        <item x="640"/>
        <item x="1065"/>
        <item x="891"/>
        <item x="309"/>
        <item x="690"/>
        <item x="550"/>
        <item x="762"/>
        <item x="303"/>
        <item x="33"/>
        <item x="312"/>
        <item x="949"/>
        <item x="873"/>
        <item x="76"/>
        <item x="941"/>
        <item x="1061"/>
        <item x="706"/>
        <item x="340"/>
        <item x="517"/>
        <item x="314"/>
        <item x="672"/>
        <item x="868"/>
        <item x="917"/>
        <item x="177"/>
        <item x="226"/>
        <item x="680"/>
        <item x="999"/>
        <item x="552"/>
        <item x="608"/>
        <item x="182"/>
        <item x="16"/>
        <item x="500"/>
        <item x="432"/>
        <item x="1005"/>
        <item x="254"/>
        <item x="98"/>
        <item x="696"/>
        <item x="461"/>
        <item x="805"/>
        <item x="769"/>
        <item x="308"/>
        <item x="428"/>
        <item x="1045"/>
        <item x="49"/>
        <item x="773"/>
        <item x="967"/>
        <item x="875"/>
        <item x="889"/>
        <item x="708"/>
        <item x="523"/>
        <item x="51"/>
        <item x="964"/>
        <item x="510"/>
        <item x="578"/>
        <item x="617"/>
        <item x="856"/>
        <item x="804"/>
        <item x="105"/>
        <item x="320"/>
        <item x="292"/>
        <item x="268"/>
        <item x="9"/>
        <item x="387"/>
        <item x="327"/>
        <item x="426"/>
        <item x="214"/>
        <item x="976"/>
        <item x="920"/>
        <item x="499"/>
        <item x="218"/>
        <item x="313"/>
        <item x="918"/>
        <item x="140"/>
        <item x="942"/>
        <item x="743"/>
        <item x="451"/>
        <item x="673"/>
        <item x="455"/>
        <item x="1034"/>
        <item x="714"/>
        <item x="315"/>
        <item x="545"/>
        <item x="443"/>
        <item x="857"/>
        <item x="296"/>
        <item x="446"/>
        <item x="912"/>
        <item x="22"/>
        <item x="916"/>
        <item x="1010"/>
        <item x="146"/>
        <item x="513"/>
        <item x="641"/>
        <item x="803"/>
        <item x="319"/>
        <item x="768"/>
        <item x="273"/>
        <item x="123"/>
        <item x="721"/>
        <item x="34"/>
        <item x="217"/>
        <item x="119"/>
        <item x="97"/>
        <item x="636"/>
        <item x="279"/>
        <item x="682"/>
        <item x="556"/>
        <item x="302"/>
        <item x="236"/>
        <item x="815"/>
        <item x="263"/>
        <item x="163"/>
        <item x="970"/>
        <item x="778"/>
        <item x="650"/>
        <item x="812"/>
        <item x="354"/>
        <item x="38"/>
        <item x="4"/>
        <item x="910"/>
        <item x="962"/>
        <item x="983"/>
        <item x="442"/>
        <item x="353"/>
        <item x="800"/>
        <item x="3"/>
        <item x="754"/>
        <item x="96"/>
        <item x="1033"/>
        <item x="639"/>
        <item x="401"/>
        <item x="362"/>
        <item x="872"/>
        <item x="745"/>
        <item x="665"/>
        <item x="997"/>
        <item x="92"/>
        <item x="737"/>
        <item x="658"/>
        <item x="992"/>
        <item x="113"/>
        <item x="491"/>
        <item x="10"/>
        <item x="767"/>
        <item x="735"/>
        <item x="47"/>
        <item x="661"/>
        <item x="322"/>
        <item x="11"/>
        <item x="20"/>
        <item x="109"/>
        <item x="87"/>
        <item x="106"/>
        <item x="196"/>
        <item x="914"/>
        <item x="24"/>
        <item x="128"/>
        <item x="675"/>
        <item x="751"/>
        <item x="609"/>
        <item x="991"/>
        <item x="1017"/>
        <item x="27"/>
        <item x="110"/>
        <item x="532"/>
        <item x="830"/>
        <item x="259"/>
        <item x="472"/>
        <item x="397"/>
        <item x="29"/>
        <item x="28"/>
        <item t="default"/>
      </items>
    </pivotField>
    <pivotField name="Verified" compact="0" outline="0" multipleItemSelectionAllowed="1" showAll="0">
      <items>
        <item x="0"/>
        <item x="1"/>
        <item t="default"/>
      </items>
    </pivotField>
    <pivotField name="Nama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t="default"/>
      </items>
    </pivotField>
    <pivotField name="Email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No Telepon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t="default"/>
      </items>
    </pivotField>
    <pivotField name="NI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t="default"/>
      </items>
    </pivotField>
    <pivotField name="NK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Alam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s>
  <rowFields>
    <field x="4"/>
  </rowFields>
  <dataFields>
    <dataField name="Jumlah Peran" fld="1" subtotal="count" baseField="0"/>
  </dataFields>
</pivotTableDefinition>
</file>

<file path=xl/pivotTables/pivotTable4.xml><?xml version="1.0" encoding="utf-8"?>
<pivotTableDefinition xmlns="http://schemas.openxmlformats.org/spreadsheetml/2006/main" name="Pivot Table NIK" cacheId="0" dataCaption="" compact="0" compactData="0">
  <location ref="A1:B2380" firstHeaderRow="0" firstDataRow="1" firstDataCol="0"/>
  <pivotFields>
    <pivotField name="Accou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t="default"/>
      </items>
    </pivotField>
    <pivotField name="Peran" dataField="1" compact="0" outline="0" multipleItemSelectionAllowed="1" showAll="0">
      <items>
        <item x="0"/>
        <item x="1"/>
        <item x="2"/>
        <item x="3"/>
        <item x="4"/>
        <item x="5"/>
        <item t="default"/>
      </items>
    </pivotField>
    <pivotField name="Na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No WhatsAp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t="default"/>
      </items>
    </pivotField>
    <pivotField name="Verified" compact="0" outline="0" multipleItemSelectionAllowed="1" showAll="0">
      <items>
        <item x="0"/>
        <item x="1"/>
        <item t="default"/>
      </items>
    </pivotField>
    <pivotField name="Nama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t="default"/>
      </items>
    </pivotField>
    <pivotField name="Email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No Telepon Referens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t="default"/>
      </items>
    </pivotField>
    <pivotField name="NIK" axis="axisRow" compact="0" outline="0" multipleItemSelectionAllowed="1" showAll="0" sortType="ascending">
      <items>
        <item x="25"/>
        <item x="1100"/>
        <item x="27"/>
        <item x="100"/>
        <item x="69"/>
        <item x="136"/>
        <item x="162"/>
        <item x="44"/>
        <item x="84"/>
        <item x="118"/>
        <item x="161"/>
        <item x="153"/>
        <item x="139"/>
        <item x="132"/>
        <item x="50"/>
        <item x="189"/>
        <item x="133"/>
        <item x="902"/>
        <item x="51"/>
        <item x="1331"/>
        <item x="195"/>
        <item x="876"/>
        <item x="916"/>
        <item x="2237"/>
        <item x="977"/>
        <item x="1395"/>
        <item x="130"/>
        <item x="1966"/>
        <item x="2287"/>
        <item x="2212"/>
        <item x="631"/>
        <item x="1442"/>
        <item x="1303"/>
        <item x="2104"/>
        <item x="1988"/>
        <item x="847"/>
        <item x="1802"/>
        <item x="778"/>
        <item x="418"/>
        <item x="552"/>
        <item x="1488"/>
        <item x="1075"/>
        <item x="569"/>
        <item x="423"/>
        <item x="1903"/>
        <item x="1766"/>
        <item x="790"/>
        <item x="606"/>
        <item x="646"/>
        <item x="1413"/>
        <item x="1554"/>
        <item x="1970"/>
        <item x="564"/>
        <item x="2030"/>
        <item x="1382"/>
        <item x="720"/>
        <item x="1912"/>
        <item x="1420"/>
        <item x="2022"/>
        <item x="913"/>
        <item x="1158"/>
        <item x="775"/>
        <item x="1513"/>
        <item x="1136"/>
        <item x="1963"/>
        <item x="598"/>
        <item x="129"/>
        <item x="23"/>
        <item x="97"/>
        <item x="119"/>
        <item x="686"/>
        <item x="1792"/>
        <item x="1230"/>
        <item x="30"/>
        <item x="149"/>
        <item x="95"/>
        <item x="125"/>
        <item x="48"/>
        <item x="86"/>
        <item x="145"/>
        <item x="179"/>
        <item x="187"/>
        <item x="143"/>
        <item x="81"/>
        <item x="77"/>
        <item x="138"/>
        <item x="90"/>
        <item x="155"/>
        <item x="165"/>
        <item x="47"/>
        <item x="177"/>
        <item x="109"/>
        <item x="164"/>
        <item x="93"/>
        <item x="128"/>
        <item x="117"/>
        <item x="79"/>
        <item x="181"/>
        <item x="127"/>
        <item x="110"/>
        <item x="122"/>
        <item x="156"/>
        <item x="150"/>
        <item x="178"/>
        <item x="114"/>
        <item x="134"/>
        <item x="146"/>
        <item x="76"/>
        <item x="123"/>
        <item x="98"/>
        <item x="99"/>
        <item x="148"/>
        <item x="74"/>
        <item x="72"/>
        <item x="64"/>
        <item x="170"/>
        <item x="62"/>
        <item x="152"/>
        <item x="157"/>
        <item x="185"/>
        <item x="175"/>
        <item x="182"/>
        <item x="67"/>
        <item x="66"/>
        <item x="42"/>
        <item x="56"/>
        <item x="169"/>
        <item x="144"/>
        <item x="12"/>
        <item x="103"/>
        <item x="141"/>
        <item x="188"/>
        <item x="171"/>
        <item x="173"/>
        <item x="40"/>
        <item x="35"/>
        <item x="147"/>
        <item x="116"/>
        <item x="142"/>
        <item x="37"/>
        <item x="87"/>
        <item x="121"/>
        <item x="91"/>
        <item x="89"/>
        <item x="176"/>
        <item x="46"/>
        <item x="180"/>
        <item x="186"/>
        <item x="120"/>
        <item x="73"/>
        <item x="102"/>
        <item x="52"/>
        <item x="39"/>
        <item x="108"/>
        <item x="111"/>
        <item x="160"/>
        <item x="172"/>
        <item x="83"/>
        <item x="105"/>
        <item x="92"/>
        <item x="70"/>
        <item x="71"/>
        <item x="54"/>
        <item x="43"/>
        <item x="104"/>
        <item x="163"/>
        <item x="82"/>
        <item x="60"/>
        <item x="57"/>
        <item x="183"/>
        <item x="112"/>
        <item x="36"/>
        <item x="29"/>
        <item x="137"/>
        <item x="65"/>
        <item x="34"/>
        <item x="61"/>
        <item x="80"/>
        <item x="31"/>
        <item x="107"/>
        <item x="59"/>
        <item x="32"/>
        <item x="75"/>
        <item x="45"/>
        <item x="96"/>
        <item x="140"/>
        <item x="63"/>
        <item x="85"/>
        <item x="41"/>
        <item x="78"/>
        <item x="38"/>
        <item x="131"/>
        <item x="115"/>
        <item x="184"/>
        <item x="53"/>
        <item x="94"/>
        <item x="167"/>
        <item x="166"/>
        <item x="135"/>
        <item x="601"/>
        <item x="1611"/>
        <item x="2249"/>
        <item x="1122"/>
        <item x="0"/>
        <item x="770"/>
        <item x="848"/>
        <item x="546"/>
        <item x="273"/>
        <item x="1625"/>
        <item x="925"/>
        <item x="839"/>
        <item x="202"/>
        <item x="275"/>
        <item x="260"/>
        <item x="1772"/>
        <item x="437"/>
        <item x="1060"/>
        <item x="1921"/>
        <item x="204"/>
        <item x="1361"/>
        <item x="26"/>
        <item x="49"/>
        <item x="158"/>
        <item x="113"/>
        <item x="559"/>
        <item x="28"/>
        <item x="889"/>
        <item x="20"/>
        <item x="853"/>
        <item x="1750"/>
        <item x="1120"/>
        <item x="1613"/>
        <item x="243"/>
        <item x="217"/>
        <item x="2052"/>
        <item x="349"/>
        <item x="1097"/>
        <item x="276"/>
        <item x="733"/>
        <item x="1213"/>
        <item x="623"/>
        <item x="922"/>
        <item x="1118"/>
        <item x="472"/>
        <item x="832"/>
        <item x="1179"/>
        <item x="924"/>
        <item x="858"/>
        <item x="919"/>
        <item x="752"/>
        <item x="1683"/>
        <item x="932"/>
        <item x="655"/>
        <item x="1736"/>
        <item x="302"/>
        <item x="1169"/>
        <item x="1125"/>
        <item x="1653"/>
        <item x="1454"/>
        <item x="1469"/>
        <item x="653"/>
        <item x="874"/>
        <item x="1407"/>
        <item x="844"/>
        <item x="1408"/>
        <item x="900"/>
        <item x="1393"/>
        <item x="1102"/>
        <item x="675"/>
        <item x="920"/>
        <item x="1427"/>
        <item x="68"/>
        <item x="955"/>
        <item x="563"/>
        <item x="1519"/>
        <item x="1101"/>
        <item x="313"/>
        <item x="841"/>
        <item x="555"/>
        <item x="295"/>
        <item x="1424"/>
        <item x="1649"/>
        <item x="490"/>
        <item x="1005"/>
        <item x="1124"/>
        <item x="660"/>
        <item x="314"/>
        <item x="923"/>
        <item x="1105"/>
        <item x="1267"/>
        <item x="1975"/>
        <item x="2165"/>
        <item x="371"/>
        <item x="827"/>
        <item x="678"/>
        <item x="284"/>
        <item x="578"/>
        <item x="1130"/>
        <item x="416"/>
        <item x="952"/>
        <item x="1078"/>
        <item x="1051"/>
        <item x="1481"/>
        <item x="1661"/>
        <item x="1171"/>
        <item x="854"/>
        <item x="406"/>
        <item x="1657"/>
        <item x="1954"/>
        <item x="412"/>
        <item x="1777"/>
        <item x="282"/>
        <item x="210"/>
        <item x="2255"/>
        <item x="411"/>
        <item x="1342"/>
        <item x="1983"/>
        <item x="814"/>
        <item x="281"/>
        <item x="950"/>
        <item x="516"/>
        <item x="254"/>
        <item x="466"/>
        <item x="835"/>
        <item x="765"/>
        <item x="319"/>
        <item x="722"/>
        <item x="936"/>
        <item x="753"/>
        <item x="399"/>
        <item x="2006"/>
        <item x="1646"/>
        <item x="523"/>
        <item x="940"/>
        <item x="1592"/>
        <item x="700"/>
        <item x="1049"/>
        <item x="322"/>
        <item x="1362"/>
        <item x="1159"/>
        <item x="2208"/>
        <item x="973"/>
        <item x="1322"/>
        <item x="1654"/>
        <item x="969"/>
        <item x="1632"/>
        <item x="1032"/>
        <item x="834"/>
        <item x="968"/>
        <item x="1041"/>
        <item x="1479"/>
        <item x="818"/>
        <item x="1317"/>
        <item x="1053"/>
        <item x="1313"/>
        <item x="1014"/>
        <item x="1320"/>
        <item x="784"/>
        <item x="2277"/>
        <item x="656"/>
        <item x="558"/>
        <item x="1883"/>
        <item x="971"/>
        <item x="1340"/>
        <item x="298"/>
        <item x="366"/>
        <item x="1335"/>
        <item x="435"/>
        <item x="2076"/>
        <item x="2090"/>
        <item x="1920"/>
        <item x="1503"/>
        <item x="2199"/>
        <item x="1853"/>
        <item x="488"/>
        <item x="1794"/>
        <item x="1770"/>
        <item x="1862"/>
        <item x="318"/>
        <item x="266"/>
        <item x="477"/>
        <item x="1548"/>
        <item x="1622"/>
        <item x="252"/>
        <item x="2098"/>
        <item x="2099"/>
        <item x="513"/>
        <item x="1209"/>
        <item x="1525"/>
        <item x="954"/>
        <item x="915"/>
        <item x="1164"/>
        <item x="1715"/>
        <item x="1455"/>
        <item x="1789"/>
        <item x="1844"/>
        <item x="356"/>
        <item x="1345"/>
        <item x="1062"/>
        <item x="1953"/>
        <item x="1973"/>
        <item x="551"/>
        <item x="1167"/>
        <item x="1218"/>
        <item x="193"/>
        <item x="1441"/>
        <item x="912"/>
        <item x="2263"/>
        <item x="571"/>
        <item x="355"/>
        <item x="1748"/>
        <item x="1818"/>
        <item x="2101"/>
        <item x="1439"/>
        <item x="1728"/>
        <item x="1852"/>
        <item x="1343"/>
        <item x="780"/>
        <item x="1583"/>
        <item x="533"/>
        <item x="1208"/>
        <item x="2120"/>
        <item x="1726"/>
        <item x="330"/>
        <item x="603"/>
        <item x="931"/>
        <item x="238"/>
        <item x="2122"/>
        <item x="1206"/>
        <item x="769"/>
        <item x="1145"/>
        <item x="980"/>
        <item x="532"/>
        <item x="574"/>
        <item x="1880"/>
        <item x="1035"/>
        <item x="911"/>
        <item x="1173"/>
        <item x="1494"/>
        <item x="1571"/>
        <item x="1981"/>
        <item x="1133"/>
        <item x="360"/>
        <item x="609"/>
        <item x="2258"/>
        <item x="1606"/>
        <item x="1063"/>
        <item x="250"/>
        <item x="846"/>
        <item x="390"/>
        <item x="1170"/>
        <item x="726"/>
        <item x="942"/>
        <item x="1765"/>
        <item x="1745"/>
        <item x="462"/>
        <item x="502"/>
        <item x="1717"/>
        <item x="1893"/>
        <item x="1246"/>
        <item x="240"/>
        <item x="1553"/>
        <item x="1573"/>
        <item x="2262"/>
        <item x="1223"/>
        <item x="434"/>
        <item x="652"/>
        <item x="1080"/>
        <item x="1318"/>
        <item x="542"/>
        <item x="654"/>
        <item x="1694"/>
        <item x="573"/>
        <item x="223"/>
        <item x="966"/>
        <item x="469"/>
        <item x="256"/>
        <item x="2325"/>
        <item x="257"/>
        <item x="303"/>
        <item x="630"/>
        <item x="1698"/>
        <item x="845"/>
        <item x="1658"/>
        <item x="208"/>
        <item x="336"/>
        <item x="975"/>
        <item x="719"/>
        <item x="367"/>
        <item x="429"/>
        <item x="917"/>
        <item x="575"/>
        <item x="626"/>
        <item x="1022"/>
        <item x="810"/>
        <item x="1440"/>
        <item x="2079"/>
        <item x="798"/>
        <item x="577"/>
        <item x="2108"/>
        <item x="1636"/>
        <item x="1128"/>
        <item x="445"/>
        <item x="1480"/>
        <item x="2242"/>
        <item x="997"/>
        <item x="404"/>
        <item x="961"/>
        <item x="424"/>
        <item x="704"/>
        <item x="425"/>
        <item x="701"/>
        <item x="440"/>
        <item x="1134"/>
        <item x="682"/>
        <item x="339"/>
        <item x="361"/>
        <item x="681"/>
        <item x="267"/>
        <item x="1674"/>
        <item x="2288"/>
        <item x="1798"/>
        <item x="473"/>
        <item x="1108"/>
        <item x="1200"/>
        <item x="2218"/>
        <item x="1064"/>
        <item x="907"/>
        <item x="718"/>
        <item x="1461"/>
        <item x="1643"/>
        <item x="522"/>
        <item x="315"/>
        <item x="1404"/>
        <item x="450"/>
        <item x="602"/>
        <item x="1489"/>
        <item x="306"/>
        <item x="1724"/>
        <item x="812"/>
        <item x="212"/>
        <item x="2166"/>
        <item x="1040"/>
        <item x="1556"/>
        <item x="270"/>
        <item x="1182"/>
        <item x="2209"/>
        <item x="2219"/>
        <item x="991"/>
        <item x="358"/>
        <item x="357"/>
        <item x="14"/>
        <item x="811"/>
        <item x="1017"/>
        <item x="782"/>
        <item x="764"/>
        <item x="1081"/>
        <item x="2267"/>
        <item x="946"/>
        <item x="458"/>
        <item x="1019"/>
        <item x="364"/>
        <item x="850"/>
        <item x="405"/>
        <item x="773"/>
        <item x="352"/>
        <item x="430"/>
        <item x="2142"/>
        <item x="2326"/>
        <item x="486"/>
        <item x="933"/>
        <item x="1668"/>
        <item x="728"/>
        <item x="930"/>
        <item x="1854"/>
        <item x="943"/>
        <item x="1453"/>
        <item x="949"/>
        <item x="1109"/>
        <item x="442"/>
        <item x="1207"/>
        <item x="2243"/>
        <item x="265"/>
        <item x="1165"/>
        <item x="269"/>
        <item x="1220"/>
        <item x="1538"/>
        <item x="1205"/>
        <item x="398"/>
        <item x="334"/>
        <item x="258"/>
        <item x="962"/>
        <item x="255"/>
        <item x="381"/>
        <item x="1258"/>
        <item x="249"/>
        <item x="2374"/>
        <item x="585"/>
        <item x="1186"/>
        <item x="2339"/>
        <item x="662"/>
        <item x="772"/>
        <item x="534"/>
        <item x="259"/>
        <item x="2300"/>
        <item x="1680"/>
        <item x="612"/>
        <item x="1094"/>
        <item x="2043"/>
        <item x="828"/>
        <item x="755"/>
        <item x="2264"/>
        <item x="1073"/>
        <item x="1196"/>
        <item x="1072"/>
        <item x="1234"/>
        <item x="436"/>
        <item x="1304"/>
        <item x="872"/>
        <item x="2230"/>
        <item x="881"/>
        <item x="1376"/>
        <item x="1057"/>
        <item x="1290"/>
        <item x="1154"/>
        <item x="657"/>
        <item x="791"/>
        <item x="1337"/>
        <item x="1306"/>
        <item x="1774"/>
        <item x="610"/>
        <item x="1224"/>
        <item x="663"/>
        <item x="1551"/>
        <item x="1663"/>
        <item x="869"/>
        <item x="1655"/>
        <item x="792"/>
        <item x="2116"/>
        <item x="1076"/>
        <item x="2279"/>
        <item x="1156"/>
        <item x="1579"/>
        <item x="2117"/>
        <item x="614"/>
        <item x="1434"/>
        <item x="727"/>
        <item x="484"/>
        <item x="1090"/>
        <item x="1232"/>
        <item x="873"/>
        <item x="871"/>
        <item x="993"/>
        <item x="659"/>
        <item x="2338"/>
        <item x="880"/>
        <item x="1456"/>
        <item x="512"/>
        <item x="777"/>
        <item x="1673"/>
        <item x="1272"/>
        <item x="1042"/>
        <item x="1004"/>
        <item x="863"/>
        <item x="751"/>
        <item x="921"/>
        <item x="1570"/>
        <item x="905"/>
        <item x="658"/>
        <item x="613"/>
        <item x="2281"/>
        <item x="2257"/>
        <item x="407"/>
        <item x="1744"/>
        <item x="2193"/>
        <item x="1021"/>
        <item x="439"/>
        <item x="1026"/>
        <item x="2322"/>
        <item x="2286"/>
        <item x="937"/>
        <item x="842"/>
        <item x="992"/>
        <item x="2250"/>
        <item x="233"/>
        <item x="2045"/>
        <item x="1647"/>
        <item x="1025"/>
        <item x="1091"/>
        <item x="2201"/>
        <item x="2240"/>
        <item x="198"/>
        <item x="287"/>
        <item x="124"/>
        <item x="2121"/>
        <item x="1860"/>
        <item x="1438"/>
        <item x="642"/>
        <item x="1544"/>
        <item x="687"/>
        <item x="508"/>
        <item x="545"/>
        <item x="2365"/>
        <item x="1546"/>
        <item x="2370"/>
        <item x="2360"/>
        <item x="1825"/>
        <item x="1799"/>
        <item x="1466"/>
        <item x="1634"/>
        <item x="2089"/>
        <item x="354"/>
        <item x="2304"/>
        <item x="2359"/>
        <item x="1470"/>
        <item x="859"/>
        <item x="2058"/>
        <item x="861"/>
        <item x="2073"/>
        <item x="369"/>
        <item x="1038"/>
        <item x="1942"/>
        <item x="483"/>
        <item x="1644"/>
        <item x="403"/>
        <item x="1444"/>
        <item x="447"/>
        <item x="1126"/>
        <item x="816"/>
        <item x="2309"/>
        <item x="1410"/>
        <item x="1418"/>
        <item x="1397"/>
        <item x="741"/>
        <item x="1257"/>
        <item x="1333"/>
        <item x="1462"/>
        <item x="999"/>
        <item x="1550"/>
        <item x="2015"/>
        <item x="1029"/>
        <item x="1815"/>
        <item x="1506"/>
        <item x="2160"/>
        <item x="836"/>
        <item x="456"/>
        <item x="335"/>
        <item x="2140"/>
        <item x="820"/>
        <item x="2356"/>
        <item x="1039"/>
        <item x="1926"/>
        <item x="2041"/>
        <item x="1011"/>
        <item x="2019"/>
        <item x="1024"/>
        <item x="1077"/>
        <item x="1990"/>
        <item x="1034"/>
        <item x="1714"/>
        <item x="368"/>
        <item x="2077"/>
        <item x="2248"/>
        <item x="1731"/>
        <item x="884"/>
        <item x="2234"/>
        <item x="1500"/>
        <item x="1848"/>
        <item x="935"/>
        <item x="1471"/>
        <item x="2050"/>
        <item x="2352"/>
        <item x="2275"/>
        <item x="870"/>
        <item x="1314"/>
        <item x="2238"/>
        <item x="536"/>
        <item x="1620"/>
        <item x="1760"/>
        <item x="866"/>
        <item x="948"/>
        <item x="2270"/>
        <item x="2363"/>
        <item x="524"/>
        <item x="1687"/>
        <item x="2136"/>
        <item x="2064"/>
        <item x="2156"/>
        <item x="1356"/>
        <item x="2127"/>
        <item x="1776"/>
        <item x="956"/>
        <item x="1922"/>
        <item x="608"/>
        <item x="1925"/>
        <item x="707"/>
        <item x="694"/>
        <item x="2055"/>
        <item x="1140"/>
        <item x="540"/>
        <item x="1398"/>
        <item x="1886"/>
        <item x="1325"/>
        <item x="294"/>
        <item x="666"/>
        <item x="2145"/>
        <item x="493"/>
        <item x="1319"/>
        <item x="986"/>
        <item x="1425"/>
        <item x="1997"/>
        <item x="1336"/>
        <item x="1618"/>
        <item x="1877"/>
        <item x="1847"/>
        <item x="1478"/>
        <item x="1327"/>
        <item x="1659"/>
        <item x="2236"/>
        <item x="2284"/>
        <item x="1841"/>
        <item x="1856"/>
        <item x="1174"/>
        <item x="1334"/>
        <item x="1370"/>
        <item x="1964"/>
        <item x="2299"/>
        <item x="802"/>
        <item x="1147"/>
        <item x="1465"/>
        <item x="8"/>
        <item x="1265"/>
        <item x="1955"/>
        <item x="2375"/>
        <item x="1052"/>
        <item x="1870"/>
        <item x="1709"/>
        <item x="213"/>
        <item x="1380"/>
        <item x="2035"/>
        <item x="1211"/>
        <item x="1682"/>
        <item x="1960"/>
        <item x="1801"/>
        <item x="475"/>
        <item x="1289"/>
        <item x="1947"/>
        <item x="1468"/>
        <item x="2178"/>
        <item x="735"/>
        <item x="1876"/>
        <item x="2179"/>
        <item x="2335"/>
        <item x="1817"/>
        <item x="1013"/>
        <item x="1472"/>
        <item x="947"/>
        <item x="2290"/>
        <item x="1872"/>
        <item x="1722"/>
        <item x="1552"/>
        <item x="1864"/>
        <item x="1093"/>
        <item x="2354"/>
        <item x="2037"/>
        <item x="543"/>
        <item x="2214"/>
        <item x="2103"/>
        <item x="1968"/>
        <item x="1262"/>
        <item x="332"/>
        <item x="1127"/>
        <item x="1873"/>
        <item x="2086"/>
        <item x="2096"/>
        <item x="1763"/>
        <item x="665"/>
        <item x="241"/>
        <item x="1943"/>
        <item x="1"/>
        <item x="1978"/>
        <item x="1451"/>
        <item x="1350"/>
        <item x="1268"/>
        <item x="1861"/>
        <item x="1536"/>
        <item x="586"/>
        <item x="1712"/>
        <item x="235"/>
        <item x="1141"/>
        <item x="729"/>
        <item x="4"/>
        <item x="248"/>
        <item x="2002"/>
        <item x="1998"/>
        <item x="1281"/>
        <item x="199"/>
        <item x="1138"/>
        <item x="341"/>
        <item x="1843"/>
        <item x="2067"/>
        <item x="1176"/>
        <item x="191"/>
        <item x="2340"/>
        <item x="203"/>
        <item x="320"/>
        <item x="572"/>
        <item x="245"/>
        <item x="1910"/>
        <item x="305"/>
        <item x="1414"/>
        <item x="1168"/>
        <item x="1793"/>
        <item x="1106"/>
        <item x="1515"/>
        <item x="1132"/>
        <item x="329"/>
        <item x="261"/>
        <item x="263"/>
        <item x="228"/>
        <item x="300"/>
        <item x="824"/>
        <item x="2149"/>
        <item x="1969"/>
        <item x="324"/>
        <item x="1699"/>
        <item x="1587"/>
        <item x="342"/>
        <item x="1829"/>
        <item x="278"/>
        <item x="2215"/>
        <item x="2001"/>
        <item x="1203"/>
        <item x="1363"/>
        <item x="211"/>
        <item x="1738"/>
        <item x="2024"/>
        <item x="7"/>
        <item x="2119"/>
        <item x="1027"/>
        <item x="244"/>
        <item x="413"/>
        <item x="151"/>
        <item x="1830"/>
        <item x="817"/>
        <item x="200"/>
        <item x="1353"/>
        <item x="220"/>
        <item x="2207"/>
        <item x="1796"/>
        <item x="236"/>
        <item x="1098"/>
        <item x="190"/>
        <item x="2366"/>
        <item x="1833"/>
        <item x="232"/>
        <item x="2373"/>
        <item x="964"/>
        <item x="2059"/>
        <item x="2203"/>
        <item x="307"/>
        <item x="227"/>
        <item x="326"/>
        <item x="990"/>
        <item x="743"/>
        <item x="290"/>
        <item x="224"/>
        <item x="1637"/>
        <item x="2328"/>
        <item x="1227"/>
        <item x="317"/>
        <item x="448"/>
        <item x="2295"/>
        <item x="218"/>
        <item x="1996"/>
        <item x="2114"/>
        <item x="1858"/>
        <item x="801"/>
        <item x="1330"/>
        <item x="225"/>
        <item x="5"/>
        <item x="706"/>
        <item x="1423"/>
        <item x="1901"/>
        <item x="291"/>
        <item x="576"/>
        <item x="221"/>
        <item x="2087"/>
        <item x="427"/>
        <item x="1263"/>
        <item x="343"/>
        <item x="1502"/>
        <item x="253"/>
        <item x="2040"/>
        <item x="1684"/>
        <item x="420"/>
        <item x="2341"/>
        <item x="748"/>
        <item x="154"/>
        <item x="271"/>
        <item x="1729"/>
        <item x="1088"/>
        <item x="535"/>
        <item x="2155"/>
        <item x="2206"/>
        <item x="1082"/>
        <item x="2148"/>
        <item x="1517"/>
        <item x="1112"/>
        <item x="2032"/>
        <item x="1768"/>
        <item x="1887"/>
        <item x="1386"/>
        <item x="1499"/>
        <item x="2003"/>
        <item x="592"/>
        <item x="2132"/>
        <item x="1008"/>
        <item x="2139"/>
        <item x="2038"/>
        <item x="1486"/>
        <item x="2162"/>
        <item x="386"/>
        <item x="1834"/>
        <item x="2025"/>
        <item x="1670"/>
        <item x="1030"/>
        <item x="1514"/>
        <item x="400"/>
        <item x="628"/>
        <item x="348"/>
        <item x="2175"/>
        <item x="1473"/>
        <item x="2369"/>
        <item x="581"/>
        <item x="1261"/>
        <item x="988"/>
        <item x="2188"/>
        <item x="1216"/>
        <item x="974"/>
        <item x="279"/>
        <item x="1181"/>
        <item x="593"/>
        <item x="1428"/>
        <item x="1148"/>
        <item x="1588"/>
        <item x="1298"/>
        <item x="2042"/>
        <item x="2239"/>
        <item x="1819"/>
        <item x="500"/>
        <item x="713"/>
        <item x="1061"/>
        <item x="2081"/>
        <item x="2315"/>
        <item x="251"/>
        <item x="797"/>
        <item x="2308"/>
        <item x="1178"/>
        <item x="2129"/>
        <item x="1351"/>
        <item x="1946"/>
        <item x="1827"/>
        <item x="1971"/>
        <item x="2014"/>
        <item x="372"/>
        <item x="344"/>
        <item x="1429"/>
        <item x="1045"/>
        <item x="1354"/>
        <item x="1344"/>
        <item x="19"/>
        <item x="327"/>
        <item x="2327"/>
        <item x="589"/>
        <item x="520"/>
        <item x="1000"/>
        <item x="2191"/>
        <item x="2012"/>
        <item x="965"/>
        <item x="1229"/>
        <item x="1753"/>
        <item x="1791"/>
        <item x="1402"/>
        <item x="1874"/>
        <item x="2088"/>
        <item x="833"/>
        <item x="2084"/>
        <item x="1048"/>
        <item x="1846"/>
        <item x="1117"/>
        <item x="749"/>
        <item x="468"/>
        <item x="1859"/>
        <item x="2143"/>
        <item x="2048"/>
        <item x="1417"/>
        <item x="716"/>
        <item x="2020"/>
        <item x="1967"/>
        <item x="1484"/>
        <item x="1332"/>
        <item x="1562"/>
        <item x="1104"/>
        <item x="826"/>
        <item x="1373"/>
        <item x="2150"/>
        <item x="1761"/>
        <item x="1310"/>
        <item x="757"/>
        <item x="2268"/>
        <item x="1426"/>
        <item x="584"/>
        <item x="1958"/>
        <item x="1980"/>
        <item x="1989"/>
        <item x="1559"/>
        <item x="2138"/>
        <item x="761"/>
        <item x="1898"/>
        <item x="1250"/>
        <item x="2181"/>
        <item x="888"/>
        <item x="3"/>
        <item x="1820"/>
        <item x="588"/>
        <item x="1087"/>
        <item x="2333"/>
        <item x="1463"/>
        <item x="274"/>
        <item x="2273"/>
        <item x="2368"/>
        <item x="875"/>
        <item x="712"/>
        <item x="455"/>
        <item x="1212"/>
        <item x="1642"/>
        <item x="1309"/>
        <item x="1015"/>
        <item x="1585"/>
        <item x="1809"/>
        <item x="1619"/>
        <item x="1804"/>
        <item x="1959"/>
        <item x="479"/>
        <item x="1633"/>
        <item x="438"/>
        <item x="970"/>
        <item x="1321"/>
        <item x="2177"/>
        <item x="1557"/>
        <item x="1686"/>
        <item x="1917"/>
        <item x="2065"/>
        <item x="1493"/>
        <item x="1070"/>
        <item x="1599"/>
        <item x="340"/>
        <item x="996"/>
        <item x="1107"/>
        <item x="928"/>
        <item x="2060"/>
        <item x="1911"/>
        <item x="2314"/>
        <item x="1358"/>
        <item x="1894"/>
        <item x="1650"/>
        <item x="895"/>
        <item x="1581"/>
        <item x="2174"/>
        <item x="1044"/>
        <item x="1189"/>
        <item x="786"/>
        <item x="745"/>
        <item x="934"/>
        <item x="1665"/>
        <item x="1605"/>
        <item x="1743"/>
        <item x="2078"/>
        <item x="1222"/>
        <item x="1458"/>
        <item x="2159"/>
        <item x="1688"/>
        <item x="1575"/>
        <item x="1868"/>
        <item x="2226"/>
        <item x="2303"/>
        <item x="432"/>
        <item x="736"/>
        <item x="2235"/>
        <item x="1666"/>
        <item x="1266"/>
        <item x="894"/>
        <item x="1851"/>
        <item x="1584"/>
        <item x="1357"/>
        <item x="1162"/>
        <item x="465"/>
        <item x="1277"/>
        <item x="1003"/>
        <item x="661"/>
        <item x="338"/>
        <item x="2005"/>
        <item x="693"/>
        <item x="1299"/>
        <item x="498"/>
        <item x="1282"/>
        <item x="851"/>
        <item x="611"/>
        <item x="557"/>
        <item x="377"/>
        <item x="1074"/>
        <item x="1696"/>
        <item x="1746"/>
        <item x="2311"/>
        <item x="1295"/>
        <item x="945"/>
        <item x="2337"/>
        <item x="1991"/>
        <item x="766"/>
        <item x="370"/>
        <item x="2346"/>
        <item x="1359"/>
        <item x="1608"/>
        <item x="1671"/>
        <item x="963"/>
        <item x="1824"/>
        <item x="1508"/>
        <item x="1018"/>
        <item x="2046"/>
        <item x="998"/>
        <item x="497"/>
        <item x="2113"/>
        <item x="1530"/>
        <item x="1065"/>
        <item x="1866"/>
        <item x="1012"/>
        <item x="1747"/>
        <item x="1214"/>
        <item x="2071"/>
        <item x="1797"/>
        <item x="331"/>
        <item x="2194"/>
        <item x="2133"/>
        <item x="2095"/>
        <item x="944"/>
        <item x="1497"/>
        <item x="2293"/>
        <item x="1193"/>
        <item x="2091"/>
        <item x="985"/>
        <item x="1939"/>
        <item x="594"/>
        <item x="1457"/>
        <item x="1914"/>
        <item x="2190"/>
        <item x="2066"/>
        <item x="1142"/>
        <item x="1842"/>
        <item x="982"/>
        <item x="373"/>
        <item x="1501"/>
        <item x="2141"/>
        <item x="2118"/>
        <item x="1831"/>
        <item x="1591"/>
        <item x="670"/>
        <item x="825"/>
        <item x="2321"/>
        <item x="830"/>
        <item x="1835"/>
        <item x="2144"/>
        <item x="2342"/>
        <item x="1919"/>
        <item x="2169"/>
        <item x="927"/>
        <item x="1600"/>
        <item x="1054"/>
        <item x="1721"/>
        <item x="2009"/>
        <item x="1781"/>
        <item x="1749"/>
        <item x="1651"/>
        <item x="1775"/>
        <item x="1244"/>
        <item x="345"/>
        <item x="1219"/>
        <item x="1626"/>
        <item x="1329"/>
        <item x="444"/>
        <item x="1312"/>
        <item x="2364"/>
        <item x="2336"/>
        <item x="197"/>
        <item x="21"/>
        <item x="904"/>
        <item x="1979"/>
        <item x="1415"/>
        <item x="1869"/>
        <item x="1995"/>
        <item x="2182"/>
        <item x="1237"/>
        <item x="1191"/>
        <item x="2112"/>
        <item x="1849"/>
        <item x="392"/>
        <item x="2044"/>
        <item x="1450"/>
        <item x="1604"/>
        <item x="1238"/>
        <item x="2170"/>
        <item x="1828"/>
        <item x="1172"/>
        <item x="461"/>
        <item x="2202"/>
        <item x="2280"/>
        <item x="1672"/>
        <item x="2298"/>
        <item x="1762"/>
        <item x="1656"/>
        <item x="1311"/>
        <item x="1706"/>
        <item x="1840"/>
        <item x="689"/>
        <item x="1896"/>
        <item x="2224"/>
        <item x="1972"/>
        <item x="1114"/>
        <item x="521"/>
        <item x="1693"/>
        <item x="2135"/>
        <item x="1888"/>
        <item x="2102"/>
        <item x="1360"/>
        <item x="1931"/>
        <item x="1805"/>
        <item x="379"/>
        <item x="1742"/>
        <item x="1965"/>
        <item x="2068"/>
        <item x="1177"/>
        <item x="1066"/>
        <item x="1089"/>
        <item x="2053"/>
        <item x="2198"/>
        <item x="1769"/>
        <item x="1589"/>
        <item x="843"/>
        <item x="1707"/>
        <item x="2372"/>
        <item x="2146"/>
        <item x="511"/>
        <item x="2313"/>
        <item x="2147"/>
        <item x="1540"/>
        <item x="714"/>
        <item x="1690"/>
        <item x="1023"/>
        <item x="2377"/>
        <item x="286"/>
        <item x="2080"/>
        <item x="1210"/>
        <item x="1421"/>
        <item x="2128"/>
        <item x="1838"/>
        <item x="2244"/>
        <item x="1401"/>
        <item x="2205"/>
        <item x="2107"/>
        <item x="1300"/>
        <item x="501"/>
        <item x="2110"/>
        <item x="1679"/>
        <item x="1366"/>
        <item x="1278"/>
        <item x="1249"/>
        <item x="9"/>
        <item x="453"/>
        <item x="1945"/>
        <item x="1103"/>
        <item x="15"/>
        <item x="1296"/>
        <item x="328"/>
        <item x="1667"/>
        <item x="2176"/>
        <item x="2047"/>
        <item x="1908"/>
        <item x="1160"/>
        <item x="1144"/>
        <item x="1740"/>
        <item x="1293"/>
        <item x="2196"/>
        <item x="1703"/>
        <item x="2192"/>
        <item x="903"/>
        <item x="310"/>
        <item x="2034"/>
        <item x="2222"/>
        <item x="1204"/>
        <item x="1243"/>
        <item x="860"/>
        <item x="1701"/>
        <item x="1719"/>
        <item x="2028"/>
        <item x="1149"/>
        <item x="1741"/>
        <item x="2168"/>
        <item x="1155"/>
        <item x="1826"/>
        <item x="805"/>
        <item x="1638"/>
        <item x="2111"/>
        <item x="1710"/>
        <item x="428"/>
        <item x="1394"/>
        <item x="1932"/>
        <item x="2010"/>
        <item x="1732"/>
        <item x="1561"/>
        <item x="2317"/>
        <item x="2105"/>
        <item x="2197"/>
        <item x="1982"/>
        <item x="2157"/>
        <item x="1889"/>
        <item x="391"/>
        <item x="2173"/>
        <item x="1813"/>
        <item x="1476"/>
        <item x="1950"/>
        <item x="1871"/>
        <item x="2261"/>
        <item x="1275"/>
        <item x="2355"/>
        <item x="690"/>
        <item x="353"/>
        <item x="1595"/>
        <item x="1006"/>
        <item x="1276"/>
        <item x="2210"/>
        <item x="768"/>
        <item x="1528"/>
        <item x="1364"/>
        <item x="1284"/>
        <item x="1907"/>
        <item x="760"/>
        <item x="1187"/>
        <item x="1460"/>
        <item x="793"/>
        <item x="967"/>
        <item x="2217"/>
        <item x="1245"/>
        <item x="1432"/>
        <item x="2018"/>
        <item x="1448"/>
        <item x="1734"/>
        <item x="1050"/>
        <item x="1569"/>
        <item x="650"/>
        <item x="2180"/>
        <item x="1123"/>
        <item x="205"/>
        <item x="910"/>
        <item x="651"/>
        <item x="822"/>
        <item x="591"/>
        <item x="570"/>
        <item x="1739"/>
        <item x="16"/>
        <item x="1523"/>
        <item x="470"/>
        <item x="311"/>
        <item x="2186"/>
        <item x="1976"/>
        <item x="1986"/>
        <item x="1121"/>
        <item x="1823"/>
        <item x="316"/>
        <item x="1685"/>
        <item x="1572"/>
        <item x="1974"/>
        <item x="1867"/>
        <item x="667"/>
        <item x="2063"/>
        <item x="467"/>
        <item x="2245"/>
        <item x="1002"/>
        <item x="2004"/>
        <item x="737"/>
        <item x="2256"/>
        <item x="2271"/>
        <item x="1384"/>
        <item x="2033"/>
        <item x="774"/>
        <item x="633"/>
        <item x="1185"/>
        <item x="374"/>
        <item x="779"/>
        <item x="159"/>
        <item x="2172"/>
        <item x="2316"/>
        <item x="731"/>
        <item x="703"/>
        <item x="1994"/>
        <item x="1669"/>
        <item x="684"/>
        <item x="1507"/>
        <item x="126"/>
        <item x="1116"/>
        <item x="33"/>
        <item x="1564"/>
        <item x="1059"/>
        <item x="55"/>
        <item x="387"/>
        <item x="981"/>
        <item x="2252"/>
        <item x="2083"/>
        <item x="1984"/>
        <item x="1952"/>
        <item x="1535"/>
        <item x="1369"/>
        <item x="808"/>
        <item x="795"/>
        <item x="239"/>
        <item x="887"/>
        <item x="725"/>
        <item x="101"/>
        <item x="2"/>
        <item x="648"/>
        <item x="855"/>
        <item x="2282"/>
        <item x="2329"/>
        <item x="625"/>
        <item x="6"/>
        <item x="1607"/>
        <item x="852"/>
        <item x="10"/>
        <item x="2348"/>
        <item x="680"/>
        <item x="1201"/>
        <item x="1549"/>
        <item x="554"/>
        <item x="1436"/>
        <item x="1111"/>
        <item x="451"/>
        <item x="1895"/>
        <item x="289"/>
        <item x="644"/>
        <item x="1757"/>
        <item x="2026"/>
        <item x="272"/>
        <item x="2272"/>
        <item x="394"/>
        <item x="2251"/>
        <item x="1526"/>
        <item x="803"/>
        <item x="1286"/>
        <item x="378"/>
        <item x="2016"/>
        <item x="2184"/>
        <item x="321"/>
        <item x="582"/>
        <item x="1492"/>
        <item x="517"/>
        <item x="1056"/>
        <item x="1524"/>
        <item x="819"/>
        <item x="18"/>
        <item x="1916"/>
        <item x="417"/>
        <item x="1641"/>
        <item x="222"/>
        <item x="699"/>
        <item x="897"/>
        <item x="580"/>
        <item x="1316"/>
        <item x="333"/>
        <item x="2124"/>
        <item x="672"/>
        <item x="1383"/>
        <item x="1071"/>
        <item x="397"/>
        <item x="1927"/>
        <item x="1537"/>
        <item x="1568"/>
        <item x="478"/>
        <item x="499"/>
        <item x="58"/>
        <item x="1586"/>
        <item x="862"/>
        <item x="649"/>
        <item x="1733"/>
        <item x="615"/>
        <item x="17"/>
        <item x="2039"/>
        <item x="401"/>
        <item x="2161"/>
        <item x="1010"/>
        <item x="567"/>
        <item x="1192"/>
        <item x="1923"/>
        <item x="1891"/>
        <item x="1533"/>
        <item x="1936"/>
        <item x="1079"/>
        <item x="1850"/>
        <item x="1083"/>
        <item x="1951"/>
        <item x="234"/>
        <item x="526"/>
        <item x="939"/>
        <item x="1324"/>
        <item x="2106"/>
        <item x="892"/>
        <item x="22"/>
        <item x="1718"/>
        <item x="1897"/>
        <item x="1371"/>
        <item x="396"/>
        <item x="2211"/>
        <item x="1399"/>
        <item x="514"/>
        <item x="1558"/>
        <item x="433"/>
        <item x="1252"/>
        <item x="953"/>
        <item x="2131"/>
        <item x="2072"/>
        <item x="781"/>
        <item x="1716"/>
        <item x="2152"/>
        <item x="538"/>
        <item x="676"/>
        <item x="547"/>
        <item x="2233"/>
        <item x="431"/>
        <item x="1445"/>
        <item x="1256"/>
        <item x="1904"/>
        <item x="837"/>
        <item x="11"/>
        <item x="194"/>
        <item x="1297"/>
        <item x="2297"/>
        <item x="1993"/>
        <item x="1348"/>
        <item x="1602"/>
        <item x="1855"/>
        <item x="1150"/>
        <item x="2204"/>
        <item x="1254"/>
        <item x="1839"/>
        <item x="599"/>
        <item x="2158"/>
        <item x="758"/>
        <item x="2097"/>
        <item x="1624"/>
        <item x="1648"/>
        <item x="1623"/>
        <item x="1918"/>
        <item x="1129"/>
        <item x="1391"/>
        <item x="323"/>
        <item x="2154"/>
        <item x="1058"/>
        <item x="1692"/>
        <item x="1545"/>
        <item x="492"/>
        <item x="88"/>
        <item x="864"/>
        <item x="607"/>
        <item x="389"/>
        <item x="1948"/>
        <item x="1944"/>
        <item x="2343"/>
        <item x="350"/>
        <item x="503"/>
        <item x="619"/>
        <item x="1477"/>
        <item x="624"/>
        <item x="531"/>
        <item x="1490"/>
        <item x="671"/>
        <item x="664"/>
        <item x="829"/>
        <item x="959"/>
        <item x="1338"/>
        <item x="1433"/>
        <item x="2183"/>
        <item x="1790"/>
        <item x="989"/>
        <item x="1199"/>
        <item x="2358"/>
        <item x="421"/>
        <item x="409"/>
        <item x="1616"/>
        <item x="1822"/>
        <item x="2292"/>
        <item x="1236"/>
        <item x="509"/>
        <item x="823"/>
        <item x="2285"/>
        <item x="941"/>
        <item x="1875"/>
        <item x="2013"/>
        <item x="1957"/>
        <item x="709"/>
        <item x="2082"/>
        <item x="723"/>
        <item x="918"/>
        <item x="549"/>
        <item x="747"/>
        <item x="1752"/>
        <item x="637"/>
        <item x="856"/>
        <item x="2075"/>
        <item x="415"/>
        <item x="1409"/>
        <item x="890"/>
        <item x="1367"/>
        <item x="454"/>
        <item x="1725"/>
        <item x="783"/>
        <item x="1151"/>
        <item x="621"/>
        <item x="695"/>
        <item x="402"/>
        <item x="710"/>
        <item x="568"/>
        <item x="1498"/>
        <item x="297"/>
        <item x="277"/>
        <item x="495"/>
        <item x="804"/>
        <item x="960"/>
        <item x="643"/>
        <item x="2265"/>
        <item x="226"/>
        <item x="579"/>
        <item x="496"/>
        <item x="1248"/>
        <item x="1247"/>
        <item x="351"/>
        <item x="840"/>
        <item x="629"/>
        <item x="831"/>
        <item x="697"/>
        <item x="605"/>
        <item x="2294"/>
        <item x="206"/>
        <item x="698"/>
        <item x="702"/>
        <item x="1992"/>
        <item x="1924"/>
        <item x="1937"/>
        <item x="2151"/>
        <item x="485"/>
        <item x="422"/>
        <item x="1449"/>
        <item x="548"/>
        <item x="938"/>
        <item x="673"/>
        <item x="711"/>
        <item x="2153"/>
        <item x="1962"/>
        <item x="1810"/>
        <item x="1808"/>
        <item x="1435"/>
        <item x="1909"/>
        <item x="561"/>
        <item x="481"/>
        <item x="1416"/>
        <item x="482"/>
        <item x="878"/>
        <item x="106"/>
        <item x="1543"/>
        <item x="1758"/>
        <item x="1242"/>
        <item x="865"/>
        <item x="1727"/>
        <item x="2283"/>
        <item x="696"/>
        <item x="525"/>
        <item x="550"/>
        <item x="2229"/>
        <item x="1857"/>
        <item x="1635"/>
        <item x="2220"/>
        <item x="2367"/>
        <item x="1447"/>
        <item x="385"/>
        <item x="231"/>
        <item x="909"/>
        <item x="383"/>
        <item x="380"/>
        <item x="1157"/>
        <item x="669"/>
        <item x="1629"/>
        <item x="771"/>
        <item x="1892"/>
        <item x="1175"/>
        <item x="1711"/>
        <item x="2334"/>
        <item x="987"/>
        <item x="1882"/>
        <item x="1639"/>
        <item x="410"/>
        <item x="1323"/>
        <item x="1406"/>
        <item x="1152"/>
        <item x="2092"/>
        <item x="1640"/>
        <item x="1491"/>
        <item x="1905"/>
        <item x="1422"/>
        <item x="958"/>
        <item x="408"/>
        <item x="1878"/>
        <item x="1279"/>
        <item x="1779"/>
        <item x="1609"/>
        <item x="2031"/>
        <item x="283"/>
        <item x="2216"/>
        <item x="1326"/>
        <item x="443"/>
        <item x="683"/>
        <item x="1881"/>
        <item x="214"/>
        <item x="201"/>
        <item x="2011"/>
        <item x="292"/>
        <item x="886"/>
        <item x="1292"/>
        <item x="1812"/>
        <item x="1520"/>
        <item x="2254"/>
        <item x="1836"/>
        <item x="759"/>
        <item x="1677"/>
        <item x="2310"/>
        <item x="2357"/>
        <item x="1630"/>
        <item x="449"/>
        <item x="2057"/>
        <item x="785"/>
        <item x="384"/>
        <item x="2320"/>
        <item x="309"/>
        <item x="288"/>
        <item x="1259"/>
        <item x="312"/>
        <item x="1163"/>
        <item x="1511"/>
        <item x="268"/>
        <item x="1615"/>
        <item x="2223"/>
        <item x="537"/>
        <item x="1253"/>
        <item x="562"/>
        <item x="362"/>
        <item x="1294"/>
        <item x="1512"/>
        <item x="908"/>
        <item x="489"/>
        <item x="1217"/>
        <item x="632"/>
        <item x="242"/>
        <item x="885"/>
        <item x="1821"/>
        <item x="1627"/>
        <item x="1902"/>
        <item x="2347"/>
        <item x="1681"/>
        <item x="1197"/>
        <item x="264"/>
        <item x="957"/>
        <item x="419"/>
        <item x="2069"/>
        <item x="476"/>
        <item x="414"/>
        <item x="2291"/>
        <item x="717"/>
        <item x="877"/>
        <item x="1621"/>
        <item x="2269"/>
        <item x="2351"/>
        <item x="1347"/>
        <item x="1315"/>
        <item x="1352"/>
        <item x="1349"/>
        <item x="721"/>
        <item x="893"/>
        <item x="2259"/>
        <item x="901"/>
        <item x="1086"/>
        <item x="1906"/>
        <item x="2323"/>
        <item x="1328"/>
        <item x="441"/>
        <item x="618"/>
        <item x="1795"/>
        <item x="2318"/>
        <item x="891"/>
        <item x="2276"/>
        <item x="2231"/>
        <item x="1475"/>
        <item x="800"/>
        <item x="1935"/>
        <item x="2000"/>
        <item x="2306"/>
        <item x="1780"/>
        <item x="1372"/>
        <item x="1863"/>
        <item x="2302"/>
        <item x="2344"/>
        <item x="2017"/>
        <item x="2036"/>
        <item x="1119"/>
        <item x="2126"/>
        <item x="1816"/>
        <item x="1590"/>
        <item x="583"/>
        <item x="914"/>
        <item x="2274"/>
        <item x="1452"/>
        <item x="1985"/>
        <item x="807"/>
        <item x="1832"/>
        <item x="519"/>
        <item x="1403"/>
        <item x="2171"/>
        <item x="1001"/>
        <item x="1255"/>
        <item x="1563"/>
        <item x="1392"/>
        <item x="1631"/>
        <item x="1467"/>
        <item x="1767"/>
        <item x="1412"/>
        <item x="597"/>
        <item x="2301"/>
        <item x="2062"/>
        <item x="896"/>
        <item x="1377"/>
        <item x="1929"/>
        <item x="2289"/>
        <item x="1287"/>
        <item x="1890"/>
        <item x="539"/>
        <item x="215"/>
        <item x="1933"/>
        <item x="2021"/>
        <item x="510"/>
        <item x="2134"/>
        <item x="230"/>
        <item x="1516"/>
        <item x="1474"/>
        <item x="2228"/>
        <item x="471"/>
        <item x="1675"/>
        <item x="994"/>
        <item x="1612"/>
        <item x="1509"/>
        <item x="1603"/>
        <item x="1226"/>
        <item x="216"/>
        <item x="1166"/>
        <item x="995"/>
        <item x="1778"/>
        <item x="1865"/>
        <item x="2008"/>
        <item x="1949"/>
        <item x="767"/>
        <item x="1961"/>
        <item x="2247"/>
        <item x="2241"/>
        <item x="647"/>
        <item x="1260"/>
        <item x="1269"/>
        <item x="1539"/>
        <item x="1271"/>
        <item x="1521"/>
        <item x="2278"/>
        <item x="1837"/>
        <item x="2345"/>
        <item x="1405"/>
        <item x="1496"/>
        <item x="301"/>
        <item x="1016"/>
        <item x="2185"/>
        <item x="2167"/>
        <item x="1756"/>
        <item x="1713"/>
        <item x="1598"/>
        <item x="1940"/>
        <item x="1547"/>
        <item x="1096"/>
        <item x="2049"/>
        <item x="1396"/>
        <item x="1389"/>
        <item x="868"/>
        <item x="838"/>
        <item x="732"/>
        <item x="1510"/>
        <item x="1264"/>
        <item x="2213"/>
        <item x="1280"/>
        <item x="487"/>
        <item x="2130"/>
        <item x="1664"/>
        <item x="1737"/>
        <item x="2085"/>
        <item x="2266"/>
        <item x="1899"/>
        <item x="1702"/>
        <item x="1764"/>
        <item x="296"/>
        <item x="1885"/>
        <item x="1085"/>
        <item x="1180"/>
        <item x="1028"/>
        <item x="1115"/>
        <item x="1596"/>
        <item x="1302"/>
        <item x="1787"/>
        <item x="898"/>
        <item x="1788"/>
        <item x="1033"/>
        <item x="480"/>
        <item x="600"/>
        <item x="1485"/>
        <item x="815"/>
        <item x="1400"/>
        <item x="2051"/>
        <item x="1532"/>
        <item x="506"/>
        <item x="2307"/>
        <item x="1930"/>
        <item x="691"/>
        <item x="262"/>
        <item x="1283"/>
        <item x="308"/>
        <item x="1505"/>
        <item x="1614"/>
        <item x="1504"/>
        <item x="376"/>
        <item x="849"/>
        <item x="505"/>
        <item x="2164"/>
        <item x="984"/>
        <item x="596"/>
        <item x="1601"/>
        <item x="1574"/>
        <item x="1645"/>
        <item x="365"/>
        <item x="756"/>
        <item x="1482"/>
        <item x="1913"/>
        <item x="1755"/>
        <item x="388"/>
        <item x="1137"/>
        <item x="2163"/>
        <item x="359"/>
        <item x="2061"/>
        <item x="247"/>
        <item x="1782"/>
        <item x="1754"/>
        <item x="556"/>
        <item x="529"/>
        <item x="1900"/>
        <item x="1845"/>
        <item x="2361"/>
        <item x="1390"/>
        <item x="2331"/>
        <item x="285"/>
        <item x="1566"/>
        <item x="464"/>
        <item x="395"/>
        <item x="566"/>
        <item x="685"/>
        <item x="1221"/>
        <item x="393"/>
        <item x="620"/>
        <item x="2056"/>
        <item x="325"/>
        <item x="1099"/>
        <item x="474"/>
        <item x="1009"/>
        <item x="507"/>
        <item x="280"/>
        <item x="1020"/>
        <item x="504"/>
        <item x="293"/>
        <item x="1355"/>
        <item x="688"/>
        <item x="565"/>
        <item x="1582"/>
        <item x="1305"/>
        <item x="1785"/>
        <item x="1495"/>
        <item x="2362"/>
        <item x="679"/>
        <item x="1628"/>
        <item x="2115"/>
        <item x="1007"/>
        <item x="1811"/>
        <item x="1735"/>
        <item x="1379"/>
        <item x="983"/>
        <item x="1806"/>
        <item x="1786"/>
        <item x="734"/>
        <item x="1190"/>
        <item x="560"/>
        <item x="2100"/>
        <item x="2371"/>
        <item x="1184"/>
        <item x="1689"/>
        <item x="616"/>
        <item x="1720"/>
        <item x="1660"/>
        <item x="375"/>
        <item x="1251"/>
        <item x="2027"/>
        <item x="1956"/>
        <item x="708"/>
        <item x="1084"/>
        <item x="1092"/>
        <item x="1240"/>
        <item x="1139"/>
        <item x="2123"/>
        <item x="491"/>
        <item x="742"/>
        <item x="796"/>
        <item x="763"/>
        <item x="1110"/>
        <item x="788"/>
        <item x="1783"/>
        <item x="1225"/>
        <item x="976"/>
        <item x="754"/>
        <item x="237"/>
        <item x="1308"/>
        <item x="1430"/>
        <item x="641"/>
        <item x="246"/>
        <item x="2296"/>
        <item x="1273"/>
        <item x="799"/>
        <item x="1043"/>
        <item x="452"/>
        <item x="463"/>
        <item x="929"/>
        <item x="587"/>
        <item x="715"/>
        <item x="705"/>
        <item x="1131"/>
        <item x="1036"/>
        <item x="1135"/>
        <item x="1241"/>
        <item x="639"/>
        <item x="640"/>
        <item x="1593"/>
        <item x="1046"/>
        <item x="1069"/>
        <item x="627"/>
        <item x="304"/>
        <item x="1385"/>
        <item x="1067"/>
        <item x="595"/>
        <item x="446"/>
        <item x="762"/>
        <item x="867"/>
        <item x="299"/>
        <item x="724"/>
        <item x="1188"/>
        <item x="1617"/>
        <item x="1198"/>
        <item x="1800"/>
        <item x="1700"/>
        <item x="1194"/>
        <item x="730"/>
        <item x="1239"/>
        <item x="677"/>
        <item x="979"/>
        <item x="926"/>
        <item x="1695"/>
        <item x="692"/>
        <item x="668"/>
        <item x="1202"/>
        <item x="636"/>
        <item x="426"/>
        <item x="1301"/>
        <item x="1387"/>
        <item x="746"/>
        <item x="744"/>
        <item x="674"/>
        <item x="1068"/>
        <item x="750"/>
        <item x="617"/>
        <item x="635"/>
        <item x="1235"/>
        <item x="528"/>
        <item x="879"/>
        <item x="1784"/>
        <item x="1652"/>
        <item x="1915"/>
        <item x="1231"/>
        <item x="739"/>
        <item x="1678"/>
        <item x="1339"/>
        <item x="1594"/>
        <item x="1388"/>
        <item x="363"/>
        <item x="1487"/>
        <item x="1529"/>
        <item x="553"/>
        <item x="2023"/>
        <item x="1723"/>
        <item x="2029"/>
        <item x="1518"/>
        <item x="2330"/>
        <item x="1938"/>
        <item x="2246"/>
        <item x="2137"/>
        <item x="1814"/>
        <item x="1346"/>
        <item x="2253"/>
        <item x="1541"/>
        <item x="2109"/>
        <item x="1307"/>
        <item x="527"/>
        <item x="2350"/>
        <item x="1977"/>
        <item x="821"/>
        <item x="2054"/>
        <item x="787"/>
        <item x="645"/>
        <item x="1730"/>
        <item x="2305"/>
        <item x="1759"/>
        <item x="1542"/>
        <item x="1411"/>
        <item x="906"/>
        <item x="1567"/>
        <item x="2332"/>
        <item x="1597"/>
        <item x="1483"/>
        <item x="622"/>
        <item x="813"/>
        <item x="1146"/>
        <item x="2195"/>
        <item x="1879"/>
        <item x="460"/>
        <item x="346"/>
        <item x="1527"/>
        <item x="1143"/>
        <item x="1560"/>
        <item x="2189"/>
        <item x="1534"/>
        <item x="1419"/>
        <item x="1531"/>
        <item x="806"/>
        <item x="1928"/>
        <item x="1803"/>
        <item x="1807"/>
        <item x="899"/>
        <item x="2125"/>
        <item x="1934"/>
        <item x="1037"/>
        <item x="794"/>
        <item x="789"/>
        <item x="1374"/>
        <item x="1676"/>
        <item x="518"/>
        <item x="2225"/>
        <item x="229"/>
        <item x="219"/>
        <item x="1047"/>
        <item x="2312"/>
        <item x="1113"/>
        <item x="1555"/>
        <item x="1459"/>
        <item x="2260"/>
        <item x="1662"/>
        <item x="1580"/>
        <item x="1576"/>
        <item x="1365"/>
        <item x="1704"/>
        <item x="2093"/>
        <item x="1233"/>
        <item x="1285"/>
        <item x="1291"/>
        <item x="1431"/>
        <item x="1578"/>
        <item x="2187"/>
        <item x="1697"/>
        <item x="1705"/>
        <item x="530"/>
        <item x="1375"/>
        <item x="604"/>
        <item x="1270"/>
        <item x="1522"/>
        <item x="1577"/>
        <item x="168"/>
        <item x="1274"/>
        <item x="738"/>
        <item x="2070"/>
        <item x="1771"/>
        <item x="1773"/>
        <item x="1183"/>
        <item x="494"/>
        <item x="1095"/>
        <item x="2319"/>
        <item x="1565"/>
        <item x="1610"/>
        <item x="1195"/>
        <item x="207"/>
        <item x="590"/>
        <item x="209"/>
        <item x="634"/>
        <item x="1161"/>
        <item x="382"/>
        <item x="459"/>
        <item x="978"/>
        <item x="1691"/>
        <item x="2232"/>
        <item x="1341"/>
        <item x="1751"/>
        <item x="2094"/>
        <item x="174"/>
        <item x="2349"/>
        <item x="2007"/>
        <item x="1708"/>
        <item x="1378"/>
        <item x="515"/>
        <item x="1288"/>
        <item x="2227"/>
        <item x="638"/>
        <item x="1446"/>
        <item x="1368"/>
        <item x="2200"/>
        <item x="1381"/>
        <item x="972"/>
        <item x="1884"/>
        <item x="809"/>
        <item x="1987"/>
        <item x="2221"/>
        <item x="1437"/>
        <item x="1228"/>
        <item x="541"/>
        <item x="1153"/>
        <item x="1464"/>
        <item x="776"/>
        <item x="1443"/>
        <item x="1055"/>
        <item x="337"/>
        <item x="2353"/>
        <item x="457"/>
        <item x="1031"/>
        <item x="1941"/>
        <item x="544"/>
        <item x="2074"/>
        <item x="740"/>
        <item x="196"/>
        <item x="347"/>
        <item x="1215"/>
        <item x="857"/>
        <item x="192"/>
        <item x="882"/>
        <item x="883"/>
        <item x="2376"/>
        <item x="2324"/>
        <item x="951"/>
        <item x="13"/>
        <item x="24"/>
        <item x="1999"/>
        <item t="default"/>
      </items>
    </pivotField>
    <pivotField name="NK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Alam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s>
  <rowFields>
    <field x="9"/>
  </rowFields>
  <dataFields>
    <dataField name="Jumlah Peran"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5.5"/>
    <col customWidth="1" min="3" max="3" width="16.88"/>
    <col customWidth="1" min="4" max="4" width="17.5"/>
    <col customWidth="1" min="5" max="5" width="28.88"/>
    <col customWidth="1" min="6" max="6" width="24.88"/>
    <col customWidth="1" min="7" max="7" width="12.13"/>
    <col customWidth="1" min="8" max="8" width="7.0"/>
    <col customWidth="1" min="9" max="9" width="38.88"/>
    <col customWidth="1" min="10" max="10" width="24.88"/>
    <col customWidth="1" min="11" max="11" width="18.0"/>
    <col customWidth="1" min="12" max="12" width="15.88"/>
    <col customWidth="1" min="13" max="13" width="64.88"/>
  </cols>
  <sheetData>
    <row r="1">
      <c r="A1" s="1" t="s">
        <v>0</v>
      </c>
      <c r="B1" s="2" t="s">
        <v>1</v>
      </c>
      <c r="C1" s="3" t="s">
        <v>2</v>
      </c>
      <c r="D1" s="4" t="s">
        <v>5</v>
      </c>
      <c r="E1" s="4" t="s">
        <v>3</v>
      </c>
      <c r="F1" s="4" t="s">
        <v>4</v>
      </c>
      <c r="G1" s="4" t="s">
        <v>7</v>
      </c>
      <c r="H1" s="2" t="s">
        <v>8</v>
      </c>
      <c r="I1" s="2" t="s">
        <v>10</v>
      </c>
      <c r="J1" s="2" t="s">
        <v>11</v>
      </c>
      <c r="K1" s="2" t="s">
        <v>13</v>
      </c>
      <c r="L1" s="2" t="s">
        <v>16</v>
      </c>
      <c r="M1" s="2" t="s">
        <v>12</v>
      </c>
      <c r="N1" s="8"/>
    </row>
    <row r="2">
      <c r="A2" s="7" t="s">
        <v>41</v>
      </c>
      <c r="B2" s="18" t="s">
        <v>45</v>
      </c>
      <c r="C2" s="19" t="s">
        <v>14</v>
      </c>
      <c r="D2" s="22" t="s">
        <v>55</v>
      </c>
      <c r="E2" s="22" t="s">
        <v>61</v>
      </c>
      <c r="F2" s="22" t="s">
        <v>64</v>
      </c>
      <c r="G2" s="23">
        <v>8.5735113595E10</v>
      </c>
      <c r="H2" s="24">
        <v>1.0</v>
      </c>
      <c r="I2" s="18" t="s">
        <v>61</v>
      </c>
      <c r="J2" s="18" t="s">
        <v>64</v>
      </c>
      <c r="K2" s="24">
        <v>8.5735113595E10</v>
      </c>
      <c r="L2" s="18" t="s">
        <v>55</v>
      </c>
      <c r="M2" s="18" t="s">
        <v>87</v>
      </c>
    </row>
    <row r="3">
      <c r="A3" s="7" t="s">
        <v>41</v>
      </c>
      <c r="B3" s="18" t="s">
        <v>75</v>
      </c>
      <c r="C3" s="19" t="s">
        <v>23</v>
      </c>
      <c r="D3" s="22" t="s">
        <v>81</v>
      </c>
      <c r="E3" s="22" t="s">
        <v>61</v>
      </c>
      <c r="F3" s="22"/>
      <c r="G3" s="23">
        <v>8.5735113595E10</v>
      </c>
      <c r="H3" s="24">
        <v>1.0</v>
      </c>
      <c r="I3" s="18" t="s">
        <v>61</v>
      </c>
      <c r="J3" s="18"/>
      <c r="K3" s="24">
        <v>8.5735113595E10</v>
      </c>
      <c r="L3" s="18"/>
      <c r="M3" s="18" t="s">
        <v>85</v>
      </c>
    </row>
    <row r="4">
      <c r="A4" s="7" t="s">
        <v>41</v>
      </c>
      <c r="B4" s="18" t="s">
        <v>112</v>
      </c>
      <c r="C4" s="19" t="s">
        <v>14</v>
      </c>
      <c r="D4" s="22" t="s">
        <v>116</v>
      </c>
      <c r="E4" s="22" t="s">
        <v>119</v>
      </c>
      <c r="F4" s="22" t="s">
        <v>121</v>
      </c>
      <c r="G4" s="23">
        <v>8.5856261477E10</v>
      </c>
      <c r="H4" s="24">
        <v>1.0</v>
      </c>
      <c r="I4" s="18" t="s">
        <v>119</v>
      </c>
      <c r="J4" s="18" t="s">
        <v>121</v>
      </c>
      <c r="K4" s="24">
        <v>8.5856261477E10</v>
      </c>
      <c r="L4" s="18" t="s">
        <v>116</v>
      </c>
      <c r="M4" s="18" t="s">
        <v>131</v>
      </c>
    </row>
    <row r="5">
      <c r="A5" s="7" t="s">
        <v>41</v>
      </c>
      <c r="B5" s="18" t="s">
        <v>126</v>
      </c>
      <c r="C5" s="19" t="s">
        <v>23</v>
      </c>
      <c r="D5" s="22" t="s">
        <v>144</v>
      </c>
      <c r="E5" s="22" t="s">
        <v>119</v>
      </c>
      <c r="F5" s="22"/>
      <c r="G5" s="23">
        <v>8.5856261477E10</v>
      </c>
      <c r="H5" s="24">
        <v>1.0</v>
      </c>
      <c r="I5" s="18" t="s">
        <v>119</v>
      </c>
      <c r="J5" s="18"/>
      <c r="K5" s="24">
        <v>8.5856261477E10</v>
      </c>
      <c r="L5" s="18"/>
      <c r="M5" s="18"/>
    </row>
    <row r="6">
      <c r="A6" s="7" t="s">
        <v>41</v>
      </c>
      <c r="B6" s="18" t="s">
        <v>178</v>
      </c>
      <c r="C6" s="19" t="s">
        <v>23</v>
      </c>
      <c r="D6" s="22" t="s">
        <v>116</v>
      </c>
      <c r="E6" s="22" t="s">
        <v>182</v>
      </c>
      <c r="F6" s="22" t="s">
        <v>184</v>
      </c>
      <c r="G6" s="23">
        <v>8.5856261377E10</v>
      </c>
      <c r="H6" s="24">
        <v>1.0</v>
      </c>
      <c r="I6" s="18" t="s">
        <v>182</v>
      </c>
      <c r="J6" s="18" t="s">
        <v>184</v>
      </c>
      <c r="K6" s="24">
        <v>8.5856261377E10</v>
      </c>
      <c r="L6" s="18"/>
      <c r="M6" s="18" t="s">
        <v>189</v>
      </c>
    </row>
    <row r="7">
      <c r="A7" s="7" t="s">
        <v>41</v>
      </c>
      <c r="B7" s="18" t="s">
        <v>217</v>
      </c>
      <c r="C7" s="19" t="s">
        <v>14</v>
      </c>
      <c r="D7" s="22" t="s">
        <v>221</v>
      </c>
      <c r="E7" s="22" t="s">
        <v>224</v>
      </c>
      <c r="F7" s="22" t="s">
        <v>226</v>
      </c>
      <c r="G7" s="23">
        <v>8.2335999707E10</v>
      </c>
      <c r="H7" s="24">
        <v>1.0</v>
      </c>
      <c r="I7" s="18" t="s">
        <v>224</v>
      </c>
      <c r="J7" s="18" t="s">
        <v>226</v>
      </c>
      <c r="K7" s="24">
        <v>8.2335999707E10</v>
      </c>
      <c r="L7" s="18" t="s">
        <v>221</v>
      </c>
      <c r="M7" s="18" t="s">
        <v>238</v>
      </c>
    </row>
    <row r="8">
      <c r="A8" s="7" t="s">
        <v>41</v>
      </c>
      <c r="B8" s="18" t="s">
        <v>244</v>
      </c>
      <c r="C8" s="19" t="s">
        <v>23</v>
      </c>
      <c r="D8" s="22" t="s">
        <v>247</v>
      </c>
      <c r="E8" s="22" t="s">
        <v>224</v>
      </c>
      <c r="F8" s="22"/>
      <c r="G8" s="23">
        <v>8.2335999707E10</v>
      </c>
      <c r="H8" s="24">
        <v>1.0</v>
      </c>
      <c r="I8" s="18" t="s">
        <v>224</v>
      </c>
      <c r="J8" s="18"/>
      <c r="K8" s="24">
        <v>8.2335999707E10</v>
      </c>
      <c r="L8" s="18"/>
      <c r="M8" s="18"/>
    </row>
    <row r="9">
      <c r="A9" s="7" t="s">
        <v>41</v>
      </c>
      <c r="B9" s="18" t="s">
        <v>261</v>
      </c>
      <c r="C9" s="19" t="s">
        <v>14</v>
      </c>
      <c r="D9" s="22" t="s">
        <v>264</v>
      </c>
      <c r="E9" s="22" t="s">
        <v>267</v>
      </c>
      <c r="F9" s="22" t="s">
        <v>268</v>
      </c>
      <c r="G9" s="23">
        <v>8.3850518E10</v>
      </c>
      <c r="H9" s="24">
        <v>1.0</v>
      </c>
      <c r="I9" s="18" t="s">
        <v>267</v>
      </c>
      <c r="J9" s="18" t="s">
        <v>268</v>
      </c>
      <c r="K9" s="24">
        <v>8.3850518E10</v>
      </c>
      <c r="L9" s="18" t="s">
        <v>264</v>
      </c>
      <c r="M9" s="18" t="s">
        <v>273</v>
      </c>
    </row>
    <row r="10">
      <c r="A10" s="7" t="s">
        <v>41</v>
      </c>
      <c r="B10" s="18" t="s">
        <v>276</v>
      </c>
      <c r="C10" s="19" t="s">
        <v>23</v>
      </c>
      <c r="D10" s="22" t="s">
        <v>281</v>
      </c>
      <c r="E10" s="22" t="s">
        <v>267</v>
      </c>
      <c r="F10" s="22"/>
      <c r="G10" s="23">
        <v>8.5636325E9</v>
      </c>
      <c r="H10" s="24">
        <v>1.0</v>
      </c>
      <c r="I10" s="18" t="s">
        <v>267</v>
      </c>
      <c r="J10" s="18"/>
      <c r="K10" s="24">
        <v>8.5636325E9</v>
      </c>
      <c r="L10" s="18"/>
      <c r="M10" s="18" t="s">
        <v>284</v>
      </c>
    </row>
    <row r="11">
      <c r="A11" s="7" t="s">
        <v>41</v>
      </c>
      <c r="B11" s="18" t="s">
        <v>290</v>
      </c>
      <c r="C11" s="19" t="s">
        <v>23</v>
      </c>
      <c r="D11" s="22" t="s">
        <v>264</v>
      </c>
      <c r="E11" s="22" t="s">
        <v>267</v>
      </c>
      <c r="F11" s="22" t="s">
        <v>268</v>
      </c>
      <c r="G11" s="23">
        <v>8.3850518E10</v>
      </c>
      <c r="H11" s="24">
        <v>1.0</v>
      </c>
      <c r="I11" s="18" t="s">
        <v>267</v>
      </c>
      <c r="J11" s="18" t="s">
        <v>268</v>
      </c>
      <c r="K11" s="24">
        <v>8.3850518E10</v>
      </c>
      <c r="L11" s="18"/>
      <c r="M11" s="18" t="s">
        <v>301</v>
      </c>
    </row>
    <row r="12">
      <c r="A12" s="7" t="s">
        <v>41</v>
      </c>
      <c r="B12" s="18" t="s">
        <v>305</v>
      </c>
      <c r="C12" s="19" t="s">
        <v>14</v>
      </c>
      <c r="D12" s="22" t="s">
        <v>151</v>
      </c>
      <c r="E12" s="22" t="s">
        <v>311</v>
      </c>
      <c r="F12" s="22" t="s">
        <v>155</v>
      </c>
      <c r="G12" s="23">
        <v>8.5790570462E10</v>
      </c>
      <c r="H12" s="24">
        <v>1.0</v>
      </c>
      <c r="I12" s="18" t="s">
        <v>311</v>
      </c>
      <c r="J12" s="18" t="s">
        <v>155</v>
      </c>
      <c r="K12" s="24">
        <v>8.5790570462E10</v>
      </c>
      <c r="L12" s="18" t="s">
        <v>151</v>
      </c>
      <c r="M12" s="18" t="s">
        <v>324</v>
      </c>
    </row>
    <row r="13">
      <c r="A13" s="7" t="s">
        <v>41</v>
      </c>
      <c r="B13" s="18" t="s">
        <v>329</v>
      </c>
      <c r="C13" s="19" t="s">
        <v>23</v>
      </c>
      <c r="D13" s="22" t="s">
        <v>331</v>
      </c>
      <c r="E13" s="22" t="s">
        <v>311</v>
      </c>
      <c r="F13" s="22"/>
      <c r="G13" s="23">
        <v>8.5790570462E10</v>
      </c>
      <c r="H13" s="24">
        <v>1.0</v>
      </c>
      <c r="I13" s="18" t="s">
        <v>311</v>
      </c>
      <c r="J13" s="18"/>
      <c r="K13" s="24">
        <v>8.5790570462E10</v>
      </c>
      <c r="L13" s="18"/>
      <c r="M13" s="18"/>
    </row>
    <row r="14">
      <c r="A14" s="7" t="s">
        <v>41</v>
      </c>
      <c r="B14" s="18" t="s">
        <v>342</v>
      </c>
      <c r="C14" s="19" t="s">
        <v>14</v>
      </c>
      <c r="D14" s="22" t="s">
        <v>151</v>
      </c>
      <c r="E14" s="22" t="s">
        <v>346</v>
      </c>
      <c r="F14" s="22" t="s">
        <v>349</v>
      </c>
      <c r="G14" s="23">
        <v>8.5790570462E10</v>
      </c>
      <c r="H14" s="24">
        <v>1.0</v>
      </c>
      <c r="I14" s="18" t="s">
        <v>346</v>
      </c>
      <c r="J14" s="18" t="s">
        <v>349</v>
      </c>
      <c r="K14" s="24">
        <v>8.5790570462E10</v>
      </c>
      <c r="L14" s="18"/>
      <c r="M14" s="18" t="s">
        <v>354</v>
      </c>
    </row>
    <row r="15">
      <c r="A15" s="7" t="s">
        <v>41</v>
      </c>
      <c r="B15" s="18" t="s">
        <v>359</v>
      </c>
      <c r="C15" s="19" t="s">
        <v>14</v>
      </c>
      <c r="D15" s="22" t="s">
        <v>361</v>
      </c>
      <c r="E15" s="22" t="s">
        <v>363</v>
      </c>
      <c r="F15" s="22" t="s">
        <v>176</v>
      </c>
      <c r="G15" s="23">
        <v>8.7856803894E10</v>
      </c>
      <c r="H15" s="24">
        <v>1.0</v>
      </c>
      <c r="I15" s="18" t="s">
        <v>363</v>
      </c>
      <c r="J15" s="18" t="s">
        <v>176</v>
      </c>
      <c r="K15" s="24">
        <v>8.7856803894E10</v>
      </c>
      <c r="L15" s="18" t="s">
        <v>361</v>
      </c>
      <c r="M15" s="18" t="s">
        <v>375</v>
      </c>
    </row>
    <row r="16">
      <c r="A16" s="7" t="s">
        <v>41</v>
      </c>
      <c r="B16" s="18" t="s">
        <v>378</v>
      </c>
      <c r="C16" s="19" t="s">
        <v>23</v>
      </c>
      <c r="D16" s="22" t="s">
        <v>382</v>
      </c>
      <c r="E16" s="22" t="s">
        <v>363</v>
      </c>
      <c r="F16" s="22"/>
      <c r="G16" s="23">
        <v>8.7856803894E10</v>
      </c>
      <c r="H16" s="24">
        <v>1.0</v>
      </c>
      <c r="I16" s="18" t="s">
        <v>363</v>
      </c>
      <c r="J16" s="18"/>
      <c r="K16" s="24">
        <v>8.7856803894E10</v>
      </c>
      <c r="L16" s="18"/>
      <c r="M16" s="18"/>
    </row>
    <row r="17">
      <c r="A17" s="7" t="s">
        <v>41</v>
      </c>
      <c r="B17" s="18" t="s">
        <v>387</v>
      </c>
      <c r="C17" s="19" t="s">
        <v>14</v>
      </c>
      <c r="D17" s="22" t="s">
        <v>393</v>
      </c>
      <c r="E17" s="22" t="s">
        <v>396</v>
      </c>
      <c r="F17" s="22" t="s">
        <v>398</v>
      </c>
      <c r="G17" s="23">
        <v>8.9523655038E10</v>
      </c>
      <c r="H17" s="24">
        <v>1.0</v>
      </c>
      <c r="I17" s="18" t="s">
        <v>396</v>
      </c>
      <c r="J17" s="18" t="s">
        <v>398</v>
      </c>
      <c r="K17" s="24">
        <v>8.9523655038E10</v>
      </c>
      <c r="L17" s="18" t="s">
        <v>393</v>
      </c>
      <c r="M17" s="18" t="s">
        <v>402</v>
      </c>
    </row>
    <row r="18">
      <c r="A18" s="7" t="s">
        <v>41</v>
      </c>
      <c r="B18" s="18" t="s">
        <v>408</v>
      </c>
      <c r="C18" s="19" t="s">
        <v>23</v>
      </c>
      <c r="D18" s="22" t="s">
        <v>412</v>
      </c>
      <c r="E18" s="22" t="s">
        <v>396</v>
      </c>
      <c r="F18" s="22"/>
      <c r="G18" s="23">
        <v>8.5259059866E10</v>
      </c>
      <c r="H18" s="24">
        <v>1.0</v>
      </c>
      <c r="I18" s="18" t="s">
        <v>396</v>
      </c>
      <c r="J18" s="18"/>
      <c r="K18" s="24">
        <v>8.5259059866E10</v>
      </c>
      <c r="L18" s="18"/>
      <c r="M18" s="18"/>
    </row>
    <row r="19">
      <c r="A19" s="7" t="s">
        <v>41</v>
      </c>
      <c r="B19" s="18" t="s">
        <v>422</v>
      </c>
      <c r="C19" s="19" t="s">
        <v>23</v>
      </c>
      <c r="D19" s="22" t="s">
        <v>425</v>
      </c>
      <c r="E19" s="22" t="s">
        <v>396</v>
      </c>
      <c r="F19" s="22" t="s">
        <v>127</v>
      </c>
      <c r="G19" s="23">
        <v>8.9523655038E10</v>
      </c>
      <c r="H19" s="24">
        <v>1.0</v>
      </c>
      <c r="I19" s="18" t="s">
        <v>396</v>
      </c>
      <c r="J19" s="18" t="s">
        <v>127</v>
      </c>
      <c r="K19" s="24">
        <v>8.9523655038E10</v>
      </c>
      <c r="L19" s="18"/>
      <c r="M19" s="18" t="s">
        <v>129</v>
      </c>
    </row>
    <row r="20">
      <c r="A20" s="7" t="s">
        <v>41</v>
      </c>
      <c r="B20" s="18" t="s">
        <v>439</v>
      </c>
      <c r="C20" s="19" t="s">
        <v>23</v>
      </c>
      <c r="D20" s="23">
        <v>102.0</v>
      </c>
      <c r="E20" s="22" t="s">
        <v>396</v>
      </c>
      <c r="F20" s="22" t="s">
        <v>446</v>
      </c>
      <c r="G20" s="23">
        <v>8.5259059866E10</v>
      </c>
      <c r="H20" s="24">
        <v>1.0</v>
      </c>
      <c r="I20" s="18" t="s">
        <v>396</v>
      </c>
      <c r="J20" s="18" t="s">
        <v>446</v>
      </c>
      <c r="K20" s="24">
        <v>8.5259059866E10</v>
      </c>
      <c r="L20" s="18"/>
      <c r="M20" s="18" t="s">
        <v>453</v>
      </c>
    </row>
    <row r="21">
      <c r="A21" s="7" t="s">
        <v>41</v>
      </c>
      <c r="B21" s="32" t="s">
        <v>458</v>
      </c>
      <c r="C21" s="33" t="s">
        <v>463</v>
      </c>
      <c r="D21" s="34" t="s">
        <v>472</v>
      </c>
      <c r="E21" s="34" t="s">
        <v>477</v>
      </c>
      <c r="F21" s="34" t="s">
        <v>479</v>
      </c>
      <c r="G21" s="34">
        <v>8.10987654321E11</v>
      </c>
      <c r="H21" s="32">
        <v>1.0</v>
      </c>
      <c r="I21" s="32" t="s">
        <v>477</v>
      </c>
      <c r="J21" s="32" t="s">
        <v>479</v>
      </c>
      <c r="K21" s="32">
        <v>8.10987654321E11</v>
      </c>
      <c r="L21" s="32" t="s">
        <v>472</v>
      </c>
      <c r="M21" s="32" t="s">
        <v>494</v>
      </c>
    </row>
    <row r="22">
      <c r="A22" s="7" t="s">
        <v>41</v>
      </c>
      <c r="B22" s="32" t="s">
        <v>498</v>
      </c>
      <c r="C22" s="33" t="s">
        <v>23</v>
      </c>
      <c r="D22" s="34">
        <v>8.8829666E7</v>
      </c>
      <c r="E22" s="34" t="s">
        <v>477</v>
      </c>
      <c r="F22" s="34"/>
      <c r="G22" s="34">
        <v>8.10987654321E11</v>
      </c>
      <c r="H22" s="32">
        <v>0.0</v>
      </c>
      <c r="I22" s="32" t="s">
        <v>477</v>
      </c>
      <c r="K22" s="32">
        <v>8.10987654321E11</v>
      </c>
    </row>
    <row r="23">
      <c r="A23" s="7" t="s">
        <v>41</v>
      </c>
      <c r="B23" s="18" t="s">
        <v>615</v>
      </c>
      <c r="C23" s="19" t="s">
        <v>14</v>
      </c>
      <c r="D23" s="22" t="s">
        <v>624</v>
      </c>
      <c r="E23" s="22" t="s">
        <v>630</v>
      </c>
      <c r="F23" s="22" t="s">
        <v>636</v>
      </c>
      <c r="G23" s="23">
        <v>8.2143422489E10</v>
      </c>
      <c r="H23" s="24">
        <v>1.0</v>
      </c>
      <c r="I23" s="18" t="s">
        <v>630</v>
      </c>
      <c r="J23" s="18" t="s">
        <v>636</v>
      </c>
      <c r="K23" s="24">
        <v>8.2143422489E10</v>
      </c>
      <c r="L23" s="18" t="s">
        <v>624</v>
      </c>
      <c r="M23" s="18" t="s">
        <v>653</v>
      </c>
    </row>
    <row r="24">
      <c r="A24" s="7" t="s">
        <v>41</v>
      </c>
      <c r="B24" s="18" t="s">
        <v>661</v>
      </c>
      <c r="C24" s="19" t="s">
        <v>23</v>
      </c>
      <c r="D24" s="22" t="s">
        <v>664</v>
      </c>
      <c r="E24" s="22" t="s">
        <v>630</v>
      </c>
      <c r="F24" s="22"/>
      <c r="G24" s="23">
        <v>8.2143422489E10</v>
      </c>
      <c r="H24" s="24">
        <v>1.0</v>
      </c>
      <c r="I24" s="18" t="s">
        <v>630</v>
      </c>
      <c r="J24" s="18"/>
      <c r="K24" s="24">
        <v>8.2143422489E10</v>
      </c>
      <c r="L24" s="18"/>
      <c r="M24" s="18" t="s">
        <v>672</v>
      </c>
    </row>
    <row r="25">
      <c r="A25" s="7" t="s">
        <v>41</v>
      </c>
      <c r="B25" s="18" t="s">
        <v>676</v>
      </c>
      <c r="C25" s="19" t="s">
        <v>14</v>
      </c>
      <c r="D25" s="22" t="s">
        <v>678</v>
      </c>
      <c r="E25" s="22" t="s">
        <v>680</v>
      </c>
      <c r="F25" s="22" t="s">
        <v>683</v>
      </c>
      <c r="G25" s="23">
        <v>8.953259349E10</v>
      </c>
      <c r="H25" s="24">
        <v>1.0</v>
      </c>
      <c r="I25" s="18" t="s">
        <v>680</v>
      </c>
      <c r="J25" s="18" t="s">
        <v>683</v>
      </c>
      <c r="K25" s="24">
        <v>8.953259349E10</v>
      </c>
      <c r="L25" s="18" t="s">
        <v>678</v>
      </c>
      <c r="M25" s="18" t="s">
        <v>689</v>
      </c>
    </row>
    <row r="26">
      <c r="A26" s="7" t="s">
        <v>41</v>
      </c>
      <c r="B26" s="18" t="s">
        <v>693</v>
      </c>
      <c r="C26" s="19" t="s">
        <v>23</v>
      </c>
      <c r="D26" s="22" t="s">
        <v>678</v>
      </c>
      <c r="E26" s="35" t="s">
        <v>699</v>
      </c>
      <c r="F26" s="22" t="s">
        <v>683</v>
      </c>
      <c r="G26" s="23">
        <v>8.953259349E11</v>
      </c>
      <c r="H26" s="24">
        <v>1.0</v>
      </c>
      <c r="I26" s="18" t="s">
        <v>710</v>
      </c>
      <c r="J26" s="18" t="s">
        <v>683</v>
      </c>
      <c r="K26" s="24">
        <v>8.953259349E11</v>
      </c>
      <c r="L26" s="18"/>
      <c r="M26" s="18" t="s">
        <v>160</v>
      </c>
    </row>
    <row r="27">
      <c r="A27" s="7" t="s">
        <v>41</v>
      </c>
      <c r="B27" s="18" t="s">
        <v>717</v>
      </c>
      <c r="C27" s="19" t="s">
        <v>23</v>
      </c>
      <c r="D27" s="22" t="s">
        <v>720</v>
      </c>
      <c r="E27" s="22" t="s">
        <v>680</v>
      </c>
      <c r="F27" s="22"/>
      <c r="G27" s="23">
        <v>8.5649377468E10</v>
      </c>
      <c r="H27" s="24">
        <v>1.0</v>
      </c>
      <c r="I27" s="18" t="s">
        <v>680</v>
      </c>
      <c r="J27" s="18"/>
      <c r="K27" s="24">
        <v>8.5649377468E10</v>
      </c>
      <c r="L27" s="18"/>
      <c r="M27" s="18"/>
    </row>
    <row r="28">
      <c r="A28" s="7" t="s">
        <v>41</v>
      </c>
      <c r="B28" s="18" t="s">
        <v>731</v>
      </c>
      <c r="C28" s="19" t="s">
        <v>14</v>
      </c>
      <c r="D28" s="22" t="s">
        <v>734</v>
      </c>
      <c r="E28" s="22" t="s">
        <v>278</v>
      </c>
      <c r="F28" s="22" t="s">
        <v>65</v>
      </c>
      <c r="G28" s="23">
        <v>8.2336621788E10</v>
      </c>
      <c r="H28" s="24">
        <v>1.0</v>
      </c>
      <c r="I28" s="18" t="s">
        <v>278</v>
      </c>
      <c r="J28" s="18" t="s">
        <v>65</v>
      </c>
      <c r="K28" s="24">
        <v>8.2336621788E10</v>
      </c>
      <c r="L28" s="18" t="s">
        <v>734</v>
      </c>
      <c r="M28" s="18" t="s">
        <v>741</v>
      </c>
    </row>
    <row r="29">
      <c r="A29" s="7" t="s">
        <v>41</v>
      </c>
      <c r="B29" s="18" t="s">
        <v>745</v>
      </c>
      <c r="C29" s="19" t="s">
        <v>23</v>
      </c>
      <c r="D29" s="22" t="s">
        <v>277</v>
      </c>
      <c r="E29" s="22" t="s">
        <v>278</v>
      </c>
      <c r="F29" s="22" t="s">
        <v>279</v>
      </c>
      <c r="G29" s="23">
        <v>8.2336621788E10</v>
      </c>
      <c r="H29" s="24">
        <v>1.0</v>
      </c>
      <c r="I29" s="18" t="s">
        <v>278</v>
      </c>
      <c r="J29" s="18" t="s">
        <v>279</v>
      </c>
      <c r="K29" s="24">
        <v>8.2336621788E10</v>
      </c>
      <c r="L29" s="18"/>
      <c r="M29" s="18" t="s">
        <v>753</v>
      </c>
    </row>
    <row r="30">
      <c r="A30" s="7" t="s">
        <v>41</v>
      </c>
      <c r="B30" s="18" t="s">
        <v>755</v>
      </c>
      <c r="C30" s="19" t="s">
        <v>14</v>
      </c>
      <c r="D30" s="22" t="s">
        <v>760</v>
      </c>
      <c r="E30" s="22" t="s">
        <v>645</v>
      </c>
      <c r="F30" s="22" t="s">
        <v>763</v>
      </c>
      <c r="G30" s="23">
        <v>8.5259626461E10</v>
      </c>
      <c r="H30" s="24">
        <v>1.0</v>
      </c>
      <c r="I30" s="18" t="s">
        <v>645</v>
      </c>
      <c r="J30" s="18" t="s">
        <v>763</v>
      </c>
      <c r="K30" s="24">
        <v>8.5259626461E10</v>
      </c>
      <c r="L30" s="18" t="s">
        <v>760</v>
      </c>
      <c r="M30" s="18" t="s">
        <v>772</v>
      </c>
    </row>
    <row r="31">
      <c r="A31" s="7" t="s">
        <v>41</v>
      </c>
      <c r="B31" s="18" t="s">
        <v>773</v>
      </c>
      <c r="C31" s="19" t="s">
        <v>23</v>
      </c>
      <c r="D31" s="22" t="s">
        <v>643</v>
      </c>
      <c r="E31" s="22" t="s">
        <v>645</v>
      </c>
      <c r="F31" s="22" t="s">
        <v>646</v>
      </c>
      <c r="G31" s="23">
        <v>8.5259626461E10</v>
      </c>
      <c r="H31" s="24">
        <v>1.0</v>
      </c>
      <c r="I31" s="18" t="s">
        <v>645</v>
      </c>
      <c r="J31" s="18" t="s">
        <v>646</v>
      </c>
      <c r="K31" s="24">
        <v>8.5259626461E10</v>
      </c>
      <c r="L31" s="18"/>
      <c r="M31" s="18" t="s">
        <v>779</v>
      </c>
    </row>
    <row r="32">
      <c r="A32" s="7" t="s">
        <v>41</v>
      </c>
      <c r="B32" s="18" t="s">
        <v>146</v>
      </c>
      <c r="C32" s="19" t="s">
        <v>23</v>
      </c>
      <c r="D32" s="22" t="s">
        <v>156</v>
      </c>
      <c r="E32" s="22" t="s">
        <v>148</v>
      </c>
      <c r="F32" s="22"/>
      <c r="G32" s="23">
        <v>8.5647109231E10</v>
      </c>
      <c r="H32" s="24">
        <v>1.0</v>
      </c>
      <c r="I32" s="18" t="s">
        <v>148</v>
      </c>
      <c r="J32" s="18"/>
      <c r="K32" s="24">
        <v>8.5647109231E10</v>
      </c>
      <c r="L32" s="18"/>
      <c r="M32" s="18" t="s">
        <v>93</v>
      </c>
    </row>
    <row r="33">
      <c r="A33" s="7" t="s">
        <v>41</v>
      </c>
      <c r="B33" s="18" t="s">
        <v>790</v>
      </c>
      <c r="C33" s="19" t="s">
        <v>791</v>
      </c>
      <c r="D33" s="22" t="s">
        <v>231</v>
      </c>
      <c r="E33" s="22" t="s">
        <v>793</v>
      </c>
      <c r="F33" s="22"/>
      <c r="G33" s="23">
        <v>8.5647109231E10</v>
      </c>
      <c r="H33" s="24">
        <v>1.0</v>
      </c>
      <c r="I33" s="18" t="s">
        <v>793</v>
      </c>
      <c r="J33" s="18"/>
      <c r="K33" s="24">
        <v>8.5647109231E10</v>
      </c>
      <c r="L33" s="18"/>
      <c r="M33" s="18" t="s">
        <v>796</v>
      </c>
    </row>
    <row r="34">
      <c r="A34" s="7" t="s">
        <v>41</v>
      </c>
      <c r="B34" s="18" t="s">
        <v>799</v>
      </c>
      <c r="C34" s="19" t="s">
        <v>14</v>
      </c>
      <c r="D34" s="22" t="s">
        <v>800</v>
      </c>
      <c r="E34" s="22" t="s">
        <v>51</v>
      </c>
      <c r="F34" s="22" t="s">
        <v>47</v>
      </c>
      <c r="G34" s="23">
        <v>8.5736635579E10</v>
      </c>
      <c r="H34" s="24">
        <v>1.0</v>
      </c>
      <c r="I34" s="18" t="s">
        <v>51</v>
      </c>
      <c r="J34" s="18" t="s">
        <v>47</v>
      </c>
      <c r="K34" s="24">
        <v>8.5736635579E10</v>
      </c>
      <c r="L34" s="18" t="s">
        <v>800</v>
      </c>
      <c r="M34" s="18" t="s">
        <v>810</v>
      </c>
    </row>
    <row r="35">
      <c r="A35" s="7" t="s">
        <v>41</v>
      </c>
      <c r="B35" s="18" t="s">
        <v>813</v>
      </c>
      <c r="C35" s="19" t="s">
        <v>23</v>
      </c>
      <c r="D35" s="22" t="s">
        <v>50</v>
      </c>
      <c r="E35" s="22" t="s">
        <v>51</v>
      </c>
      <c r="F35" s="22" t="s">
        <v>54</v>
      </c>
      <c r="G35" s="23">
        <v>8.5736635579E10</v>
      </c>
      <c r="H35" s="24">
        <v>1.0</v>
      </c>
      <c r="I35" s="18" t="s">
        <v>51</v>
      </c>
      <c r="J35" s="18" t="s">
        <v>54</v>
      </c>
      <c r="K35" s="24">
        <v>8.5736635579E10</v>
      </c>
      <c r="L35" s="18"/>
      <c r="M35" s="18" t="s">
        <v>819</v>
      </c>
    </row>
    <row r="36">
      <c r="A36" s="7" t="s">
        <v>41</v>
      </c>
      <c r="B36" s="18" t="s">
        <v>823</v>
      </c>
      <c r="C36" s="19" t="s">
        <v>14</v>
      </c>
      <c r="D36" s="22" t="s">
        <v>826</v>
      </c>
      <c r="E36" s="22" t="s">
        <v>706</v>
      </c>
      <c r="F36" s="22" t="s">
        <v>188</v>
      </c>
      <c r="G36" s="23">
        <v>8.5749592637E10</v>
      </c>
      <c r="H36" s="24">
        <v>1.0</v>
      </c>
      <c r="I36" s="18" t="s">
        <v>706</v>
      </c>
      <c r="J36" s="18" t="s">
        <v>188</v>
      </c>
      <c r="K36" s="24">
        <v>8.5749592637E10</v>
      </c>
      <c r="L36" s="18" t="s">
        <v>826</v>
      </c>
      <c r="M36" s="18" t="s">
        <v>834</v>
      </c>
    </row>
    <row r="37">
      <c r="A37" s="7" t="s">
        <v>41</v>
      </c>
      <c r="B37" s="18" t="s">
        <v>835</v>
      </c>
      <c r="C37" s="19" t="s">
        <v>23</v>
      </c>
      <c r="D37" s="22" t="s">
        <v>705</v>
      </c>
      <c r="E37" s="22" t="s">
        <v>706</v>
      </c>
      <c r="F37" s="22" t="s">
        <v>707</v>
      </c>
      <c r="G37" s="23">
        <v>8.5749592637E10</v>
      </c>
      <c r="H37" s="24">
        <v>1.0</v>
      </c>
      <c r="I37" s="18" t="s">
        <v>706</v>
      </c>
      <c r="J37" s="18" t="s">
        <v>707</v>
      </c>
      <c r="K37" s="24">
        <v>8.5749592637E10</v>
      </c>
      <c r="L37" s="18"/>
      <c r="M37" s="18" t="s">
        <v>843</v>
      </c>
    </row>
    <row r="38">
      <c r="A38" s="7" t="s">
        <v>41</v>
      </c>
      <c r="B38" s="18" t="s">
        <v>847</v>
      </c>
      <c r="C38" s="19" t="s">
        <v>14</v>
      </c>
      <c r="D38" s="22" t="s">
        <v>850</v>
      </c>
      <c r="E38" s="22" t="s">
        <v>258</v>
      </c>
      <c r="F38" s="22" t="s">
        <v>101</v>
      </c>
      <c r="G38" s="23">
        <v>8.5736636579E10</v>
      </c>
      <c r="H38" s="24">
        <v>1.0</v>
      </c>
      <c r="I38" s="18" t="s">
        <v>258</v>
      </c>
      <c r="J38" s="18" t="s">
        <v>101</v>
      </c>
      <c r="K38" s="24">
        <v>8.5736636579E10</v>
      </c>
      <c r="L38" s="18" t="s">
        <v>850</v>
      </c>
      <c r="M38" s="18" t="s">
        <v>856</v>
      </c>
    </row>
    <row r="39">
      <c r="A39" s="7" t="s">
        <v>41</v>
      </c>
      <c r="B39" s="18" t="s">
        <v>858</v>
      </c>
      <c r="C39" s="19" t="s">
        <v>23</v>
      </c>
      <c r="D39" s="22" t="s">
        <v>257</v>
      </c>
      <c r="E39" s="22" t="s">
        <v>258</v>
      </c>
      <c r="F39" s="22" t="s">
        <v>259</v>
      </c>
      <c r="G39" s="23">
        <v>8.5736636579E10</v>
      </c>
      <c r="H39" s="24">
        <v>1.0</v>
      </c>
      <c r="I39" s="18" t="s">
        <v>258</v>
      </c>
      <c r="J39" s="18" t="s">
        <v>259</v>
      </c>
      <c r="K39" s="24">
        <v>8.5736636579E10</v>
      </c>
      <c r="L39" s="18"/>
      <c r="M39" s="18" t="s">
        <v>866</v>
      </c>
    </row>
    <row r="40">
      <c r="A40" s="7" t="s">
        <v>41</v>
      </c>
      <c r="B40" s="18" t="s">
        <v>870</v>
      </c>
      <c r="C40" s="19" t="s">
        <v>791</v>
      </c>
      <c r="D40" s="22" t="s">
        <v>257</v>
      </c>
      <c r="E40" s="22" t="s">
        <v>873</v>
      </c>
      <c r="F40" s="22"/>
      <c r="G40" s="23">
        <v>8.5736636579E10</v>
      </c>
      <c r="H40" s="24">
        <v>1.0</v>
      </c>
      <c r="I40" s="18" t="s">
        <v>873</v>
      </c>
      <c r="J40" s="18"/>
      <c r="K40" s="24">
        <v>8.5736636579E10</v>
      </c>
      <c r="L40" s="18"/>
      <c r="M40" s="18" t="s">
        <v>877</v>
      </c>
    </row>
    <row r="41">
      <c r="A41" s="7" t="s">
        <v>41</v>
      </c>
      <c r="B41" s="18" t="s">
        <v>881</v>
      </c>
      <c r="C41" s="19" t="s">
        <v>14</v>
      </c>
      <c r="D41" s="22" t="s">
        <v>130</v>
      </c>
      <c r="E41" s="22" t="s">
        <v>883</v>
      </c>
      <c r="F41" s="22" t="s">
        <v>884</v>
      </c>
      <c r="G41" s="23">
        <v>8.5856914475E10</v>
      </c>
      <c r="H41" s="24">
        <v>1.0</v>
      </c>
      <c r="I41" s="18" t="s">
        <v>883</v>
      </c>
      <c r="J41" s="18" t="s">
        <v>884</v>
      </c>
      <c r="K41" s="24">
        <v>8.5856914475E10</v>
      </c>
      <c r="L41" s="18" t="s">
        <v>130</v>
      </c>
      <c r="M41" s="18" t="s">
        <v>892</v>
      </c>
    </row>
    <row r="42">
      <c r="A42" s="7" t="s">
        <v>41</v>
      </c>
      <c r="B42" s="18" t="s">
        <v>894</v>
      </c>
      <c r="C42" s="19" t="s">
        <v>23</v>
      </c>
      <c r="D42" s="22" t="s">
        <v>898</v>
      </c>
      <c r="E42" s="22" t="s">
        <v>883</v>
      </c>
      <c r="F42" s="22" t="s">
        <v>138</v>
      </c>
      <c r="G42" s="23">
        <v>8.5856914475E10</v>
      </c>
      <c r="H42" s="24">
        <v>1.0</v>
      </c>
      <c r="I42" s="18" t="s">
        <v>883</v>
      </c>
      <c r="J42" s="18" t="s">
        <v>138</v>
      </c>
      <c r="K42" s="24">
        <v>8.5856914475E10</v>
      </c>
      <c r="L42" s="18"/>
      <c r="M42" s="18" t="s">
        <v>905</v>
      </c>
    </row>
    <row r="43">
      <c r="A43" s="7" t="s">
        <v>41</v>
      </c>
      <c r="B43" s="18" t="s">
        <v>910</v>
      </c>
      <c r="C43" s="19" t="s">
        <v>23</v>
      </c>
      <c r="D43" s="22" t="s">
        <v>130</v>
      </c>
      <c r="E43" s="22" t="s">
        <v>136</v>
      </c>
      <c r="F43" s="22" t="s">
        <v>138</v>
      </c>
      <c r="G43" s="23">
        <v>8.5856914475E10</v>
      </c>
      <c r="H43" s="24">
        <v>1.0</v>
      </c>
      <c r="I43" s="18" t="s">
        <v>136</v>
      </c>
      <c r="J43" s="18" t="s">
        <v>138</v>
      </c>
      <c r="K43" s="24">
        <v>8.5856914475E10</v>
      </c>
      <c r="L43" s="18"/>
      <c r="M43" s="18" t="s">
        <v>918</v>
      </c>
    </row>
    <row r="44" ht="16.5" customHeight="1">
      <c r="A44" s="7" t="s">
        <v>41</v>
      </c>
      <c r="B44" s="18" t="s">
        <v>920</v>
      </c>
      <c r="C44" s="19" t="s">
        <v>14</v>
      </c>
      <c r="D44" s="22" t="s">
        <v>922</v>
      </c>
      <c r="E44" s="22" t="s">
        <v>688</v>
      </c>
      <c r="F44" s="22" t="s">
        <v>74</v>
      </c>
      <c r="G44" s="23">
        <v>8.5235665155E10</v>
      </c>
      <c r="H44" s="24">
        <v>1.0</v>
      </c>
      <c r="I44" s="18" t="s">
        <v>688</v>
      </c>
      <c r="J44" s="18" t="s">
        <v>74</v>
      </c>
      <c r="K44" s="24">
        <v>8.5235665155E10</v>
      </c>
      <c r="L44" s="18" t="s">
        <v>922</v>
      </c>
      <c r="M44" s="18" t="s">
        <v>923</v>
      </c>
    </row>
    <row r="45" ht="16.5" customHeight="1">
      <c r="A45" s="7" t="s">
        <v>41</v>
      </c>
      <c r="B45" s="18" t="s">
        <v>924</v>
      </c>
      <c r="C45" s="19" t="s">
        <v>23</v>
      </c>
      <c r="D45" s="22" t="s">
        <v>687</v>
      </c>
      <c r="E45" s="22" t="s">
        <v>688</v>
      </c>
      <c r="F45" s="22" t="s">
        <v>690</v>
      </c>
      <c r="G45" s="23">
        <v>8.5235665155E10</v>
      </c>
      <c r="H45" s="24">
        <v>1.0</v>
      </c>
      <c r="I45" s="18" t="s">
        <v>688</v>
      </c>
      <c r="J45" s="18" t="s">
        <v>690</v>
      </c>
      <c r="K45" s="24">
        <v>8.5235665155E10</v>
      </c>
      <c r="L45" s="18"/>
      <c r="M45" s="18" t="s">
        <v>929</v>
      </c>
    </row>
    <row r="46">
      <c r="A46" s="7" t="s">
        <v>41</v>
      </c>
      <c r="B46" s="18" t="s">
        <v>931</v>
      </c>
      <c r="C46" s="19" t="s">
        <v>23</v>
      </c>
      <c r="D46" s="22" t="s">
        <v>922</v>
      </c>
      <c r="E46" s="22" t="s">
        <v>933</v>
      </c>
      <c r="F46" s="22" t="s">
        <v>690</v>
      </c>
      <c r="G46" s="23">
        <v>8.5235665155E10</v>
      </c>
      <c r="H46" s="24">
        <v>1.0</v>
      </c>
      <c r="I46" s="18" t="s">
        <v>933</v>
      </c>
      <c r="J46" s="18" t="s">
        <v>690</v>
      </c>
      <c r="K46" s="24">
        <v>8.5235665155E10</v>
      </c>
      <c r="L46" s="18"/>
      <c r="M46" s="18" t="s">
        <v>941</v>
      </c>
    </row>
    <row r="47">
      <c r="A47" s="7" t="s">
        <v>41</v>
      </c>
      <c r="B47" s="18" t="s">
        <v>943</v>
      </c>
      <c r="C47" s="19" t="s">
        <v>791</v>
      </c>
      <c r="D47" s="22" t="s">
        <v>922</v>
      </c>
      <c r="E47" s="22" t="s">
        <v>944</v>
      </c>
      <c r="F47" s="22"/>
      <c r="G47" s="23">
        <v>8.3845898316E10</v>
      </c>
      <c r="H47" s="24">
        <v>1.0</v>
      </c>
      <c r="I47" s="18" t="s">
        <v>944</v>
      </c>
      <c r="J47" s="18"/>
      <c r="K47" s="24">
        <v>8.3845898316E10</v>
      </c>
      <c r="L47" s="18"/>
      <c r="M47" s="18" t="s">
        <v>949</v>
      </c>
    </row>
    <row r="48">
      <c r="A48" s="7" t="s">
        <v>950</v>
      </c>
      <c r="B48" s="18" t="s">
        <v>951</v>
      </c>
      <c r="C48" s="19" t="s">
        <v>23</v>
      </c>
      <c r="D48" s="23">
        <v>7.894561327898E12</v>
      </c>
      <c r="E48" s="22" t="s">
        <v>953</v>
      </c>
      <c r="F48" s="22" t="s">
        <v>955</v>
      </c>
      <c r="G48" s="23">
        <v>8.789465123E9</v>
      </c>
      <c r="H48" s="24">
        <v>0.0</v>
      </c>
      <c r="I48" s="18" t="s">
        <v>953</v>
      </c>
      <c r="J48" s="18" t="s">
        <v>955</v>
      </c>
      <c r="K48" s="24">
        <v>8.789465123E9</v>
      </c>
      <c r="L48" s="18"/>
      <c r="M48" s="18" t="s">
        <v>957</v>
      </c>
    </row>
    <row r="49">
      <c r="A49" s="7" t="s">
        <v>950</v>
      </c>
      <c r="B49" s="18" t="s">
        <v>959</v>
      </c>
      <c r="C49" s="19" t="s">
        <v>23</v>
      </c>
      <c r="D49" s="23">
        <v>7.8987879456545E13</v>
      </c>
      <c r="E49" s="22" t="s">
        <v>963</v>
      </c>
      <c r="F49" s="22" t="s">
        <v>965</v>
      </c>
      <c r="G49" s="23">
        <v>8.7894563213E10</v>
      </c>
      <c r="H49" s="24">
        <v>0.0</v>
      </c>
      <c r="I49" s="18" t="s">
        <v>963</v>
      </c>
      <c r="J49" s="18" t="s">
        <v>965</v>
      </c>
      <c r="K49" s="24">
        <v>8.7894563213E10</v>
      </c>
      <c r="L49" s="18"/>
      <c r="M49" s="18" t="s">
        <v>967</v>
      </c>
    </row>
    <row r="50">
      <c r="A50" s="7" t="s">
        <v>950</v>
      </c>
      <c r="B50" s="18" t="s">
        <v>968</v>
      </c>
      <c r="C50" s="19" t="s">
        <v>23</v>
      </c>
      <c r="D50" s="22" t="s">
        <v>722</v>
      </c>
      <c r="E50" s="22" t="s">
        <v>969</v>
      </c>
      <c r="F50" s="22" t="s">
        <v>724</v>
      </c>
      <c r="G50" s="23">
        <v>8.2301027322E10</v>
      </c>
      <c r="H50" s="24">
        <v>1.0</v>
      </c>
      <c r="I50" s="18" t="s">
        <v>969</v>
      </c>
      <c r="J50" s="18" t="s">
        <v>724</v>
      </c>
      <c r="K50" s="24">
        <v>8.2301027322E10</v>
      </c>
      <c r="L50" s="18"/>
      <c r="M50" s="18" t="s">
        <v>971</v>
      </c>
    </row>
    <row r="51">
      <c r="A51" s="7" t="s">
        <v>950</v>
      </c>
      <c r="B51" s="18" t="s">
        <v>844</v>
      </c>
      <c r="C51" s="19" t="s">
        <v>23</v>
      </c>
      <c r="D51" s="22" t="s">
        <v>854</v>
      </c>
      <c r="E51" s="22" t="s">
        <v>723</v>
      </c>
      <c r="F51" s="22"/>
      <c r="G51" s="23">
        <v>8.22301027322E11</v>
      </c>
      <c r="H51" s="24">
        <v>1.0</v>
      </c>
      <c r="I51" s="18" t="s">
        <v>723</v>
      </c>
      <c r="J51" s="18"/>
      <c r="K51" s="24">
        <v>8.22301027322E11</v>
      </c>
      <c r="L51" s="18"/>
      <c r="M51" s="18"/>
    </row>
    <row r="52">
      <c r="A52" s="7" t="s">
        <v>950</v>
      </c>
      <c r="B52" s="18" t="s">
        <v>473</v>
      </c>
      <c r="C52" s="19" t="s">
        <v>23</v>
      </c>
      <c r="D52" s="22" t="s">
        <v>483</v>
      </c>
      <c r="E52" s="22" t="s">
        <v>452</v>
      </c>
      <c r="F52" s="22"/>
      <c r="G52" s="23">
        <v>8.2231263861E10</v>
      </c>
      <c r="H52" s="24">
        <v>1.0</v>
      </c>
      <c r="I52" s="18" t="s">
        <v>452</v>
      </c>
      <c r="J52" s="18"/>
      <c r="K52" s="24">
        <v>8.2231263861E10</v>
      </c>
      <c r="L52" s="18"/>
      <c r="M52" s="18" t="s">
        <v>486</v>
      </c>
    </row>
    <row r="53">
      <c r="A53" s="7" t="s">
        <v>950</v>
      </c>
      <c r="B53" s="18" t="s">
        <v>977</v>
      </c>
      <c r="C53" s="19" t="s">
        <v>23</v>
      </c>
      <c r="D53" s="22" t="s">
        <v>451</v>
      </c>
      <c r="E53" s="22" t="s">
        <v>452</v>
      </c>
      <c r="F53" s="22" t="s">
        <v>979</v>
      </c>
      <c r="G53" s="23">
        <v>8.5736954848E10</v>
      </c>
      <c r="H53" s="24">
        <v>1.0</v>
      </c>
      <c r="I53" s="18" t="s">
        <v>452</v>
      </c>
      <c r="J53" s="18" t="s">
        <v>979</v>
      </c>
      <c r="K53" s="24">
        <v>8.5736954848E10</v>
      </c>
      <c r="L53" s="18"/>
      <c r="M53" s="18" t="s">
        <v>980</v>
      </c>
    </row>
    <row r="54">
      <c r="A54" s="7" t="s">
        <v>950</v>
      </c>
      <c r="B54" s="18" t="s">
        <v>983</v>
      </c>
      <c r="C54" s="19" t="s">
        <v>23</v>
      </c>
      <c r="D54" s="22" t="s">
        <v>512</v>
      </c>
      <c r="E54" s="22" t="s">
        <v>514</v>
      </c>
      <c r="F54" s="22" t="s">
        <v>515</v>
      </c>
      <c r="G54" s="23">
        <v>8.9603093251E10</v>
      </c>
      <c r="H54" s="24">
        <v>1.0</v>
      </c>
      <c r="I54" s="18" t="s">
        <v>514</v>
      </c>
      <c r="J54" s="18" t="s">
        <v>515</v>
      </c>
      <c r="K54" s="24">
        <v>8.9603093251E10</v>
      </c>
      <c r="L54" s="18"/>
      <c r="M54" s="18" t="s">
        <v>987</v>
      </c>
    </row>
    <row r="55">
      <c r="A55" s="7" t="s">
        <v>950</v>
      </c>
      <c r="B55" s="18" t="s">
        <v>578</v>
      </c>
      <c r="C55" s="19" t="s">
        <v>23</v>
      </c>
      <c r="D55" s="22" t="s">
        <v>588</v>
      </c>
      <c r="E55" s="22" t="s">
        <v>514</v>
      </c>
      <c r="F55" s="22"/>
      <c r="G55" s="23">
        <v>8.9603093251E10</v>
      </c>
      <c r="H55" s="24">
        <v>1.0</v>
      </c>
      <c r="I55" s="18" t="s">
        <v>514</v>
      </c>
      <c r="J55" s="18"/>
      <c r="K55" s="24">
        <v>8.9603093251E10</v>
      </c>
      <c r="L55" s="18"/>
      <c r="M55" s="18"/>
    </row>
    <row r="56">
      <c r="A56" s="7" t="s">
        <v>950</v>
      </c>
      <c r="B56" s="18" t="s">
        <v>608</v>
      </c>
      <c r="C56" s="19" t="s">
        <v>23</v>
      </c>
      <c r="D56" s="22" t="s">
        <v>616</v>
      </c>
      <c r="E56" s="22" t="s">
        <v>532</v>
      </c>
      <c r="F56" s="22"/>
      <c r="G56" s="23">
        <v>8.2233902019E10</v>
      </c>
      <c r="H56" s="24">
        <v>1.0</v>
      </c>
      <c r="I56" s="18" t="s">
        <v>532</v>
      </c>
      <c r="J56" s="18"/>
      <c r="K56" s="24">
        <v>8.2233902019E10</v>
      </c>
      <c r="L56" s="18"/>
      <c r="M56" s="18"/>
    </row>
    <row r="57">
      <c r="A57" s="7" t="s">
        <v>950</v>
      </c>
      <c r="B57" s="18" t="s">
        <v>992</v>
      </c>
      <c r="C57" s="19" t="s">
        <v>23</v>
      </c>
      <c r="D57" s="22" t="s">
        <v>531</v>
      </c>
      <c r="E57" s="22" t="s">
        <v>994</v>
      </c>
      <c r="F57" s="22" t="s">
        <v>995</v>
      </c>
      <c r="G57" s="23">
        <v>8.1328289929E10</v>
      </c>
      <c r="H57" s="24">
        <v>1.0</v>
      </c>
      <c r="I57" s="18" t="s">
        <v>994</v>
      </c>
      <c r="J57" s="18" t="s">
        <v>995</v>
      </c>
      <c r="K57" s="24">
        <v>8.1328289929E10</v>
      </c>
      <c r="L57" s="18"/>
      <c r="M57" s="18" t="s">
        <v>93</v>
      </c>
    </row>
    <row r="58">
      <c r="A58" s="7" t="s">
        <v>950</v>
      </c>
      <c r="B58" s="18" t="s">
        <v>996</v>
      </c>
      <c r="C58" s="19" t="s">
        <v>23</v>
      </c>
      <c r="D58" s="22" t="s">
        <v>806</v>
      </c>
      <c r="E58" s="22" t="s">
        <v>999</v>
      </c>
      <c r="F58" s="22" t="s">
        <v>811</v>
      </c>
      <c r="G58" s="23">
        <v>8.124985514E9</v>
      </c>
      <c r="H58" s="24">
        <v>1.0</v>
      </c>
      <c r="I58" s="18" t="s">
        <v>999</v>
      </c>
      <c r="J58" s="18" t="s">
        <v>811</v>
      </c>
      <c r="K58" s="24">
        <v>8.124985514E9</v>
      </c>
      <c r="L58" s="18"/>
      <c r="M58" s="18" t="s">
        <v>84</v>
      </c>
    </row>
    <row r="59">
      <c r="A59" s="7" t="s">
        <v>950</v>
      </c>
      <c r="B59" s="18" t="s">
        <v>952</v>
      </c>
      <c r="C59" s="19" t="s">
        <v>23</v>
      </c>
      <c r="D59" s="22" t="s">
        <v>961</v>
      </c>
      <c r="E59" s="22" t="s">
        <v>808</v>
      </c>
      <c r="F59" s="22"/>
      <c r="G59" s="23">
        <v>8.1310015763E10</v>
      </c>
      <c r="H59" s="24">
        <v>1.0</v>
      </c>
      <c r="I59" s="18" t="s">
        <v>808</v>
      </c>
      <c r="J59" s="18"/>
      <c r="K59" s="24">
        <v>8.1310015763E10</v>
      </c>
      <c r="L59" s="18"/>
      <c r="M59" s="18"/>
    </row>
    <row r="60">
      <c r="A60" s="7" t="s">
        <v>950</v>
      </c>
      <c r="B60" s="18" t="s">
        <v>1003</v>
      </c>
      <c r="C60" s="19" t="s">
        <v>23</v>
      </c>
      <c r="D60" s="22" t="s">
        <v>845</v>
      </c>
      <c r="E60" s="22" t="s">
        <v>1004</v>
      </c>
      <c r="F60" s="22" t="s">
        <v>848</v>
      </c>
      <c r="G60" s="23">
        <v>8.5814137165E10</v>
      </c>
      <c r="H60" s="24">
        <v>1.0</v>
      </c>
      <c r="I60" s="18" t="s">
        <v>1004</v>
      </c>
      <c r="J60" s="18" t="s">
        <v>848</v>
      </c>
      <c r="K60" s="24">
        <v>8.5814137165E10</v>
      </c>
      <c r="L60" s="18"/>
      <c r="M60" s="18" t="s">
        <v>84</v>
      </c>
    </row>
    <row r="61">
      <c r="A61" s="7" t="s">
        <v>950</v>
      </c>
      <c r="B61" s="18" t="s">
        <v>985</v>
      </c>
      <c r="C61" s="19" t="s">
        <v>23</v>
      </c>
      <c r="D61" s="22" t="s">
        <v>988</v>
      </c>
      <c r="E61" s="22" t="s">
        <v>986</v>
      </c>
      <c r="F61" s="22"/>
      <c r="G61" s="23">
        <v>8.1234381838E10</v>
      </c>
      <c r="H61" s="24">
        <v>1.0</v>
      </c>
      <c r="I61" s="18" t="s">
        <v>986</v>
      </c>
      <c r="J61" s="18"/>
      <c r="K61" s="24">
        <v>8.1234381838E10</v>
      </c>
      <c r="L61" s="18"/>
      <c r="M61" s="18"/>
    </row>
    <row r="62">
      <c r="A62" s="7" t="s">
        <v>1006</v>
      </c>
      <c r="B62" s="18" t="s">
        <v>1008</v>
      </c>
      <c r="C62" s="19" t="s">
        <v>23</v>
      </c>
      <c r="D62" s="23">
        <v>1.23456789E8</v>
      </c>
      <c r="E62" s="22" t="s">
        <v>957</v>
      </c>
      <c r="F62" s="22" t="s">
        <v>1009</v>
      </c>
      <c r="G62" s="23">
        <v>8.213214321E9</v>
      </c>
      <c r="H62" s="24">
        <v>0.0</v>
      </c>
      <c r="I62" s="18" t="s">
        <v>957</v>
      </c>
      <c r="J62" s="18" t="s">
        <v>1009</v>
      </c>
      <c r="K62" s="24">
        <v>8.213214321E9</v>
      </c>
      <c r="L62" s="18"/>
      <c r="M62" s="18" t="s">
        <v>1010</v>
      </c>
    </row>
    <row r="63">
      <c r="A63" s="7" t="s">
        <v>1006</v>
      </c>
      <c r="B63" s="18" t="s">
        <v>1013</v>
      </c>
      <c r="C63" s="19" t="s">
        <v>23</v>
      </c>
      <c r="D63" s="23">
        <v>123.0</v>
      </c>
      <c r="E63" s="22" t="s">
        <v>1015</v>
      </c>
      <c r="F63" s="22" t="s">
        <v>1016</v>
      </c>
      <c r="G63" s="23">
        <v>8.1234567898E10</v>
      </c>
      <c r="H63" s="24">
        <v>0.0</v>
      </c>
      <c r="I63" s="18" t="s">
        <v>1015</v>
      </c>
      <c r="J63" s="18" t="s">
        <v>1016</v>
      </c>
      <c r="K63" s="24">
        <v>8.1234567898E10</v>
      </c>
      <c r="L63" s="18"/>
      <c r="M63" s="18" t="s">
        <v>27</v>
      </c>
    </row>
    <row r="64">
      <c r="A64" s="7" t="s">
        <v>1006</v>
      </c>
      <c r="B64" s="18" t="s">
        <v>1017</v>
      </c>
      <c r="C64" s="19" t="s">
        <v>23</v>
      </c>
      <c r="D64" s="23">
        <v>9.87654321234567E14</v>
      </c>
      <c r="E64" s="22" t="s">
        <v>1018</v>
      </c>
      <c r="F64" s="22" t="s">
        <v>1009</v>
      </c>
      <c r="G64" s="23">
        <v>9.87655678909E11</v>
      </c>
      <c r="H64" s="24">
        <v>0.0</v>
      </c>
      <c r="I64" s="18" t="s">
        <v>1018</v>
      </c>
      <c r="J64" s="18" t="s">
        <v>1009</v>
      </c>
      <c r="K64" s="24">
        <v>9.87655678909E11</v>
      </c>
      <c r="L64" s="18"/>
      <c r="M64" s="18" t="s">
        <v>1019</v>
      </c>
    </row>
    <row r="65">
      <c r="A65" s="7" t="s">
        <v>1006</v>
      </c>
      <c r="B65" s="18" t="s">
        <v>1020</v>
      </c>
      <c r="C65" s="19" t="s">
        <v>791</v>
      </c>
      <c r="D65" s="22" t="s">
        <v>1021</v>
      </c>
      <c r="E65" s="22" t="s">
        <v>1022</v>
      </c>
      <c r="F65" s="22" t="s">
        <v>683</v>
      </c>
      <c r="G65" s="23">
        <v>8.2335984151E10</v>
      </c>
      <c r="H65" s="24">
        <v>1.0</v>
      </c>
      <c r="I65" s="18" t="s">
        <v>1022</v>
      </c>
      <c r="J65" s="18" t="s">
        <v>683</v>
      </c>
      <c r="K65" s="24">
        <v>8.2335984151E10</v>
      </c>
      <c r="L65" s="18" t="s">
        <v>1021</v>
      </c>
      <c r="M65" s="18" t="s">
        <v>1025</v>
      </c>
    </row>
    <row r="66">
      <c r="A66" s="7" t="s">
        <v>1006</v>
      </c>
      <c r="B66" s="18" t="s">
        <v>1026</v>
      </c>
      <c r="C66" s="19" t="s">
        <v>791</v>
      </c>
      <c r="D66" s="22" t="s">
        <v>1028</v>
      </c>
      <c r="E66" s="22" t="s">
        <v>1030</v>
      </c>
      <c r="F66" s="22" t="s">
        <v>683</v>
      </c>
      <c r="G66" s="23">
        <v>8.5645163601E10</v>
      </c>
      <c r="H66" s="24">
        <v>1.0</v>
      </c>
      <c r="I66" s="18" t="s">
        <v>1030</v>
      </c>
      <c r="J66" s="18" t="s">
        <v>683</v>
      </c>
      <c r="K66" s="24">
        <v>8.5645163601E10</v>
      </c>
      <c r="L66" s="18" t="s">
        <v>1028</v>
      </c>
      <c r="M66" s="18" t="s">
        <v>1032</v>
      </c>
    </row>
    <row r="67">
      <c r="A67" s="7" t="s">
        <v>1006</v>
      </c>
      <c r="B67" s="18" t="s">
        <v>1033</v>
      </c>
      <c r="C67" s="19" t="s">
        <v>791</v>
      </c>
      <c r="D67" s="22" t="s">
        <v>1035</v>
      </c>
      <c r="E67" s="22" t="s">
        <v>1036</v>
      </c>
      <c r="F67" s="22" t="s">
        <v>279</v>
      </c>
      <c r="G67" s="23">
        <v>8.5334170068E10</v>
      </c>
      <c r="H67" s="24">
        <v>1.0</v>
      </c>
      <c r="I67" s="18" t="s">
        <v>1036</v>
      </c>
      <c r="J67" s="18" t="s">
        <v>279</v>
      </c>
      <c r="K67" s="24">
        <v>8.5334170068E10</v>
      </c>
      <c r="L67" s="18" t="s">
        <v>1035</v>
      </c>
      <c r="M67" s="18" t="s">
        <v>1037</v>
      </c>
    </row>
    <row r="68">
      <c r="A68" s="7" t="s">
        <v>1006</v>
      </c>
      <c r="B68" s="18" t="s">
        <v>1038</v>
      </c>
      <c r="C68" s="19" t="s">
        <v>791</v>
      </c>
      <c r="D68" s="22" t="s">
        <v>1039</v>
      </c>
      <c r="E68" s="22" t="s">
        <v>1041</v>
      </c>
      <c r="F68" s="22" t="s">
        <v>279</v>
      </c>
      <c r="G68" s="23">
        <v>8.1332576177E10</v>
      </c>
      <c r="H68" s="24">
        <v>1.0</v>
      </c>
      <c r="I68" s="18" t="s">
        <v>1041</v>
      </c>
      <c r="J68" s="18" t="s">
        <v>279</v>
      </c>
      <c r="K68" s="24">
        <v>8.1332576177E10</v>
      </c>
      <c r="L68" s="18" t="s">
        <v>1039</v>
      </c>
      <c r="M68" s="18" t="s">
        <v>1037</v>
      </c>
    </row>
    <row r="69">
      <c r="A69" s="7" t="s">
        <v>1006</v>
      </c>
      <c r="B69" s="18" t="s">
        <v>1042</v>
      </c>
      <c r="C69" s="19" t="s">
        <v>791</v>
      </c>
      <c r="D69" s="22" t="s">
        <v>1043</v>
      </c>
      <c r="E69" s="22" t="s">
        <v>1044</v>
      </c>
      <c r="F69" s="22" t="s">
        <v>279</v>
      </c>
      <c r="G69" s="23">
        <v>8.1329418222E10</v>
      </c>
      <c r="H69" s="24">
        <v>1.0</v>
      </c>
      <c r="I69" s="18" t="s">
        <v>1044</v>
      </c>
      <c r="J69" s="18" t="s">
        <v>279</v>
      </c>
      <c r="K69" s="24">
        <v>8.1329418222E10</v>
      </c>
      <c r="L69" s="18" t="s">
        <v>1043</v>
      </c>
      <c r="M69" s="18" t="s">
        <v>1037</v>
      </c>
    </row>
    <row r="70">
      <c r="A70" s="7" t="s">
        <v>1006</v>
      </c>
      <c r="B70" s="18" t="s">
        <v>1045</v>
      </c>
      <c r="C70" s="19" t="s">
        <v>791</v>
      </c>
      <c r="D70" s="22" t="s">
        <v>1046</v>
      </c>
      <c r="E70" s="22" t="s">
        <v>1047</v>
      </c>
      <c r="F70" s="22" t="s">
        <v>279</v>
      </c>
      <c r="G70" s="23">
        <v>8.5319404441E10</v>
      </c>
      <c r="H70" s="24">
        <v>1.0</v>
      </c>
      <c r="I70" s="18" t="s">
        <v>1047</v>
      </c>
      <c r="J70" s="18" t="s">
        <v>279</v>
      </c>
      <c r="K70" s="24">
        <v>8.5319404441E10</v>
      </c>
      <c r="L70" s="18" t="s">
        <v>1046</v>
      </c>
      <c r="M70" s="18" t="s">
        <v>1048</v>
      </c>
    </row>
    <row r="71">
      <c r="A71" s="7" t="s">
        <v>1006</v>
      </c>
      <c r="B71" s="18" t="s">
        <v>1049</v>
      </c>
      <c r="C71" s="19" t="s">
        <v>791</v>
      </c>
      <c r="D71" s="22" t="s">
        <v>1050</v>
      </c>
      <c r="E71" s="22" t="s">
        <v>1051</v>
      </c>
      <c r="F71" s="22" t="s">
        <v>279</v>
      </c>
      <c r="G71" s="23">
        <v>8.232266647E10</v>
      </c>
      <c r="H71" s="24">
        <v>1.0</v>
      </c>
      <c r="I71" s="18" t="s">
        <v>1051</v>
      </c>
      <c r="J71" s="18" t="s">
        <v>279</v>
      </c>
      <c r="K71" s="24">
        <v>8.232266647E10</v>
      </c>
      <c r="L71" s="18" t="s">
        <v>1050</v>
      </c>
      <c r="M71" s="18" t="s">
        <v>1052</v>
      </c>
    </row>
    <row r="72">
      <c r="A72" s="7" t="s">
        <v>1006</v>
      </c>
      <c r="B72" s="18" t="s">
        <v>1053</v>
      </c>
      <c r="C72" s="19" t="s">
        <v>791</v>
      </c>
      <c r="D72" s="22" t="s">
        <v>1054</v>
      </c>
      <c r="E72" s="22" t="s">
        <v>1055</v>
      </c>
      <c r="F72" s="22" t="s">
        <v>279</v>
      </c>
      <c r="G72" s="23">
        <v>8.3119861215E10</v>
      </c>
      <c r="H72" s="24">
        <v>1.0</v>
      </c>
      <c r="I72" s="18" t="s">
        <v>1055</v>
      </c>
      <c r="J72" s="18" t="s">
        <v>279</v>
      </c>
      <c r="K72" s="24">
        <v>8.3119861215E10</v>
      </c>
      <c r="L72" s="18" t="s">
        <v>1054</v>
      </c>
      <c r="M72" s="18" t="s">
        <v>1037</v>
      </c>
    </row>
    <row r="73">
      <c r="A73" s="7" t="s">
        <v>1006</v>
      </c>
      <c r="B73" s="18" t="s">
        <v>1056</v>
      </c>
      <c r="C73" s="19" t="s">
        <v>791</v>
      </c>
      <c r="D73" s="22" t="s">
        <v>1057</v>
      </c>
      <c r="E73" s="22" t="s">
        <v>1058</v>
      </c>
      <c r="F73" s="22" t="s">
        <v>279</v>
      </c>
      <c r="G73" s="23">
        <v>8.2135189165E10</v>
      </c>
      <c r="H73" s="24">
        <v>1.0</v>
      </c>
      <c r="I73" s="18" t="s">
        <v>1058</v>
      </c>
      <c r="J73" s="18" t="s">
        <v>279</v>
      </c>
      <c r="K73" s="24">
        <v>8.2135189165E10</v>
      </c>
      <c r="L73" s="18" t="s">
        <v>1057</v>
      </c>
      <c r="M73" s="18" t="s">
        <v>1059</v>
      </c>
    </row>
    <row r="74">
      <c r="A74" s="7" t="s">
        <v>1006</v>
      </c>
      <c r="B74" s="18" t="s">
        <v>1060</v>
      </c>
      <c r="C74" s="19" t="s">
        <v>791</v>
      </c>
      <c r="D74" s="22" t="s">
        <v>1061</v>
      </c>
      <c r="E74" s="22" t="s">
        <v>1062</v>
      </c>
      <c r="F74" s="22" t="s">
        <v>279</v>
      </c>
      <c r="G74" s="23">
        <v>8.123449241E9</v>
      </c>
      <c r="H74" s="24">
        <v>1.0</v>
      </c>
      <c r="I74" s="18" t="s">
        <v>1062</v>
      </c>
      <c r="J74" s="18" t="s">
        <v>279</v>
      </c>
      <c r="K74" s="24">
        <v>8.123449241E9</v>
      </c>
      <c r="L74" s="18" t="s">
        <v>1061</v>
      </c>
      <c r="M74" s="18" t="s">
        <v>1059</v>
      </c>
    </row>
    <row r="75">
      <c r="A75" s="7" t="s">
        <v>1006</v>
      </c>
      <c r="B75" s="18" t="s">
        <v>1063</v>
      </c>
      <c r="C75" s="19" t="s">
        <v>791</v>
      </c>
      <c r="D75" s="22" t="s">
        <v>1064</v>
      </c>
      <c r="E75" s="22" t="s">
        <v>1065</v>
      </c>
      <c r="F75" s="22" t="s">
        <v>1066</v>
      </c>
      <c r="G75" s="23">
        <v>8.2232319484E10</v>
      </c>
      <c r="H75" s="24">
        <v>1.0</v>
      </c>
      <c r="I75" s="18" t="s">
        <v>1065</v>
      </c>
      <c r="J75" s="18" t="s">
        <v>1066</v>
      </c>
      <c r="K75" s="24">
        <v>8.2232319484E10</v>
      </c>
      <c r="L75" s="18" t="s">
        <v>1064</v>
      </c>
      <c r="M75" s="18" t="s">
        <v>1067</v>
      </c>
    </row>
    <row r="76">
      <c r="A76" s="7" t="s">
        <v>1006</v>
      </c>
      <c r="B76" s="18" t="s">
        <v>1068</v>
      </c>
      <c r="C76" s="19" t="s">
        <v>791</v>
      </c>
      <c r="D76" s="22" t="s">
        <v>1069</v>
      </c>
      <c r="E76" s="22" t="s">
        <v>1070</v>
      </c>
      <c r="F76" s="22" t="s">
        <v>1071</v>
      </c>
      <c r="G76" s="23">
        <v>8.2232319485E10</v>
      </c>
      <c r="H76" s="24">
        <v>1.0</v>
      </c>
      <c r="I76" s="18" t="s">
        <v>1070</v>
      </c>
      <c r="J76" s="18" t="s">
        <v>1071</v>
      </c>
      <c r="K76" s="24">
        <v>8.2232319485E10</v>
      </c>
      <c r="L76" s="18" t="s">
        <v>1069</v>
      </c>
      <c r="M76" s="18" t="s">
        <v>1072</v>
      </c>
    </row>
    <row r="77">
      <c r="A77" s="7" t="s">
        <v>1006</v>
      </c>
      <c r="B77" s="18" t="s">
        <v>1073</v>
      </c>
      <c r="C77" s="19" t="s">
        <v>791</v>
      </c>
      <c r="D77" s="22" t="s">
        <v>1074</v>
      </c>
      <c r="E77" s="22" t="s">
        <v>1075</v>
      </c>
      <c r="F77" s="22" t="s">
        <v>1066</v>
      </c>
      <c r="G77" s="23">
        <v>8.2232319484E10</v>
      </c>
      <c r="H77" s="24">
        <v>1.0</v>
      </c>
      <c r="I77" s="18" t="s">
        <v>1075</v>
      </c>
      <c r="J77" s="18" t="s">
        <v>1066</v>
      </c>
      <c r="K77" s="24">
        <v>8.2232319484E10</v>
      </c>
      <c r="L77" s="18" t="s">
        <v>1064</v>
      </c>
      <c r="M77" s="18" t="s">
        <v>1076</v>
      </c>
    </row>
    <row r="78">
      <c r="A78" s="7" t="s">
        <v>1006</v>
      </c>
      <c r="B78" s="18" t="s">
        <v>1077</v>
      </c>
      <c r="C78" s="19" t="s">
        <v>23</v>
      </c>
      <c r="D78" s="22" t="s">
        <v>344</v>
      </c>
      <c r="E78" s="22" t="s">
        <v>1078</v>
      </c>
      <c r="F78" s="22" t="s">
        <v>347</v>
      </c>
      <c r="G78" s="23">
        <v>8.5812735927E10</v>
      </c>
      <c r="H78" s="24">
        <v>1.0</v>
      </c>
      <c r="I78" s="18" t="s">
        <v>1078</v>
      </c>
      <c r="J78" s="18" t="s">
        <v>347</v>
      </c>
      <c r="K78" s="24">
        <v>8.5812735927E10</v>
      </c>
      <c r="L78" s="18"/>
      <c r="M78" s="18" t="s">
        <v>1079</v>
      </c>
    </row>
    <row r="79">
      <c r="A79" s="7" t="s">
        <v>1006</v>
      </c>
      <c r="B79" s="18" t="s">
        <v>1080</v>
      </c>
      <c r="C79" s="19" t="s">
        <v>23</v>
      </c>
      <c r="D79" s="22" t="s">
        <v>344</v>
      </c>
      <c r="E79" s="22" t="s">
        <v>1081</v>
      </c>
      <c r="F79" s="22" t="s">
        <v>347</v>
      </c>
      <c r="G79" s="23">
        <v>81.0</v>
      </c>
      <c r="H79" s="24">
        <v>0.0</v>
      </c>
      <c r="I79" s="18" t="s">
        <v>1081</v>
      </c>
      <c r="J79" s="18" t="s">
        <v>347</v>
      </c>
      <c r="K79" s="24">
        <v>81.0</v>
      </c>
      <c r="L79" s="18"/>
      <c r="M79" s="18" t="s">
        <v>1079</v>
      </c>
    </row>
    <row r="80">
      <c r="A80" s="7" t="s">
        <v>1006</v>
      </c>
      <c r="B80" s="18" t="s">
        <v>1082</v>
      </c>
      <c r="C80" s="19" t="s">
        <v>23</v>
      </c>
      <c r="D80" s="22" t="s">
        <v>389</v>
      </c>
      <c r="E80" s="22" t="s">
        <v>390</v>
      </c>
      <c r="F80" s="22" t="s">
        <v>392</v>
      </c>
      <c r="G80" s="23">
        <v>8.233452145E10</v>
      </c>
      <c r="H80" s="24">
        <v>1.0</v>
      </c>
      <c r="I80" s="18" t="s">
        <v>390</v>
      </c>
      <c r="J80" s="18" t="s">
        <v>392</v>
      </c>
      <c r="K80" s="24">
        <v>8.233452145E10</v>
      </c>
      <c r="L80" s="18"/>
      <c r="M80" s="18" t="s">
        <v>1083</v>
      </c>
    </row>
    <row r="81">
      <c r="A81" s="7" t="s">
        <v>1006</v>
      </c>
      <c r="B81" s="18" t="s">
        <v>1084</v>
      </c>
      <c r="C81" s="19" t="s">
        <v>23</v>
      </c>
      <c r="D81" s="22" t="s">
        <v>575</v>
      </c>
      <c r="E81" s="22" t="s">
        <v>576</v>
      </c>
      <c r="F81" s="22" t="s">
        <v>392</v>
      </c>
      <c r="G81" s="23">
        <v>8.22453632E10</v>
      </c>
      <c r="H81" s="24">
        <v>1.0</v>
      </c>
      <c r="I81" s="18" t="s">
        <v>576</v>
      </c>
      <c r="J81" s="18" t="s">
        <v>392</v>
      </c>
      <c r="K81" s="24">
        <v>8.22453632E10</v>
      </c>
      <c r="L81" s="18"/>
      <c r="M81" s="18" t="s">
        <v>68</v>
      </c>
    </row>
    <row r="82">
      <c r="A82" s="7" t="s">
        <v>1006</v>
      </c>
      <c r="B82" s="18" t="s">
        <v>1085</v>
      </c>
      <c r="C82" s="19" t="s">
        <v>791</v>
      </c>
      <c r="D82" s="22" t="s">
        <v>1086</v>
      </c>
      <c r="E82" s="22" t="s">
        <v>1087</v>
      </c>
      <c r="F82" s="22" t="s">
        <v>1088</v>
      </c>
      <c r="G82" s="23">
        <v>8.5259902795E10</v>
      </c>
      <c r="H82" s="24">
        <v>1.0</v>
      </c>
      <c r="I82" s="18" t="s">
        <v>1087</v>
      </c>
      <c r="J82" s="18" t="s">
        <v>1088</v>
      </c>
      <c r="K82" s="24">
        <v>8.5259902795E10</v>
      </c>
      <c r="L82" s="18" t="s">
        <v>1086</v>
      </c>
      <c r="M82" s="18" t="s">
        <v>1089</v>
      </c>
    </row>
    <row r="83">
      <c r="A83" s="7" t="s">
        <v>1006</v>
      </c>
      <c r="B83" s="18" t="s">
        <v>1090</v>
      </c>
      <c r="C83" s="19" t="s">
        <v>791</v>
      </c>
      <c r="D83" s="22" t="s">
        <v>1091</v>
      </c>
      <c r="E83" s="22" t="s">
        <v>1092</v>
      </c>
      <c r="F83" s="22" t="s">
        <v>1088</v>
      </c>
      <c r="G83" s="23">
        <v>8.123427222E9</v>
      </c>
      <c r="H83" s="24">
        <v>1.0</v>
      </c>
      <c r="I83" s="18" t="s">
        <v>1092</v>
      </c>
      <c r="J83" s="18" t="s">
        <v>1088</v>
      </c>
      <c r="K83" s="24">
        <v>8.123427222E9</v>
      </c>
      <c r="L83" s="18" t="s">
        <v>1091</v>
      </c>
      <c r="M83" s="18" t="s">
        <v>1089</v>
      </c>
    </row>
    <row r="84">
      <c r="A84" s="7" t="s">
        <v>1006</v>
      </c>
      <c r="B84" s="18" t="s">
        <v>1093</v>
      </c>
      <c r="C84" s="19" t="s">
        <v>791</v>
      </c>
      <c r="D84" s="22" t="s">
        <v>1094</v>
      </c>
      <c r="E84" s="22" t="s">
        <v>1095</v>
      </c>
      <c r="F84" s="22" t="s">
        <v>1096</v>
      </c>
      <c r="G84" s="23">
        <v>8.1235730137E10</v>
      </c>
      <c r="H84" s="24">
        <v>1.0</v>
      </c>
      <c r="I84" s="18" t="s">
        <v>1095</v>
      </c>
      <c r="J84" s="18" t="s">
        <v>1096</v>
      </c>
      <c r="K84" s="24">
        <v>8.1235730137E10</v>
      </c>
      <c r="L84" s="18" t="s">
        <v>1094</v>
      </c>
      <c r="M84" s="18" t="s">
        <v>1097</v>
      </c>
    </row>
    <row r="85">
      <c r="A85" s="7" t="s">
        <v>1006</v>
      </c>
      <c r="B85" s="18" t="s">
        <v>1098</v>
      </c>
      <c r="C85" s="19" t="s">
        <v>791</v>
      </c>
      <c r="D85" s="22" t="s">
        <v>1099</v>
      </c>
      <c r="E85" s="22" t="s">
        <v>1100</v>
      </c>
      <c r="F85" s="22" t="s">
        <v>1096</v>
      </c>
      <c r="G85" s="23">
        <v>8.1336304421E10</v>
      </c>
      <c r="H85" s="24">
        <v>1.0</v>
      </c>
      <c r="I85" s="18" t="s">
        <v>1100</v>
      </c>
      <c r="J85" s="18" t="s">
        <v>1096</v>
      </c>
      <c r="K85" s="24">
        <v>8.1336304421E10</v>
      </c>
      <c r="L85" s="18" t="s">
        <v>1099</v>
      </c>
      <c r="M85" s="18" t="s">
        <v>1101</v>
      </c>
    </row>
    <row r="86">
      <c r="A86" s="7" t="s">
        <v>1006</v>
      </c>
      <c r="B86" s="18" t="s">
        <v>1102</v>
      </c>
      <c r="C86" s="19" t="s">
        <v>791</v>
      </c>
      <c r="D86" s="22" t="s">
        <v>1103</v>
      </c>
      <c r="E86" s="22" t="s">
        <v>1104</v>
      </c>
      <c r="F86" s="22" t="s">
        <v>1096</v>
      </c>
      <c r="G86" s="23">
        <v>8.1235730137E10</v>
      </c>
      <c r="H86" s="24">
        <v>1.0</v>
      </c>
      <c r="I86" s="18" t="s">
        <v>1104</v>
      </c>
      <c r="J86" s="18" t="s">
        <v>1096</v>
      </c>
      <c r="K86" s="24">
        <v>8.1235730137E10</v>
      </c>
      <c r="L86" s="18" t="s">
        <v>1103</v>
      </c>
      <c r="M86" s="18" t="s">
        <v>1105</v>
      </c>
    </row>
    <row r="87">
      <c r="A87" s="7" t="s">
        <v>1006</v>
      </c>
      <c r="B87" s="18" t="s">
        <v>1106</v>
      </c>
      <c r="C87" s="19" t="s">
        <v>791</v>
      </c>
      <c r="D87" s="22"/>
      <c r="E87" s="22" t="s">
        <v>1107</v>
      </c>
      <c r="F87" s="22" t="s">
        <v>1108</v>
      </c>
      <c r="G87" s="23">
        <v>8.2228065398E10</v>
      </c>
      <c r="H87" s="24">
        <v>0.0</v>
      </c>
      <c r="I87" s="18"/>
      <c r="J87" s="18"/>
      <c r="K87" s="18"/>
      <c r="L87" s="18"/>
      <c r="M87" s="18"/>
    </row>
    <row r="88">
      <c r="A88" s="7" t="s">
        <v>1006</v>
      </c>
      <c r="B88" s="18" t="s">
        <v>1109</v>
      </c>
      <c r="C88" s="19" t="s">
        <v>791</v>
      </c>
      <c r="D88" s="22"/>
      <c r="E88" s="22" t="s">
        <v>1107</v>
      </c>
      <c r="F88" s="22" t="s">
        <v>1108</v>
      </c>
      <c r="G88" s="23">
        <v>8.2228065398E10</v>
      </c>
      <c r="H88" s="24">
        <v>0.0</v>
      </c>
      <c r="I88" s="18"/>
      <c r="J88" s="18"/>
      <c r="K88" s="18"/>
      <c r="L88" s="18"/>
      <c r="M88" s="18"/>
    </row>
    <row r="89">
      <c r="A89" s="7" t="s">
        <v>1006</v>
      </c>
      <c r="B89" s="18" t="s">
        <v>1110</v>
      </c>
      <c r="C89" s="19" t="s">
        <v>791</v>
      </c>
      <c r="D89" s="22" t="s">
        <v>1111</v>
      </c>
      <c r="E89" s="22" t="s">
        <v>1112</v>
      </c>
      <c r="F89" s="22" t="s">
        <v>1108</v>
      </c>
      <c r="G89" s="23">
        <v>8.2228065398E10</v>
      </c>
      <c r="H89" s="24">
        <v>1.0</v>
      </c>
      <c r="I89" s="18" t="s">
        <v>1112</v>
      </c>
      <c r="J89" s="18" t="s">
        <v>1108</v>
      </c>
      <c r="K89" s="24">
        <v>8.2228065398E10</v>
      </c>
      <c r="L89" s="18" t="s">
        <v>1113</v>
      </c>
      <c r="M89" s="18" t="s">
        <v>1114</v>
      </c>
    </row>
    <row r="90">
      <c r="A90" s="7" t="s">
        <v>1006</v>
      </c>
      <c r="B90" s="18" t="s">
        <v>1115</v>
      </c>
      <c r="C90" s="19" t="s">
        <v>791</v>
      </c>
      <c r="D90" s="22"/>
      <c r="E90" s="22" t="s">
        <v>1112</v>
      </c>
      <c r="F90" s="22" t="s">
        <v>1108</v>
      </c>
      <c r="G90" s="23">
        <v>8.2228065398E10</v>
      </c>
      <c r="H90" s="24">
        <v>0.0</v>
      </c>
      <c r="I90" s="18"/>
      <c r="J90" s="18"/>
      <c r="K90" s="18"/>
      <c r="L90" s="18"/>
      <c r="M90" s="18"/>
    </row>
    <row r="91">
      <c r="A91" s="7" t="s">
        <v>1006</v>
      </c>
      <c r="B91" s="18" t="s">
        <v>1116</v>
      </c>
      <c r="C91" s="19" t="s">
        <v>791</v>
      </c>
      <c r="D91" s="22"/>
      <c r="E91" s="22" t="s">
        <v>1112</v>
      </c>
      <c r="F91" s="22" t="s">
        <v>1108</v>
      </c>
      <c r="G91" s="23">
        <v>8.2228065398E10</v>
      </c>
      <c r="H91" s="24">
        <v>0.0</v>
      </c>
      <c r="I91" s="18"/>
      <c r="J91" s="18"/>
      <c r="K91" s="18"/>
      <c r="L91" s="18"/>
      <c r="M91" s="18"/>
    </row>
    <row r="92">
      <c r="A92" s="7" t="s">
        <v>1006</v>
      </c>
      <c r="B92" s="18" t="s">
        <v>1117</v>
      </c>
      <c r="C92" s="19" t="s">
        <v>791</v>
      </c>
      <c r="D92" s="22"/>
      <c r="E92" s="22" t="s">
        <v>1112</v>
      </c>
      <c r="F92" s="22" t="s">
        <v>1108</v>
      </c>
      <c r="G92" s="23">
        <v>8.2228065398E10</v>
      </c>
      <c r="H92" s="24">
        <v>0.0</v>
      </c>
      <c r="I92" s="18"/>
      <c r="J92" s="18"/>
      <c r="K92" s="18"/>
      <c r="L92" s="18"/>
      <c r="M92" s="18"/>
    </row>
    <row r="93">
      <c r="A93" s="7" t="s">
        <v>1006</v>
      </c>
      <c r="B93" s="18" t="s">
        <v>1118</v>
      </c>
      <c r="C93" s="19" t="s">
        <v>791</v>
      </c>
      <c r="D93" s="22"/>
      <c r="E93" s="22" t="s">
        <v>1112</v>
      </c>
      <c r="F93" s="22" t="s">
        <v>1108</v>
      </c>
      <c r="G93" s="23">
        <v>8.2228065398E10</v>
      </c>
      <c r="H93" s="24">
        <v>0.0</v>
      </c>
      <c r="I93" s="18"/>
      <c r="J93" s="18"/>
      <c r="K93" s="18"/>
      <c r="L93" s="18"/>
      <c r="M93" s="18"/>
    </row>
    <row r="94">
      <c r="A94" s="7" t="s">
        <v>1006</v>
      </c>
      <c r="B94" s="18" t="s">
        <v>1119</v>
      </c>
      <c r="C94" s="19" t="s">
        <v>791</v>
      </c>
      <c r="D94" s="22"/>
      <c r="E94" s="22" t="s">
        <v>1112</v>
      </c>
      <c r="F94" s="22" t="s">
        <v>1108</v>
      </c>
      <c r="G94" s="23">
        <v>8.2228065398E10</v>
      </c>
      <c r="H94" s="24">
        <v>0.0</v>
      </c>
      <c r="I94" s="18"/>
      <c r="J94" s="18"/>
      <c r="K94" s="18"/>
      <c r="L94" s="18"/>
      <c r="M94" s="18"/>
    </row>
    <row r="95">
      <c r="A95" s="7" t="s">
        <v>1006</v>
      </c>
      <c r="B95" s="18" t="s">
        <v>1120</v>
      </c>
      <c r="C95" s="19" t="s">
        <v>14</v>
      </c>
      <c r="D95" s="22" t="s">
        <v>1121</v>
      </c>
      <c r="E95" s="22" t="s">
        <v>948</v>
      </c>
      <c r="F95" s="22" t="s">
        <v>1122</v>
      </c>
      <c r="G95" s="23">
        <v>8.2244693431E10</v>
      </c>
      <c r="H95" s="24">
        <v>1.0</v>
      </c>
      <c r="I95" s="18" t="s">
        <v>948</v>
      </c>
      <c r="J95" s="18" t="s">
        <v>1122</v>
      </c>
      <c r="K95" s="24">
        <v>8.2244693431E10</v>
      </c>
      <c r="L95" s="18" t="s">
        <v>1121</v>
      </c>
      <c r="M95" s="18" t="s">
        <v>1123</v>
      </c>
    </row>
    <row r="96">
      <c r="A96" s="7" t="s">
        <v>1006</v>
      </c>
      <c r="B96" s="18" t="s">
        <v>1124</v>
      </c>
      <c r="C96" s="19" t="s">
        <v>23</v>
      </c>
      <c r="D96" s="22" t="s">
        <v>946</v>
      </c>
      <c r="E96" s="22" t="s">
        <v>948</v>
      </c>
      <c r="F96" s="22" t="s">
        <v>954</v>
      </c>
      <c r="G96" s="23">
        <v>8.2244693431E10</v>
      </c>
      <c r="H96" s="24">
        <v>1.0</v>
      </c>
      <c r="I96" s="18" t="s">
        <v>948</v>
      </c>
      <c r="J96" s="18" t="s">
        <v>954</v>
      </c>
      <c r="K96" s="24">
        <v>8.2244693431E10</v>
      </c>
      <c r="L96" s="18"/>
      <c r="M96" s="18" t="s">
        <v>1125</v>
      </c>
    </row>
    <row r="97">
      <c r="A97" s="7" t="s">
        <v>1006</v>
      </c>
      <c r="B97" s="18" t="s">
        <v>1126</v>
      </c>
      <c r="C97" s="19" t="s">
        <v>791</v>
      </c>
      <c r="D97" s="22"/>
      <c r="E97" s="22" t="s">
        <v>1127</v>
      </c>
      <c r="F97" s="22" t="s">
        <v>1122</v>
      </c>
      <c r="G97" s="23">
        <v>8.2142538557E10</v>
      </c>
      <c r="H97" s="24">
        <v>0.0</v>
      </c>
      <c r="I97" s="18"/>
      <c r="J97" s="18"/>
      <c r="K97" s="18"/>
      <c r="L97" s="18"/>
      <c r="M97" s="18"/>
    </row>
    <row r="98">
      <c r="A98" s="7" t="s">
        <v>1006</v>
      </c>
      <c r="B98" s="18" t="s">
        <v>1128</v>
      </c>
      <c r="C98" s="19" t="s">
        <v>791</v>
      </c>
      <c r="D98" s="22"/>
      <c r="E98" s="22" t="s">
        <v>1127</v>
      </c>
      <c r="F98" s="22" t="s">
        <v>1122</v>
      </c>
      <c r="G98" s="23">
        <v>8.2142538557E10</v>
      </c>
      <c r="H98" s="24">
        <v>0.0</v>
      </c>
      <c r="I98" s="18"/>
      <c r="J98" s="18"/>
      <c r="K98" s="18"/>
      <c r="L98" s="18"/>
      <c r="M98" s="18"/>
    </row>
    <row r="99">
      <c r="A99" s="7" t="s">
        <v>1006</v>
      </c>
      <c r="B99" s="18" t="s">
        <v>1129</v>
      </c>
      <c r="C99" s="19" t="s">
        <v>791</v>
      </c>
      <c r="D99" s="22"/>
      <c r="E99" s="22" t="s">
        <v>1127</v>
      </c>
      <c r="F99" s="22" t="s">
        <v>1122</v>
      </c>
      <c r="G99" s="23">
        <v>8.2142538557E10</v>
      </c>
      <c r="H99" s="24">
        <v>0.0</v>
      </c>
      <c r="I99" s="18"/>
      <c r="J99" s="18"/>
      <c r="K99" s="18"/>
      <c r="L99" s="18"/>
      <c r="M99" s="18"/>
    </row>
    <row r="100">
      <c r="A100" s="7" t="s">
        <v>1006</v>
      </c>
      <c r="B100" s="18" t="s">
        <v>1130</v>
      </c>
      <c r="C100" s="19" t="s">
        <v>791</v>
      </c>
      <c r="D100" s="22" t="s">
        <v>1131</v>
      </c>
      <c r="E100" s="22" t="s">
        <v>1132</v>
      </c>
      <c r="F100" s="22" t="s">
        <v>954</v>
      </c>
      <c r="G100" s="23">
        <v>8.5843004488E10</v>
      </c>
      <c r="H100" s="24">
        <v>1.0</v>
      </c>
      <c r="I100" s="18" t="s">
        <v>1132</v>
      </c>
      <c r="J100" s="18"/>
      <c r="K100" s="24">
        <v>8.5843004488E10</v>
      </c>
      <c r="L100" s="18"/>
      <c r="M100" s="18" t="s">
        <v>1133</v>
      </c>
    </row>
    <row r="101">
      <c r="A101" s="7" t="s">
        <v>1006</v>
      </c>
      <c r="B101" s="18" t="s">
        <v>1134</v>
      </c>
      <c r="C101" s="19" t="s">
        <v>791</v>
      </c>
      <c r="D101" s="22" t="s">
        <v>1135</v>
      </c>
      <c r="E101" s="22" t="s">
        <v>1136</v>
      </c>
      <c r="F101" s="22" t="s">
        <v>1137</v>
      </c>
      <c r="G101" s="23">
        <v>8.5236136662E10</v>
      </c>
      <c r="H101" s="24">
        <v>1.0</v>
      </c>
      <c r="I101" s="18" t="s">
        <v>1136</v>
      </c>
      <c r="J101" s="18" t="s">
        <v>1137</v>
      </c>
      <c r="K101" s="24">
        <v>8.5236136662E10</v>
      </c>
      <c r="L101" s="18" t="s">
        <v>1135</v>
      </c>
      <c r="M101" s="18" t="s">
        <v>1138</v>
      </c>
    </row>
    <row r="102">
      <c r="A102" s="7" t="s">
        <v>1006</v>
      </c>
      <c r="B102" s="18" t="s">
        <v>1139</v>
      </c>
      <c r="C102" s="19" t="s">
        <v>791</v>
      </c>
      <c r="D102" s="22" t="s">
        <v>1140</v>
      </c>
      <c r="E102" s="22" t="s">
        <v>1141</v>
      </c>
      <c r="F102" s="22" t="s">
        <v>1137</v>
      </c>
      <c r="G102" s="23">
        <v>8.5103373232E10</v>
      </c>
      <c r="H102" s="24">
        <v>1.0</v>
      </c>
      <c r="I102" s="18" t="s">
        <v>1141</v>
      </c>
      <c r="J102" s="18"/>
      <c r="K102" s="24">
        <v>8.5103373232E10</v>
      </c>
      <c r="L102" s="18"/>
      <c r="M102" s="18" t="s">
        <v>1142</v>
      </c>
    </row>
    <row r="103">
      <c r="A103" s="7" t="s">
        <v>1006</v>
      </c>
      <c r="B103" s="18" t="s">
        <v>1143</v>
      </c>
      <c r="C103" s="19" t="s">
        <v>791</v>
      </c>
      <c r="D103" s="22" t="s">
        <v>1144</v>
      </c>
      <c r="E103" s="22" t="s">
        <v>1145</v>
      </c>
      <c r="F103" s="22" t="s">
        <v>1137</v>
      </c>
      <c r="G103" s="23">
        <v>8.1393869357E10</v>
      </c>
      <c r="H103" s="24">
        <v>1.0</v>
      </c>
      <c r="I103" s="18" t="s">
        <v>1145</v>
      </c>
      <c r="J103" s="18" t="s">
        <v>1137</v>
      </c>
      <c r="K103" s="24">
        <v>8.1393869357E10</v>
      </c>
      <c r="L103" s="18" t="s">
        <v>1144</v>
      </c>
      <c r="M103" s="18" t="s">
        <v>1146</v>
      </c>
    </row>
    <row r="104">
      <c r="A104" s="7" t="s">
        <v>1006</v>
      </c>
      <c r="B104" s="18" t="s">
        <v>1147</v>
      </c>
      <c r="C104" s="19" t="s">
        <v>791</v>
      </c>
      <c r="D104" s="22" t="s">
        <v>1148</v>
      </c>
      <c r="E104" s="22" t="s">
        <v>1149</v>
      </c>
      <c r="F104" s="22" t="s">
        <v>1137</v>
      </c>
      <c r="G104" s="23">
        <v>8.5234664415E10</v>
      </c>
      <c r="H104" s="24">
        <v>1.0</v>
      </c>
      <c r="I104" s="18" t="s">
        <v>1149</v>
      </c>
      <c r="J104" s="18" t="s">
        <v>1137</v>
      </c>
      <c r="K104" s="24">
        <v>8.5234664415E10</v>
      </c>
      <c r="L104" s="18" t="s">
        <v>1148</v>
      </c>
      <c r="M104" s="18" t="s">
        <v>1138</v>
      </c>
    </row>
    <row r="105">
      <c r="A105" s="7" t="s">
        <v>1150</v>
      </c>
      <c r="B105" s="18" t="s">
        <v>751</v>
      </c>
      <c r="C105" s="19" t="s">
        <v>23</v>
      </c>
      <c r="D105" s="22" t="s">
        <v>759</v>
      </c>
      <c r="E105" s="22" t="s">
        <v>599</v>
      </c>
      <c r="F105" s="22"/>
      <c r="G105" s="23">
        <v>8.5790407759E10</v>
      </c>
      <c r="H105" s="24">
        <v>1.0</v>
      </c>
      <c r="I105" s="18" t="s">
        <v>599</v>
      </c>
      <c r="J105" s="18"/>
      <c r="K105" s="24">
        <v>8.5790407759E10</v>
      </c>
      <c r="L105" s="18"/>
      <c r="M105" s="18" t="s">
        <v>762</v>
      </c>
    </row>
    <row r="106">
      <c r="A106" s="7" t="s">
        <v>1150</v>
      </c>
      <c r="B106" s="18" t="s">
        <v>1151</v>
      </c>
      <c r="C106" s="19" t="s">
        <v>23</v>
      </c>
      <c r="D106" s="22" t="s">
        <v>598</v>
      </c>
      <c r="E106" s="22" t="s">
        <v>599</v>
      </c>
      <c r="F106" s="22" t="s">
        <v>1152</v>
      </c>
      <c r="G106" s="23">
        <v>8.5790407759E10</v>
      </c>
      <c r="H106" s="24">
        <v>1.0</v>
      </c>
      <c r="I106" s="18" t="s">
        <v>599</v>
      </c>
      <c r="J106" s="18" t="s">
        <v>1152</v>
      </c>
      <c r="K106" s="24">
        <v>8.5790407759E10</v>
      </c>
      <c r="L106" s="18"/>
      <c r="M106" s="18" t="s">
        <v>1153</v>
      </c>
    </row>
    <row r="107">
      <c r="A107" s="7" t="s">
        <v>1150</v>
      </c>
      <c r="B107" s="18" t="s">
        <v>1154</v>
      </c>
      <c r="C107" s="19" t="s">
        <v>23</v>
      </c>
      <c r="D107" s="22" t="s">
        <v>296</v>
      </c>
      <c r="E107" s="22" t="s">
        <v>249</v>
      </c>
      <c r="F107" s="22" t="s">
        <v>297</v>
      </c>
      <c r="G107" s="23">
        <v>8.1914859925E10</v>
      </c>
      <c r="H107" s="24">
        <v>1.0</v>
      </c>
      <c r="I107" s="18" t="s">
        <v>249</v>
      </c>
      <c r="J107" s="18" t="s">
        <v>297</v>
      </c>
      <c r="K107" s="24">
        <v>8.1914859925E10</v>
      </c>
      <c r="L107" s="18"/>
      <c r="M107" s="18" t="s">
        <v>1155</v>
      </c>
    </row>
    <row r="108">
      <c r="A108" s="7" t="s">
        <v>1150</v>
      </c>
      <c r="B108" s="18" t="s">
        <v>246</v>
      </c>
      <c r="C108" s="19" t="s">
        <v>23</v>
      </c>
      <c r="D108" s="22" t="s">
        <v>255</v>
      </c>
      <c r="E108" s="22" t="s">
        <v>249</v>
      </c>
      <c r="F108" s="22"/>
      <c r="G108" s="23">
        <v>8.1914859925E10</v>
      </c>
      <c r="H108" s="24">
        <v>1.0</v>
      </c>
      <c r="I108" s="18" t="s">
        <v>249</v>
      </c>
      <c r="J108" s="18"/>
      <c r="K108" s="24">
        <v>8.1914859925E10</v>
      </c>
      <c r="L108" s="18"/>
      <c r="M108" s="18"/>
    </row>
    <row r="109">
      <c r="A109" s="7" t="s">
        <v>1150</v>
      </c>
      <c r="B109" s="18" t="s">
        <v>360</v>
      </c>
      <c r="C109" s="19" t="s">
        <v>23</v>
      </c>
      <c r="D109" s="22" t="s">
        <v>371</v>
      </c>
      <c r="E109" s="22" t="s">
        <v>364</v>
      </c>
      <c r="F109" s="22"/>
      <c r="G109" s="23">
        <v>8.1359422525E10</v>
      </c>
      <c r="H109" s="24">
        <v>1.0</v>
      </c>
      <c r="I109" s="18" t="s">
        <v>364</v>
      </c>
      <c r="J109" s="18"/>
      <c r="K109" s="24">
        <v>8.1359422525E10</v>
      </c>
      <c r="L109" s="18"/>
      <c r="M109" s="18" t="s">
        <v>373</v>
      </c>
    </row>
    <row r="110">
      <c r="A110" s="7" t="s">
        <v>1150</v>
      </c>
      <c r="B110" s="18" t="s">
        <v>376</v>
      </c>
      <c r="C110" s="19" t="s">
        <v>23</v>
      </c>
      <c r="D110" s="22" t="s">
        <v>383</v>
      </c>
      <c r="E110" s="22" t="s">
        <v>356</v>
      </c>
      <c r="F110" s="22"/>
      <c r="G110" s="23">
        <v>8.1359422525E10</v>
      </c>
      <c r="H110" s="24">
        <v>1.0</v>
      </c>
      <c r="I110" s="18" t="s">
        <v>356</v>
      </c>
      <c r="J110" s="18"/>
      <c r="K110" s="24">
        <v>8.1359422525E10</v>
      </c>
      <c r="L110" s="18"/>
      <c r="M110" s="18" t="s">
        <v>384</v>
      </c>
    </row>
    <row r="111">
      <c r="A111" s="7" t="s">
        <v>1150</v>
      </c>
      <c r="B111" s="18" t="s">
        <v>1156</v>
      </c>
      <c r="C111" s="19" t="s">
        <v>23</v>
      </c>
      <c r="D111" s="22" t="s">
        <v>754</v>
      </c>
      <c r="E111" s="22" t="s">
        <v>756</v>
      </c>
      <c r="F111" s="22" t="s">
        <v>1157</v>
      </c>
      <c r="G111" s="23">
        <v>8.2330607672E10</v>
      </c>
      <c r="H111" s="24">
        <v>1.0</v>
      </c>
      <c r="I111" s="18" t="s">
        <v>756</v>
      </c>
      <c r="J111" s="18" t="s">
        <v>1157</v>
      </c>
      <c r="K111" s="24">
        <v>8.2330607672E10</v>
      </c>
      <c r="L111" s="18"/>
      <c r="M111" s="18" t="s">
        <v>1155</v>
      </c>
    </row>
    <row r="112">
      <c r="A112" s="7" t="s">
        <v>1150</v>
      </c>
      <c r="B112" s="18" t="s">
        <v>901</v>
      </c>
      <c r="C112" s="19" t="s">
        <v>23</v>
      </c>
      <c r="D112" s="22" t="s">
        <v>908</v>
      </c>
      <c r="E112" s="22" t="s">
        <v>756</v>
      </c>
      <c r="F112" s="22"/>
      <c r="G112" s="23">
        <v>8.2330607672E10</v>
      </c>
      <c r="H112" s="24">
        <v>1.0</v>
      </c>
      <c r="I112" s="18" t="s">
        <v>756</v>
      </c>
      <c r="J112" s="18"/>
      <c r="K112" s="24">
        <v>8.2330607672E10</v>
      </c>
      <c r="L112" s="18"/>
      <c r="M112" s="18" t="s">
        <v>909</v>
      </c>
    </row>
    <row r="113">
      <c r="A113" s="7" t="s">
        <v>1150</v>
      </c>
      <c r="B113" s="18" t="s">
        <v>1158</v>
      </c>
      <c r="C113" s="19" t="s">
        <v>23</v>
      </c>
      <c r="D113" s="22" t="s">
        <v>609</v>
      </c>
      <c r="E113" s="22" t="s">
        <v>1159</v>
      </c>
      <c r="F113" s="22" t="s">
        <v>611</v>
      </c>
      <c r="G113" s="23">
        <v>8.16567197E8</v>
      </c>
      <c r="H113" s="24">
        <v>1.0</v>
      </c>
      <c r="I113" s="18" t="s">
        <v>1159</v>
      </c>
      <c r="J113" s="18" t="s">
        <v>611</v>
      </c>
      <c r="K113" s="24">
        <v>8.16567197E8</v>
      </c>
      <c r="L113" s="18"/>
      <c r="M113" s="18" t="s">
        <v>1160</v>
      </c>
    </row>
    <row r="114">
      <c r="A114" s="7" t="s">
        <v>1150</v>
      </c>
      <c r="B114" s="18" t="s">
        <v>778</v>
      </c>
      <c r="C114" s="19" t="s">
        <v>23</v>
      </c>
      <c r="D114" s="22" t="s">
        <v>784</v>
      </c>
      <c r="E114" s="22" t="s">
        <v>610</v>
      </c>
      <c r="F114" s="22"/>
      <c r="G114" s="23">
        <v>8.16567197E8</v>
      </c>
      <c r="H114" s="24">
        <v>1.0</v>
      </c>
      <c r="I114" s="18" t="s">
        <v>610</v>
      </c>
      <c r="J114" s="18"/>
      <c r="K114" s="24">
        <v>8.16567197E8</v>
      </c>
      <c r="L114" s="18"/>
      <c r="M114" s="18"/>
    </row>
    <row r="115">
      <c r="A115" s="7" t="s">
        <v>1150</v>
      </c>
      <c r="B115" s="18" t="s">
        <v>292</v>
      </c>
      <c r="C115" s="19" t="s">
        <v>23</v>
      </c>
      <c r="D115" s="22" t="s">
        <v>300</v>
      </c>
      <c r="E115" s="22" t="s">
        <v>295</v>
      </c>
      <c r="F115" s="22"/>
      <c r="G115" s="23">
        <v>8.1234381838E10</v>
      </c>
      <c r="H115" s="24">
        <v>1.0</v>
      </c>
      <c r="I115" s="18" t="s">
        <v>295</v>
      </c>
      <c r="J115" s="18"/>
      <c r="K115" s="24">
        <v>8.1234381838E10</v>
      </c>
      <c r="L115" s="18"/>
      <c r="M115" s="18"/>
    </row>
    <row r="116">
      <c r="A116" s="7" t="s">
        <v>1150</v>
      </c>
      <c r="B116" s="18" t="s">
        <v>1161</v>
      </c>
      <c r="C116" s="19" t="s">
        <v>1162</v>
      </c>
      <c r="D116" s="22" t="s">
        <v>1163</v>
      </c>
      <c r="E116" s="22" t="s">
        <v>1164</v>
      </c>
      <c r="F116" s="22" t="s">
        <v>1165</v>
      </c>
      <c r="G116" s="23">
        <v>8.1252232644E10</v>
      </c>
      <c r="H116" s="24">
        <v>0.0</v>
      </c>
      <c r="I116" s="18" t="s">
        <v>1164</v>
      </c>
      <c r="J116" s="18" t="s">
        <v>1165</v>
      </c>
      <c r="K116" s="24">
        <v>8.1252232644E10</v>
      </c>
      <c r="L116" s="18" t="s">
        <v>1163</v>
      </c>
      <c r="M116" s="18" t="s">
        <v>1166</v>
      </c>
    </row>
    <row r="117">
      <c r="A117" s="7" t="s">
        <v>1150</v>
      </c>
      <c r="B117" s="18" t="s">
        <v>173</v>
      </c>
      <c r="C117" s="19" t="s">
        <v>23</v>
      </c>
      <c r="D117" s="23">
        <v>999.0</v>
      </c>
      <c r="E117" s="22" t="s">
        <v>174</v>
      </c>
      <c r="F117" s="22"/>
      <c r="G117" s="23">
        <v>8.1252232644E10</v>
      </c>
      <c r="H117" s="24">
        <v>0.0</v>
      </c>
      <c r="I117" s="18" t="s">
        <v>174</v>
      </c>
      <c r="J117" s="18"/>
      <c r="K117" s="24">
        <v>8.1252232644E10</v>
      </c>
      <c r="L117" s="18"/>
      <c r="M117" s="18"/>
    </row>
    <row r="118">
      <c r="A118" s="7" t="s">
        <v>1150</v>
      </c>
      <c r="B118" s="18" t="s">
        <v>787</v>
      </c>
      <c r="C118" s="19" t="s">
        <v>23</v>
      </c>
      <c r="D118" s="22" t="s">
        <v>795</v>
      </c>
      <c r="E118" s="22" t="s">
        <v>635</v>
      </c>
      <c r="F118" s="22"/>
      <c r="G118" s="23">
        <v>8.1310015763E10</v>
      </c>
      <c r="H118" s="24">
        <v>1.0</v>
      </c>
      <c r="I118" s="18" t="s">
        <v>635</v>
      </c>
      <c r="J118" s="18"/>
      <c r="K118" s="24">
        <v>8.1310015763E10</v>
      </c>
      <c r="L118" s="18"/>
      <c r="M118" s="18"/>
    </row>
    <row r="119">
      <c r="A119" s="7" t="s">
        <v>1150</v>
      </c>
      <c r="B119" s="18" t="s">
        <v>316</v>
      </c>
      <c r="C119" s="19" t="s">
        <v>23</v>
      </c>
      <c r="D119" s="23">
        <v>119.0</v>
      </c>
      <c r="E119" s="22" t="s">
        <v>318</v>
      </c>
      <c r="F119" s="22"/>
      <c r="G119" s="23">
        <v>8.1332102027E10</v>
      </c>
      <c r="H119" s="24">
        <v>0.0</v>
      </c>
      <c r="I119" s="18" t="s">
        <v>318</v>
      </c>
      <c r="J119" s="18"/>
      <c r="K119" s="24">
        <v>8.1332102027E10</v>
      </c>
      <c r="L119" s="18"/>
      <c r="M119" s="18"/>
    </row>
    <row r="120">
      <c r="A120" s="7" t="s">
        <v>1150</v>
      </c>
      <c r="B120" s="18" t="s">
        <v>440</v>
      </c>
      <c r="C120" s="19" t="s">
        <v>23</v>
      </c>
      <c r="D120" s="23">
        <v>1001001.0</v>
      </c>
      <c r="E120" s="22" t="s">
        <v>445</v>
      </c>
      <c r="F120" s="22"/>
      <c r="G120" s="23">
        <v>8.1332102027E10</v>
      </c>
      <c r="H120" s="24">
        <v>0.0</v>
      </c>
      <c r="I120" s="18" t="s">
        <v>445</v>
      </c>
      <c r="J120" s="18"/>
      <c r="K120" s="24">
        <v>8.1332102027E10</v>
      </c>
      <c r="L120" s="18"/>
      <c r="M120" s="18" t="s">
        <v>455</v>
      </c>
    </row>
    <row r="121">
      <c r="A121" s="7" t="s">
        <v>1150</v>
      </c>
      <c r="B121" s="18" t="s">
        <v>857</v>
      </c>
      <c r="C121" s="19" t="s">
        <v>23</v>
      </c>
      <c r="D121" s="23">
        <v>4.352101145E9</v>
      </c>
      <c r="E121" s="22" t="s">
        <v>859</v>
      </c>
      <c r="F121" s="22"/>
      <c r="G121" s="23">
        <v>8.1334851474E10</v>
      </c>
      <c r="H121" s="24">
        <v>1.0</v>
      </c>
      <c r="I121" s="18" t="s">
        <v>859</v>
      </c>
      <c r="J121" s="18"/>
      <c r="K121" s="24">
        <v>8.1334851474E10</v>
      </c>
      <c r="L121" s="18"/>
      <c r="M121" s="18" t="s">
        <v>865</v>
      </c>
    </row>
    <row r="122">
      <c r="A122" s="7" t="s">
        <v>1150</v>
      </c>
      <c r="B122" s="18" t="s">
        <v>1167</v>
      </c>
      <c r="C122" s="19" t="s">
        <v>23</v>
      </c>
      <c r="D122" s="22" t="s">
        <v>1168</v>
      </c>
      <c r="E122" s="22" t="s">
        <v>1169</v>
      </c>
      <c r="F122" s="22" t="s">
        <v>1170</v>
      </c>
      <c r="G122" s="23">
        <v>8.1334851474E10</v>
      </c>
      <c r="H122" s="24">
        <v>0.0</v>
      </c>
      <c r="I122" s="18" t="s">
        <v>1169</v>
      </c>
      <c r="J122" s="18" t="s">
        <v>1170</v>
      </c>
      <c r="K122" s="24">
        <v>8.1334851474E10</v>
      </c>
      <c r="L122" s="18"/>
      <c r="M122" s="18" t="s">
        <v>1171</v>
      </c>
    </row>
    <row r="123">
      <c r="A123" s="7" t="s">
        <v>1150</v>
      </c>
      <c r="B123" s="18" t="s">
        <v>644</v>
      </c>
      <c r="C123" s="19" t="s">
        <v>23</v>
      </c>
      <c r="D123" s="22" t="s">
        <v>648</v>
      </c>
      <c r="E123" s="22" t="s">
        <v>548</v>
      </c>
      <c r="F123" s="22"/>
      <c r="G123" s="23">
        <v>8.2233902019E10</v>
      </c>
      <c r="H123" s="24">
        <v>1.0</v>
      </c>
      <c r="I123" s="18" t="s">
        <v>548</v>
      </c>
      <c r="J123" s="18"/>
      <c r="K123" s="24">
        <v>8.2233902019E10</v>
      </c>
      <c r="L123" s="18"/>
      <c r="M123" s="18"/>
    </row>
    <row r="124">
      <c r="A124" s="7" t="s">
        <v>1150</v>
      </c>
      <c r="B124" s="18" t="s">
        <v>1172</v>
      </c>
      <c r="C124" s="19" t="s">
        <v>23</v>
      </c>
      <c r="D124" s="22"/>
      <c r="E124" s="22" t="s">
        <v>1075</v>
      </c>
      <c r="F124" s="22" t="s">
        <v>1173</v>
      </c>
      <c r="G124" s="23">
        <v>8.5174325636E10</v>
      </c>
      <c r="H124" s="24">
        <v>1.0</v>
      </c>
      <c r="I124" s="18" t="s">
        <v>1075</v>
      </c>
      <c r="J124" s="18" t="s">
        <v>1173</v>
      </c>
      <c r="K124" s="24">
        <v>8.5174325636E10</v>
      </c>
      <c r="L124" s="18"/>
      <c r="M124" s="18"/>
    </row>
    <row r="125">
      <c r="A125" s="7" t="s">
        <v>1150</v>
      </c>
      <c r="B125" s="18" t="s">
        <v>1174</v>
      </c>
      <c r="C125" s="19" t="s">
        <v>23</v>
      </c>
      <c r="D125" s="22" t="s">
        <v>1175</v>
      </c>
      <c r="E125" s="22" t="s">
        <v>1176</v>
      </c>
      <c r="F125" s="22" t="s">
        <v>1177</v>
      </c>
      <c r="G125" s="23">
        <v>8.5174325636E10</v>
      </c>
      <c r="H125" s="24">
        <v>0.0</v>
      </c>
      <c r="I125" s="18" t="s">
        <v>1176</v>
      </c>
      <c r="J125" s="18" t="s">
        <v>1177</v>
      </c>
      <c r="K125" s="24">
        <v>8.5174325636E10</v>
      </c>
      <c r="L125" s="18"/>
      <c r="M125" s="18" t="s">
        <v>1179</v>
      </c>
    </row>
    <row r="126">
      <c r="A126" s="7" t="s">
        <v>1150</v>
      </c>
      <c r="B126" s="18" t="s">
        <v>1178</v>
      </c>
      <c r="C126" s="19" t="s">
        <v>14</v>
      </c>
      <c r="D126" s="22" t="s">
        <v>1180</v>
      </c>
      <c r="E126" s="22" t="s">
        <v>1181</v>
      </c>
      <c r="F126" s="22" t="s">
        <v>214</v>
      </c>
      <c r="G126" s="23">
        <v>8.5235415195E10</v>
      </c>
      <c r="H126" s="24">
        <v>1.0</v>
      </c>
      <c r="I126" s="18" t="s">
        <v>1181</v>
      </c>
      <c r="J126" s="18" t="s">
        <v>214</v>
      </c>
      <c r="K126" s="24">
        <v>8.5235415195E10</v>
      </c>
      <c r="L126" s="18" t="s">
        <v>1180</v>
      </c>
      <c r="M126" s="18" t="s">
        <v>1182</v>
      </c>
    </row>
    <row r="127">
      <c r="A127" s="7" t="s">
        <v>1150</v>
      </c>
      <c r="B127" s="18" t="s">
        <v>1183</v>
      </c>
      <c r="C127" s="19" t="s">
        <v>23</v>
      </c>
      <c r="D127" s="22" t="s">
        <v>517</v>
      </c>
      <c r="E127" s="22" t="s">
        <v>518</v>
      </c>
      <c r="F127" s="22" t="s">
        <v>519</v>
      </c>
      <c r="G127" s="23">
        <v>8.5235415195E10</v>
      </c>
      <c r="H127" s="24">
        <v>1.0</v>
      </c>
      <c r="I127" s="18" t="s">
        <v>518</v>
      </c>
      <c r="J127" s="18" t="s">
        <v>519</v>
      </c>
      <c r="K127" s="24">
        <v>8.5235415195E10</v>
      </c>
      <c r="L127" s="18"/>
      <c r="M127" s="18" t="s">
        <v>1184</v>
      </c>
    </row>
    <row r="128">
      <c r="A128" s="7" t="s">
        <v>1150</v>
      </c>
      <c r="B128" s="18" t="s">
        <v>1185</v>
      </c>
      <c r="C128" s="19" t="s">
        <v>23</v>
      </c>
      <c r="D128" s="22" t="s">
        <v>319</v>
      </c>
      <c r="E128" s="22" t="s">
        <v>320</v>
      </c>
      <c r="F128" s="22" t="s">
        <v>321</v>
      </c>
      <c r="G128" s="23">
        <v>8.560470467E10</v>
      </c>
      <c r="H128" s="24">
        <v>1.0</v>
      </c>
      <c r="I128" s="18" t="s">
        <v>320</v>
      </c>
      <c r="J128" s="18" t="s">
        <v>321</v>
      </c>
      <c r="K128" s="24">
        <v>8.560470467E10</v>
      </c>
      <c r="L128" s="18"/>
      <c r="M128" s="18" t="s">
        <v>1186</v>
      </c>
    </row>
    <row r="129">
      <c r="A129" s="7" t="s">
        <v>1150</v>
      </c>
      <c r="B129" s="18" t="s">
        <v>1187</v>
      </c>
      <c r="C129" s="19" t="s">
        <v>791</v>
      </c>
      <c r="D129" s="22" t="s">
        <v>1188</v>
      </c>
      <c r="E129" s="22" t="s">
        <v>1189</v>
      </c>
      <c r="F129" s="22" t="s">
        <v>1190</v>
      </c>
      <c r="G129" s="23">
        <v>8.560470467E10</v>
      </c>
      <c r="H129" s="24">
        <v>1.0</v>
      </c>
      <c r="I129" s="18" t="s">
        <v>1189</v>
      </c>
      <c r="J129" s="18" t="s">
        <v>1190</v>
      </c>
      <c r="K129" s="24">
        <v>8.560470467E10</v>
      </c>
      <c r="L129" s="18" t="s">
        <v>1188</v>
      </c>
      <c r="M129" s="18" t="s">
        <v>1191</v>
      </c>
    </row>
    <row r="130">
      <c r="A130" s="7" t="s">
        <v>1150</v>
      </c>
      <c r="B130" s="18" t="s">
        <v>651</v>
      </c>
      <c r="C130" s="19" t="s">
        <v>23</v>
      </c>
      <c r="D130" s="22" t="s">
        <v>658</v>
      </c>
      <c r="E130" s="22" t="s">
        <v>553</v>
      </c>
      <c r="F130" s="22"/>
      <c r="G130" s="23">
        <v>8.5649377468E10</v>
      </c>
      <c r="H130" s="24">
        <v>1.0</v>
      </c>
      <c r="I130" s="18" t="s">
        <v>553</v>
      </c>
      <c r="J130" s="18"/>
      <c r="K130" s="24">
        <v>8.5649377468E10</v>
      </c>
      <c r="L130" s="18"/>
      <c r="M130" s="18"/>
    </row>
    <row r="131">
      <c r="A131" s="7" t="s">
        <v>1150</v>
      </c>
      <c r="B131" s="18" t="s">
        <v>60</v>
      </c>
      <c r="C131" s="19" t="s">
        <v>23</v>
      </c>
      <c r="D131" s="22" t="s">
        <v>72</v>
      </c>
      <c r="E131" s="22" t="s">
        <v>63</v>
      </c>
      <c r="F131" s="22"/>
      <c r="G131" s="23">
        <v>8.5736881069E10</v>
      </c>
      <c r="H131" s="24">
        <v>1.0</v>
      </c>
      <c r="I131" s="18" t="s">
        <v>63</v>
      </c>
      <c r="J131" s="18"/>
      <c r="K131" s="24">
        <v>8.5736881069E10</v>
      </c>
      <c r="L131" s="18"/>
      <c r="M131" s="18"/>
    </row>
    <row r="132">
      <c r="A132" s="7" t="s">
        <v>1150</v>
      </c>
      <c r="B132" s="18" t="s">
        <v>236</v>
      </c>
      <c r="C132" s="19" t="s">
        <v>23</v>
      </c>
      <c r="D132" s="22" t="s">
        <v>241</v>
      </c>
      <c r="E132" s="22" t="s">
        <v>237</v>
      </c>
      <c r="F132" s="22"/>
      <c r="G132" s="23">
        <v>8.5736881069E10</v>
      </c>
      <c r="H132" s="24">
        <v>1.0</v>
      </c>
      <c r="I132" s="18" t="s">
        <v>237</v>
      </c>
      <c r="J132" s="18"/>
      <c r="K132" s="24">
        <v>8.5736881069E10</v>
      </c>
      <c r="L132" s="18"/>
      <c r="M132" s="18"/>
    </row>
    <row r="133">
      <c r="A133" s="7" t="s">
        <v>1150</v>
      </c>
      <c r="B133" s="18" t="s">
        <v>1193</v>
      </c>
      <c r="C133" s="19" t="s">
        <v>463</v>
      </c>
      <c r="D133" s="22" t="s">
        <v>1194</v>
      </c>
      <c r="E133" s="22" t="s">
        <v>1195</v>
      </c>
      <c r="F133" s="22" t="s">
        <v>1196</v>
      </c>
      <c r="G133" s="23">
        <v>8.5812735927E10</v>
      </c>
      <c r="H133" s="24">
        <v>0.0</v>
      </c>
      <c r="I133" s="18" t="s">
        <v>1195</v>
      </c>
      <c r="J133" s="18" t="s">
        <v>1196</v>
      </c>
      <c r="K133" s="24">
        <v>8.5812735927E10</v>
      </c>
      <c r="L133" s="18" t="s">
        <v>1197</v>
      </c>
      <c r="M133" s="18" t="s">
        <v>1198</v>
      </c>
    </row>
    <row r="134">
      <c r="A134" s="7" t="s">
        <v>1150</v>
      </c>
      <c r="B134" s="18" t="s">
        <v>1199</v>
      </c>
      <c r="C134" s="19" t="s">
        <v>23</v>
      </c>
      <c r="D134" s="22" t="s">
        <v>1200</v>
      </c>
      <c r="E134" s="22" t="s">
        <v>1201</v>
      </c>
      <c r="F134" s="22" t="s">
        <v>1202</v>
      </c>
      <c r="G134" s="23">
        <v>8.5857501171E10</v>
      </c>
      <c r="H134" s="24">
        <v>0.0</v>
      </c>
      <c r="I134" s="18" t="s">
        <v>1201</v>
      </c>
      <c r="J134" s="18" t="s">
        <v>1202</v>
      </c>
      <c r="K134" s="24">
        <v>8.5857501171E10</v>
      </c>
      <c r="L134" s="18"/>
      <c r="M134" s="18" t="s">
        <v>1203</v>
      </c>
    </row>
    <row r="135">
      <c r="A135" s="7" t="s">
        <v>1150</v>
      </c>
      <c r="B135" s="18" t="s">
        <v>1204</v>
      </c>
      <c r="C135" s="19" t="s">
        <v>23</v>
      </c>
      <c r="D135" s="22" t="s">
        <v>1205</v>
      </c>
      <c r="E135" s="22" t="s">
        <v>1206</v>
      </c>
      <c r="F135" s="22" t="s">
        <v>1207</v>
      </c>
      <c r="G135" s="23">
        <v>8.5857501171E10</v>
      </c>
      <c r="H135" s="24">
        <v>1.0</v>
      </c>
      <c r="I135" s="18" t="s">
        <v>1206</v>
      </c>
      <c r="J135" s="18" t="s">
        <v>1207</v>
      </c>
      <c r="K135" s="24">
        <v>8.5857501171E10</v>
      </c>
      <c r="L135" s="18"/>
      <c r="M135" s="18" t="s">
        <v>455</v>
      </c>
    </row>
    <row r="136">
      <c r="A136" s="7" t="s">
        <v>1150</v>
      </c>
      <c r="B136" s="18" t="s">
        <v>490</v>
      </c>
      <c r="C136" s="19" t="s">
        <v>23</v>
      </c>
      <c r="D136" s="22" t="s">
        <v>501</v>
      </c>
      <c r="E136" s="22" t="s">
        <v>460</v>
      </c>
      <c r="F136" s="22"/>
      <c r="G136" s="23">
        <v>8.563622003E9</v>
      </c>
      <c r="H136" s="24">
        <v>1.0</v>
      </c>
      <c r="I136" s="18" t="s">
        <v>460</v>
      </c>
      <c r="J136" s="18"/>
      <c r="K136" s="24">
        <v>8.563622003E9</v>
      </c>
      <c r="L136" s="18"/>
      <c r="M136" s="18"/>
    </row>
    <row r="137">
      <c r="A137" s="7" t="s">
        <v>1150</v>
      </c>
      <c r="B137" s="18" t="s">
        <v>1208</v>
      </c>
      <c r="C137" s="19" t="s">
        <v>791</v>
      </c>
      <c r="D137" s="22" t="s">
        <v>1209</v>
      </c>
      <c r="E137" s="22" t="s">
        <v>1210</v>
      </c>
      <c r="F137" s="22"/>
      <c r="G137" s="23">
        <v>8.563622003E9</v>
      </c>
      <c r="H137" s="24">
        <v>1.0</v>
      </c>
      <c r="I137" s="18" t="s">
        <v>1210</v>
      </c>
      <c r="J137" s="18"/>
      <c r="K137" s="24">
        <v>8.563622003E9</v>
      </c>
      <c r="L137" s="18"/>
      <c r="M137" s="18" t="s">
        <v>1211</v>
      </c>
    </row>
    <row r="138">
      <c r="A138" s="7" t="s">
        <v>1150</v>
      </c>
      <c r="B138" s="18" t="s">
        <v>1212</v>
      </c>
      <c r="C138" s="19" t="s">
        <v>791</v>
      </c>
      <c r="D138" s="22" t="s">
        <v>1213</v>
      </c>
      <c r="E138" s="22" t="s">
        <v>1214</v>
      </c>
      <c r="F138" s="22"/>
      <c r="G138" s="23">
        <v>8.563622003E9</v>
      </c>
      <c r="H138" s="24">
        <v>1.0</v>
      </c>
      <c r="I138" s="18" t="s">
        <v>1214</v>
      </c>
      <c r="J138" s="18"/>
      <c r="K138" s="24">
        <v>8.563622003E9</v>
      </c>
      <c r="L138" s="18"/>
      <c r="M138" s="18" t="s">
        <v>1215</v>
      </c>
    </row>
    <row r="139">
      <c r="A139" s="7" t="s">
        <v>1150</v>
      </c>
      <c r="B139" s="18" t="s">
        <v>1216</v>
      </c>
      <c r="C139" s="19" t="s">
        <v>791</v>
      </c>
      <c r="D139" s="22" t="s">
        <v>1217</v>
      </c>
      <c r="E139" s="22" t="s">
        <v>1218</v>
      </c>
      <c r="F139" s="22"/>
      <c r="G139" s="23">
        <v>6.28563622003E11</v>
      </c>
      <c r="H139" s="24">
        <v>1.0</v>
      </c>
      <c r="I139" s="18" t="s">
        <v>1218</v>
      </c>
      <c r="J139" s="18"/>
      <c r="K139" s="24">
        <v>6.28563622003E11</v>
      </c>
      <c r="L139" s="18"/>
      <c r="M139" s="18" t="s">
        <v>1219</v>
      </c>
    </row>
    <row r="140">
      <c r="A140" s="7" t="s">
        <v>1150</v>
      </c>
      <c r="B140" s="18" t="s">
        <v>1220</v>
      </c>
      <c r="C140" s="19" t="s">
        <v>791</v>
      </c>
      <c r="D140" s="22" t="s">
        <v>1221</v>
      </c>
      <c r="E140" s="22" t="s">
        <v>1222</v>
      </c>
      <c r="F140" s="22"/>
      <c r="G140" s="23">
        <v>6.28563622003E11</v>
      </c>
      <c r="H140" s="24">
        <v>1.0</v>
      </c>
      <c r="I140" s="18" t="s">
        <v>1222</v>
      </c>
      <c r="J140" s="18"/>
      <c r="K140" s="24">
        <v>6.28563622003E11</v>
      </c>
      <c r="L140" s="18"/>
      <c r="M140" s="18" t="s">
        <v>1223</v>
      </c>
    </row>
    <row r="141">
      <c r="A141" s="7" t="s">
        <v>1150</v>
      </c>
      <c r="B141" s="18" t="s">
        <v>1224</v>
      </c>
      <c r="C141" s="19" t="s">
        <v>23</v>
      </c>
      <c r="D141" s="22" t="s">
        <v>26</v>
      </c>
      <c r="E141" s="22" t="s">
        <v>35</v>
      </c>
      <c r="F141" s="22" t="s">
        <v>39</v>
      </c>
      <c r="G141" s="23">
        <v>8.1235730137E10</v>
      </c>
      <c r="H141" s="24">
        <v>1.0</v>
      </c>
      <c r="I141" s="18" t="s">
        <v>35</v>
      </c>
      <c r="J141" s="18" t="s">
        <v>39</v>
      </c>
      <c r="K141" s="24">
        <v>8.1235730137E10</v>
      </c>
      <c r="L141" s="18"/>
      <c r="M141" s="18" t="s">
        <v>1225</v>
      </c>
    </row>
    <row r="142">
      <c r="A142" s="7" t="s">
        <v>1150</v>
      </c>
      <c r="B142" s="18" t="s">
        <v>1093</v>
      </c>
      <c r="C142" s="19" t="s">
        <v>791</v>
      </c>
      <c r="D142" s="22" t="s">
        <v>1094</v>
      </c>
      <c r="E142" s="22" t="s">
        <v>1095</v>
      </c>
      <c r="F142" s="22" t="s">
        <v>1096</v>
      </c>
      <c r="G142" s="23">
        <v>8.1235730137E10</v>
      </c>
      <c r="H142" s="24">
        <v>1.0</v>
      </c>
      <c r="I142" s="18" t="s">
        <v>1095</v>
      </c>
      <c r="J142" s="18" t="s">
        <v>1096</v>
      </c>
      <c r="K142" s="24">
        <v>8.1235730137E10</v>
      </c>
      <c r="L142" s="18" t="s">
        <v>1094</v>
      </c>
      <c r="M142" s="18" t="s">
        <v>1097</v>
      </c>
    </row>
    <row r="143">
      <c r="A143" s="7" t="s">
        <v>1150</v>
      </c>
      <c r="B143" s="18" t="s">
        <v>1102</v>
      </c>
      <c r="C143" s="19" t="s">
        <v>791</v>
      </c>
      <c r="D143" s="22" t="s">
        <v>1103</v>
      </c>
      <c r="E143" s="22" t="s">
        <v>1104</v>
      </c>
      <c r="F143" s="22" t="s">
        <v>1096</v>
      </c>
      <c r="G143" s="23">
        <v>8.1235730137E10</v>
      </c>
      <c r="H143" s="24">
        <v>1.0</v>
      </c>
      <c r="I143" s="18" t="s">
        <v>1104</v>
      </c>
      <c r="J143" s="18" t="s">
        <v>1096</v>
      </c>
      <c r="K143" s="24">
        <v>8.1235730137E10</v>
      </c>
      <c r="L143" s="18" t="s">
        <v>1103</v>
      </c>
      <c r="M143" s="18" t="s">
        <v>1105</v>
      </c>
    </row>
    <row r="144">
      <c r="A144" s="7" t="s">
        <v>1150</v>
      </c>
      <c r="B144" s="18" t="s">
        <v>1226</v>
      </c>
      <c r="C144" s="19" t="s">
        <v>23</v>
      </c>
      <c r="D144" s="22" t="s">
        <v>715</v>
      </c>
      <c r="E144" s="22" t="s">
        <v>716</v>
      </c>
      <c r="F144" s="22" t="s">
        <v>718</v>
      </c>
      <c r="G144" s="23">
        <v>8.5233915366E10</v>
      </c>
      <c r="H144" s="24">
        <v>1.0</v>
      </c>
      <c r="I144" s="18" t="s">
        <v>716</v>
      </c>
      <c r="J144" s="18" t="s">
        <v>718</v>
      </c>
      <c r="K144" s="24">
        <v>8.5233915366E10</v>
      </c>
      <c r="L144" s="18"/>
      <c r="M144" s="18" t="s">
        <v>1228</v>
      </c>
    </row>
    <row r="145">
      <c r="A145" s="7" t="s">
        <v>1150</v>
      </c>
      <c r="B145" s="18" t="s">
        <v>1229</v>
      </c>
      <c r="C145" s="19" t="s">
        <v>791</v>
      </c>
      <c r="D145" s="22" t="s">
        <v>1230</v>
      </c>
      <c r="E145" s="22" t="s">
        <v>1231</v>
      </c>
      <c r="F145" s="22"/>
      <c r="G145" s="23">
        <v>8.5233915366E10</v>
      </c>
      <c r="H145" s="24">
        <v>1.0</v>
      </c>
      <c r="I145" s="18" t="s">
        <v>1231</v>
      </c>
      <c r="J145" s="18"/>
      <c r="K145" s="24">
        <v>8.5233915366E10</v>
      </c>
      <c r="L145" s="18"/>
      <c r="M145" s="18" t="s">
        <v>1233</v>
      </c>
    </row>
    <row r="146">
      <c r="A146" s="7" t="s">
        <v>1150</v>
      </c>
      <c r="B146" s="18" t="s">
        <v>1234</v>
      </c>
      <c r="C146" s="19" t="s">
        <v>791</v>
      </c>
      <c r="D146" s="22" t="s">
        <v>1235</v>
      </c>
      <c r="E146" s="22" t="s">
        <v>1236</v>
      </c>
      <c r="F146" s="22"/>
      <c r="G146" s="23">
        <v>8.5233915366E10</v>
      </c>
      <c r="H146" s="24">
        <v>1.0</v>
      </c>
      <c r="I146" s="18" t="s">
        <v>1236</v>
      </c>
      <c r="J146" s="18"/>
      <c r="K146" s="24">
        <v>8.5233915366E10</v>
      </c>
      <c r="L146" s="18"/>
      <c r="M146" s="18" t="s">
        <v>1233</v>
      </c>
    </row>
    <row r="147">
      <c r="A147" s="7" t="s">
        <v>1150</v>
      </c>
      <c r="B147" s="18" t="s">
        <v>1237</v>
      </c>
      <c r="C147" s="19" t="s">
        <v>23</v>
      </c>
      <c r="D147" s="22" t="s">
        <v>404</v>
      </c>
      <c r="E147" s="22" t="s">
        <v>405</v>
      </c>
      <c r="F147" s="22" t="s">
        <v>406</v>
      </c>
      <c r="G147" s="23">
        <v>8.5714169155E10</v>
      </c>
      <c r="H147" s="24">
        <v>1.0</v>
      </c>
      <c r="I147" s="18" t="s">
        <v>405</v>
      </c>
      <c r="J147" s="18" t="s">
        <v>406</v>
      </c>
      <c r="K147" s="24">
        <v>8.5714169155E10</v>
      </c>
      <c r="L147" s="18"/>
      <c r="M147" s="18" t="s">
        <v>1238</v>
      </c>
    </row>
    <row r="148">
      <c r="A148" s="7" t="s">
        <v>1150</v>
      </c>
      <c r="B148" s="18" t="s">
        <v>1239</v>
      </c>
      <c r="C148" s="19" t="s">
        <v>791</v>
      </c>
      <c r="D148" s="22" t="s">
        <v>1240</v>
      </c>
      <c r="E148" s="22" t="s">
        <v>1241</v>
      </c>
      <c r="F148" s="22"/>
      <c r="G148" s="23">
        <v>8.5714169155E10</v>
      </c>
      <c r="H148" s="24">
        <v>1.0</v>
      </c>
      <c r="I148" s="18" t="s">
        <v>1241</v>
      </c>
      <c r="J148" s="18"/>
      <c r="K148" s="24">
        <v>8.5714169155E10</v>
      </c>
      <c r="L148" s="18"/>
      <c r="M148" s="18" t="s">
        <v>1242</v>
      </c>
    </row>
    <row r="149">
      <c r="A149" s="7" t="s">
        <v>1150</v>
      </c>
      <c r="B149" s="18" t="s">
        <v>1243</v>
      </c>
      <c r="C149" s="19" t="s">
        <v>791</v>
      </c>
      <c r="D149" s="22" t="s">
        <v>1244</v>
      </c>
      <c r="E149" s="22" t="s">
        <v>1245</v>
      </c>
      <c r="F149" s="22"/>
      <c r="G149" s="23">
        <v>8.5714169155E10</v>
      </c>
      <c r="H149" s="24">
        <v>1.0</v>
      </c>
      <c r="I149" s="18" t="s">
        <v>1245</v>
      </c>
      <c r="J149" s="18"/>
      <c r="K149" s="24">
        <v>8.5714169155E10</v>
      </c>
      <c r="L149" s="18"/>
      <c r="M149" s="18" t="s">
        <v>1246</v>
      </c>
    </row>
    <row r="150">
      <c r="A150" s="7" t="s">
        <v>1150</v>
      </c>
      <c r="B150" s="18" t="s">
        <v>1247</v>
      </c>
      <c r="C150" s="19" t="s">
        <v>791</v>
      </c>
      <c r="D150" s="22" t="s">
        <v>1248</v>
      </c>
      <c r="E150" s="22" t="s">
        <v>1249</v>
      </c>
      <c r="F150" s="22"/>
      <c r="G150" s="23">
        <v>8.5235665155E10</v>
      </c>
      <c r="H150" s="24">
        <v>1.0</v>
      </c>
      <c r="I150" s="18" t="s">
        <v>1249</v>
      </c>
      <c r="J150" s="18"/>
      <c r="K150" s="24">
        <v>8.5235665155E10</v>
      </c>
      <c r="L150" s="18"/>
      <c r="M150" s="18" t="s">
        <v>949</v>
      </c>
    </row>
    <row r="151">
      <c r="A151" s="7" t="s">
        <v>1150</v>
      </c>
      <c r="B151" s="18" t="s">
        <v>1250</v>
      </c>
      <c r="C151" s="19" t="s">
        <v>463</v>
      </c>
      <c r="D151" s="22" t="s">
        <v>1074</v>
      </c>
      <c r="E151" s="22" t="s">
        <v>1251</v>
      </c>
      <c r="F151" s="22" t="s">
        <v>1252</v>
      </c>
      <c r="G151" s="23">
        <v>8.123456789E10</v>
      </c>
      <c r="H151" s="24">
        <v>1.0</v>
      </c>
      <c r="I151" s="18" t="s">
        <v>1251</v>
      </c>
      <c r="J151" s="18" t="s">
        <v>1252</v>
      </c>
      <c r="K151" s="24">
        <v>8.123456789E10</v>
      </c>
      <c r="L151" s="18" t="s">
        <v>1074</v>
      </c>
      <c r="M151" s="18" t="s">
        <v>1253</v>
      </c>
    </row>
    <row r="152">
      <c r="A152" s="7" t="s">
        <v>1150</v>
      </c>
      <c r="B152" s="18" t="s">
        <v>1254</v>
      </c>
      <c r="C152" s="19" t="s">
        <v>1162</v>
      </c>
      <c r="D152" s="22"/>
      <c r="E152" s="22" t="s">
        <v>1255</v>
      </c>
      <c r="F152" s="22" t="s">
        <v>1256</v>
      </c>
      <c r="G152" s="23">
        <v>8.123456789E10</v>
      </c>
      <c r="H152" s="24">
        <v>1.0</v>
      </c>
      <c r="I152" s="18"/>
      <c r="J152" s="18"/>
      <c r="K152" s="18"/>
      <c r="L152" s="18"/>
      <c r="M152" s="18"/>
    </row>
    <row r="153">
      <c r="A153" s="7" t="s">
        <v>1150</v>
      </c>
      <c r="B153" s="18" t="s">
        <v>1257</v>
      </c>
      <c r="C153" s="19" t="s">
        <v>23</v>
      </c>
      <c r="D153" s="22" t="s">
        <v>1258</v>
      </c>
      <c r="E153" s="22" t="s">
        <v>1259</v>
      </c>
      <c r="F153" s="22" t="s">
        <v>1260</v>
      </c>
      <c r="G153" s="23">
        <v>8.123456789E10</v>
      </c>
      <c r="H153" s="24">
        <v>0.0</v>
      </c>
      <c r="I153" s="18" t="s">
        <v>1259</v>
      </c>
      <c r="J153" s="18" t="s">
        <v>1260</v>
      </c>
      <c r="K153" s="24">
        <v>8.123456789E10</v>
      </c>
      <c r="L153" s="18"/>
      <c r="M153" s="18" t="s">
        <v>1166</v>
      </c>
    </row>
    <row r="154">
      <c r="A154" s="7" t="s">
        <v>1150</v>
      </c>
      <c r="B154" s="18" t="s">
        <v>1261</v>
      </c>
      <c r="C154" s="19" t="s">
        <v>23</v>
      </c>
      <c r="D154" s="22" t="s">
        <v>1262</v>
      </c>
      <c r="E154" s="22" t="s">
        <v>1263</v>
      </c>
      <c r="F154" s="22" t="s">
        <v>1264</v>
      </c>
      <c r="G154" s="23">
        <v>8.123456789E10</v>
      </c>
      <c r="H154" s="24">
        <v>0.0</v>
      </c>
      <c r="I154" s="18" t="s">
        <v>1263</v>
      </c>
      <c r="J154" s="18" t="s">
        <v>1264</v>
      </c>
      <c r="K154" s="24">
        <v>8.123456789E10</v>
      </c>
      <c r="L154" s="18"/>
      <c r="M154" s="18" t="s">
        <v>1266</v>
      </c>
    </row>
    <row r="155">
      <c r="A155" s="7" t="s">
        <v>1150</v>
      </c>
      <c r="B155" s="18" t="s">
        <v>1269</v>
      </c>
      <c r="C155" s="19" t="s">
        <v>23</v>
      </c>
      <c r="D155" s="23">
        <v>122.0</v>
      </c>
      <c r="E155" s="22" t="s">
        <v>1271</v>
      </c>
      <c r="F155" s="22" t="s">
        <v>1272</v>
      </c>
      <c r="G155" s="23">
        <v>8.123456789E10</v>
      </c>
      <c r="H155" s="24">
        <v>1.0</v>
      </c>
      <c r="I155" s="18" t="s">
        <v>1271</v>
      </c>
      <c r="J155" s="18" t="s">
        <v>1272</v>
      </c>
      <c r="K155" s="24">
        <v>8.123456789E10</v>
      </c>
      <c r="L155" s="18"/>
      <c r="M155" s="18" t="s">
        <v>1203</v>
      </c>
    </row>
    <row r="156">
      <c r="A156" s="7" t="s">
        <v>1150</v>
      </c>
      <c r="B156" s="18" t="s">
        <v>1273</v>
      </c>
      <c r="C156" s="19" t="s">
        <v>23</v>
      </c>
      <c r="D156" s="22" t="s">
        <v>335</v>
      </c>
      <c r="E156" s="22" t="s">
        <v>336</v>
      </c>
      <c r="F156" s="22" t="s">
        <v>337</v>
      </c>
      <c r="G156" s="23">
        <v>8.1336304421E10</v>
      </c>
      <c r="H156" s="24">
        <v>1.0</v>
      </c>
      <c r="I156" s="18" t="s">
        <v>336</v>
      </c>
      <c r="J156" s="18" t="s">
        <v>337</v>
      </c>
      <c r="K156" s="24">
        <v>8.1336304421E10</v>
      </c>
      <c r="L156" s="18"/>
      <c r="M156" s="18" t="s">
        <v>1274</v>
      </c>
    </row>
    <row r="157">
      <c r="A157" s="7" t="s">
        <v>1150</v>
      </c>
      <c r="B157" s="18" t="s">
        <v>1275</v>
      </c>
      <c r="C157" s="19" t="s">
        <v>791</v>
      </c>
      <c r="D157" s="22" t="s">
        <v>1276</v>
      </c>
      <c r="E157" s="22" t="s">
        <v>1277</v>
      </c>
      <c r="F157" s="22"/>
      <c r="G157" s="23">
        <v>8.1336304421E10</v>
      </c>
      <c r="H157" s="24">
        <v>1.0</v>
      </c>
      <c r="I157" s="18" t="s">
        <v>1277</v>
      </c>
      <c r="J157" s="18"/>
      <c r="K157" s="24">
        <v>8.1336304421E10</v>
      </c>
      <c r="L157" s="18"/>
      <c r="M157" s="18" t="s">
        <v>1278</v>
      </c>
    </row>
    <row r="158">
      <c r="A158" s="7" t="s">
        <v>1150</v>
      </c>
      <c r="B158" s="18" t="s">
        <v>1279</v>
      </c>
      <c r="C158" s="19" t="s">
        <v>791</v>
      </c>
      <c r="D158" s="22" t="s">
        <v>1280</v>
      </c>
      <c r="E158" s="22" t="s">
        <v>1281</v>
      </c>
      <c r="F158" s="22"/>
      <c r="G158" s="23">
        <v>8.1336304421E10</v>
      </c>
      <c r="H158" s="24">
        <v>1.0</v>
      </c>
      <c r="I158" s="18" t="s">
        <v>1281</v>
      </c>
      <c r="J158" s="18"/>
      <c r="K158" s="24">
        <v>8.1336304421E10</v>
      </c>
      <c r="L158" s="18"/>
      <c r="M158" s="18" t="s">
        <v>1278</v>
      </c>
    </row>
    <row r="159">
      <c r="A159" s="7" t="s">
        <v>1150</v>
      </c>
      <c r="B159" s="18" t="s">
        <v>1285</v>
      </c>
      <c r="C159" s="19" t="s">
        <v>791</v>
      </c>
      <c r="D159" s="22" t="s">
        <v>1287</v>
      </c>
      <c r="E159" s="22" t="s">
        <v>1288</v>
      </c>
      <c r="F159" s="22"/>
      <c r="G159" s="23">
        <v>8.1336304421E10</v>
      </c>
      <c r="H159" s="24">
        <v>1.0</v>
      </c>
      <c r="I159" s="18" t="s">
        <v>1288</v>
      </c>
      <c r="J159" s="18"/>
      <c r="K159" s="24">
        <v>8.1336304421E10</v>
      </c>
      <c r="L159" s="18"/>
      <c r="M159" s="18" t="s">
        <v>1289</v>
      </c>
    </row>
    <row r="160">
      <c r="A160" s="7" t="s">
        <v>1150</v>
      </c>
      <c r="B160" s="18" t="s">
        <v>1290</v>
      </c>
      <c r="C160" s="19" t="s">
        <v>791</v>
      </c>
      <c r="D160" s="22" t="s">
        <v>1291</v>
      </c>
      <c r="E160" s="22" t="s">
        <v>1292</v>
      </c>
      <c r="F160" s="22"/>
      <c r="G160" s="23">
        <v>8.1336304421E10</v>
      </c>
      <c r="H160" s="24">
        <v>1.0</v>
      </c>
      <c r="I160" s="18" t="s">
        <v>1292</v>
      </c>
      <c r="J160" s="18"/>
      <c r="K160" s="24">
        <v>8.1336304421E10</v>
      </c>
      <c r="L160" s="18"/>
      <c r="M160" s="18" t="s">
        <v>1289</v>
      </c>
    </row>
    <row r="161">
      <c r="A161" s="7" t="s">
        <v>1150</v>
      </c>
      <c r="B161" s="18" t="s">
        <v>1294</v>
      </c>
      <c r="C161" s="19" t="s">
        <v>791</v>
      </c>
      <c r="D161" s="22" t="s">
        <v>1296</v>
      </c>
      <c r="E161" s="22" t="s">
        <v>1298</v>
      </c>
      <c r="F161" s="22"/>
      <c r="G161" s="23">
        <v>8.1336304421E10</v>
      </c>
      <c r="H161" s="24">
        <v>1.0</v>
      </c>
      <c r="I161" s="18" t="s">
        <v>1298</v>
      </c>
      <c r="J161" s="18"/>
      <c r="K161" s="24">
        <v>8.1336304421E10</v>
      </c>
      <c r="L161" s="18"/>
      <c r="M161" s="18" t="s">
        <v>1278</v>
      </c>
    </row>
    <row r="162">
      <c r="A162" s="7" t="s">
        <v>1150</v>
      </c>
      <c r="B162" s="18" t="s">
        <v>1299</v>
      </c>
      <c r="C162" s="19" t="s">
        <v>791</v>
      </c>
      <c r="D162" s="22" t="s">
        <v>1300</v>
      </c>
      <c r="E162" s="22" t="s">
        <v>1302</v>
      </c>
      <c r="F162" s="22"/>
      <c r="G162" s="23">
        <v>8.1336304421E10</v>
      </c>
      <c r="H162" s="24">
        <v>1.0</v>
      </c>
      <c r="I162" s="18" t="s">
        <v>1302</v>
      </c>
      <c r="J162" s="18"/>
      <c r="K162" s="24">
        <v>8.1336304421E10</v>
      </c>
      <c r="L162" s="18"/>
      <c r="M162" s="18" t="s">
        <v>1289</v>
      </c>
    </row>
    <row r="163">
      <c r="A163" s="7" t="s">
        <v>1150</v>
      </c>
      <c r="B163" s="18" t="s">
        <v>1304</v>
      </c>
      <c r="C163" s="19" t="s">
        <v>791</v>
      </c>
      <c r="D163" s="22" t="s">
        <v>1306</v>
      </c>
      <c r="E163" s="22" t="s">
        <v>1307</v>
      </c>
      <c r="F163" s="22"/>
      <c r="G163" s="23">
        <v>8.1336304421E10</v>
      </c>
      <c r="H163" s="24">
        <v>1.0</v>
      </c>
      <c r="I163" s="18" t="s">
        <v>1307</v>
      </c>
      <c r="J163" s="18"/>
      <c r="K163" s="24">
        <v>8.1336304421E10</v>
      </c>
      <c r="L163" s="18"/>
      <c r="M163" s="18" t="s">
        <v>1289</v>
      </c>
    </row>
    <row r="164">
      <c r="A164" s="7" t="s">
        <v>1150</v>
      </c>
      <c r="B164" s="18" t="s">
        <v>1098</v>
      </c>
      <c r="C164" s="19" t="s">
        <v>791</v>
      </c>
      <c r="D164" s="22" t="s">
        <v>1099</v>
      </c>
      <c r="E164" s="22" t="s">
        <v>1100</v>
      </c>
      <c r="F164" s="22" t="s">
        <v>1096</v>
      </c>
      <c r="G164" s="23">
        <v>8.1336304421E10</v>
      </c>
      <c r="H164" s="24">
        <v>1.0</v>
      </c>
      <c r="I164" s="18" t="s">
        <v>1100</v>
      </c>
      <c r="J164" s="18" t="s">
        <v>1096</v>
      </c>
      <c r="K164" s="24">
        <v>8.1336304421E10</v>
      </c>
      <c r="L164" s="18" t="s">
        <v>1099</v>
      </c>
      <c r="M164" s="18" t="s">
        <v>1101</v>
      </c>
    </row>
    <row r="165">
      <c r="A165" s="7" t="s">
        <v>1150</v>
      </c>
      <c r="B165" s="18" t="s">
        <v>216</v>
      </c>
      <c r="C165" s="19" t="s">
        <v>23</v>
      </c>
      <c r="D165" s="22" t="s">
        <v>223</v>
      </c>
      <c r="E165" s="22" t="s">
        <v>219</v>
      </c>
      <c r="F165" s="22"/>
      <c r="G165" s="23">
        <v>8.5784809735E10</v>
      </c>
      <c r="H165" s="24">
        <v>1.0</v>
      </c>
      <c r="I165" s="18" t="s">
        <v>219</v>
      </c>
      <c r="J165" s="18"/>
      <c r="K165" s="24">
        <v>8.5784809735E10</v>
      </c>
      <c r="L165" s="18"/>
      <c r="M165" s="18" t="s">
        <v>53</v>
      </c>
    </row>
    <row r="166">
      <c r="A166" s="7" t="s">
        <v>1150</v>
      </c>
      <c r="B166" s="18" t="s">
        <v>1309</v>
      </c>
      <c r="C166" s="19" t="s">
        <v>791</v>
      </c>
      <c r="D166" s="22" t="s">
        <v>1311</v>
      </c>
      <c r="E166" s="22" t="s">
        <v>1313</v>
      </c>
      <c r="F166" s="22"/>
      <c r="G166" s="23">
        <v>8.5784809735E10</v>
      </c>
      <c r="H166" s="24">
        <v>1.0</v>
      </c>
      <c r="I166" s="18" t="s">
        <v>1313</v>
      </c>
      <c r="J166" s="18"/>
      <c r="K166" s="24">
        <v>8.5784809735E10</v>
      </c>
      <c r="L166" s="18"/>
      <c r="M166" s="18" t="s">
        <v>1315</v>
      </c>
    </row>
    <row r="167">
      <c r="A167" s="7" t="s">
        <v>1150</v>
      </c>
      <c r="B167" s="18" t="s">
        <v>1316</v>
      </c>
      <c r="C167" s="19" t="s">
        <v>791</v>
      </c>
      <c r="D167" s="22" t="s">
        <v>1319</v>
      </c>
      <c r="E167" s="22" t="s">
        <v>1320</v>
      </c>
      <c r="F167" s="22"/>
      <c r="G167" s="23">
        <v>8.5784809735E10</v>
      </c>
      <c r="H167" s="24">
        <v>1.0</v>
      </c>
      <c r="I167" s="18" t="s">
        <v>1320</v>
      </c>
      <c r="J167" s="18"/>
      <c r="K167" s="24">
        <v>8.5784809735E10</v>
      </c>
      <c r="L167" s="18"/>
      <c r="M167" s="18" t="s">
        <v>1322</v>
      </c>
    </row>
    <row r="168">
      <c r="A168" s="7" t="s">
        <v>1150</v>
      </c>
      <c r="B168" s="18" t="s">
        <v>1323</v>
      </c>
      <c r="C168" s="19" t="s">
        <v>791</v>
      </c>
      <c r="D168" s="22" t="s">
        <v>1324</v>
      </c>
      <c r="E168" s="22" t="s">
        <v>1326</v>
      </c>
      <c r="F168" s="22"/>
      <c r="G168" s="23">
        <v>8.5784809735E10</v>
      </c>
      <c r="H168" s="24">
        <v>1.0</v>
      </c>
      <c r="I168" s="18" t="s">
        <v>1326</v>
      </c>
      <c r="J168" s="18"/>
      <c r="K168" s="24">
        <v>8.5784809735E10</v>
      </c>
      <c r="L168" s="18"/>
      <c r="M168" s="18" t="s">
        <v>1327</v>
      </c>
    </row>
    <row r="169">
      <c r="A169" s="7" t="s">
        <v>1150</v>
      </c>
      <c r="B169" s="18" t="s">
        <v>1328</v>
      </c>
      <c r="C169" s="19" t="s">
        <v>791</v>
      </c>
      <c r="D169" s="22" t="s">
        <v>1329</v>
      </c>
      <c r="E169" s="22" t="s">
        <v>1330</v>
      </c>
      <c r="F169" s="22"/>
      <c r="G169" s="23">
        <v>8.5784809735E10</v>
      </c>
      <c r="H169" s="24">
        <v>1.0</v>
      </c>
      <c r="I169" s="18" t="s">
        <v>1330</v>
      </c>
      <c r="J169" s="18"/>
      <c r="K169" s="24">
        <v>8.5784809735E10</v>
      </c>
      <c r="L169" s="18"/>
      <c r="M169" s="18" t="s">
        <v>1315</v>
      </c>
    </row>
    <row r="170">
      <c r="A170" s="7" t="s">
        <v>1150</v>
      </c>
      <c r="B170" s="18" t="s">
        <v>1331</v>
      </c>
      <c r="C170" s="19" t="s">
        <v>791</v>
      </c>
      <c r="D170" s="22" t="s">
        <v>1332</v>
      </c>
      <c r="E170" s="22" t="s">
        <v>1333</v>
      </c>
      <c r="F170" s="22"/>
      <c r="G170" s="23">
        <v>8.5784809735E10</v>
      </c>
      <c r="H170" s="24">
        <v>1.0</v>
      </c>
      <c r="I170" s="18" t="s">
        <v>1333</v>
      </c>
      <c r="J170" s="18"/>
      <c r="K170" s="24">
        <v>8.5784809735E10</v>
      </c>
      <c r="L170" s="18"/>
      <c r="M170" s="18" t="s">
        <v>1315</v>
      </c>
    </row>
    <row r="171">
      <c r="A171" s="7" t="s">
        <v>1150</v>
      </c>
      <c r="B171" s="18" t="s">
        <v>1334</v>
      </c>
      <c r="C171" s="19" t="s">
        <v>791</v>
      </c>
      <c r="D171" s="22" t="s">
        <v>1335</v>
      </c>
      <c r="E171" s="22" t="s">
        <v>1336</v>
      </c>
      <c r="F171" s="22"/>
      <c r="G171" s="23">
        <v>8.5784809735E10</v>
      </c>
      <c r="H171" s="24">
        <v>1.0</v>
      </c>
      <c r="I171" s="18" t="s">
        <v>1336</v>
      </c>
      <c r="J171" s="18"/>
      <c r="K171" s="24">
        <v>8.5784809735E10</v>
      </c>
      <c r="L171" s="18"/>
      <c r="M171" s="18" t="s">
        <v>1315</v>
      </c>
    </row>
    <row r="172">
      <c r="A172" s="7" t="s">
        <v>1150</v>
      </c>
      <c r="B172" s="18" t="s">
        <v>1337</v>
      </c>
      <c r="C172" s="19" t="s">
        <v>791</v>
      </c>
      <c r="D172" s="22" t="s">
        <v>1338</v>
      </c>
      <c r="E172" s="22" t="s">
        <v>1339</v>
      </c>
      <c r="F172" s="22"/>
      <c r="G172" s="23">
        <v>8.5784809735E10</v>
      </c>
      <c r="H172" s="24">
        <v>1.0</v>
      </c>
      <c r="I172" s="18" t="s">
        <v>1339</v>
      </c>
      <c r="J172" s="18"/>
      <c r="K172" s="24">
        <v>8.5784809735E10</v>
      </c>
      <c r="L172" s="18"/>
      <c r="M172" s="18" t="s">
        <v>1340</v>
      </c>
    </row>
    <row r="173">
      <c r="A173" s="7" t="s">
        <v>1150</v>
      </c>
      <c r="B173" s="18" t="s">
        <v>1341</v>
      </c>
      <c r="C173" s="19" t="s">
        <v>791</v>
      </c>
      <c r="D173" s="22" t="s">
        <v>1342</v>
      </c>
      <c r="E173" s="22" t="s">
        <v>1343</v>
      </c>
      <c r="F173" s="22"/>
      <c r="G173" s="23">
        <v>8.5784809735E10</v>
      </c>
      <c r="H173" s="24">
        <v>1.0</v>
      </c>
      <c r="I173" s="18" t="s">
        <v>1343</v>
      </c>
      <c r="J173" s="18"/>
      <c r="K173" s="24">
        <v>8.5784809735E10</v>
      </c>
      <c r="L173" s="18"/>
      <c r="M173" s="18" t="s">
        <v>1340</v>
      </c>
    </row>
    <row r="174">
      <c r="A174" s="7" t="s">
        <v>1150</v>
      </c>
      <c r="B174" s="18" t="s">
        <v>1344</v>
      </c>
      <c r="C174" s="19" t="s">
        <v>791</v>
      </c>
      <c r="D174" s="22" t="s">
        <v>1345</v>
      </c>
      <c r="E174" s="22" t="s">
        <v>1346</v>
      </c>
      <c r="F174" s="22"/>
      <c r="G174" s="23">
        <v>8.5784809735E10</v>
      </c>
      <c r="H174" s="24">
        <v>1.0</v>
      </c>
      <c r="I174" s="18" t="s">
        <v>1346</v>
      </c>
      <c r="J174" s="18"/>
      <c r="K174" s="24">
        <v>8.5784809735E10</v>
      </c>
      <c r="L174" s="18"/>
      <c r="M174" s="18" t="s">
        <v>1347</v>
      </c>
    </row>
    <row r="175">
      <c r="A175" s="7" t="s">
        <v>1150</v>
      </c>
      <c r="B175" s="18" t="s">
        <v>1349</v>
      </c>
      <c r="C175" s="19" t="s">
        <v>791</v>
      </c>
      <c r="D175" s="22" t="s">
        <v>1352</v>
      </c>
      <c r="E175" s="22" t="s">
        <v>1353</v>
      </c>
      <c r="F175" s="22"/>
      <c r="G175" s="23">
        <v>8.5784809735E10</v>
      </c>
      <c r="H175" s="24">
        <v>1.0</v>
      </c>
      <c r="I175" s="18" t="s">
        <v>1353</v>
      </c>
      <c r="J175" s="18"/>
      <c r="K175" s="24">
        <v>8.5784809735E10</v>
      </c>
      <c r="L175" s="18"/>
      <c r="M175" s="18" t="s">
        <v>1315</v>
      </c>
    </row>
    <row r="176">
      <c r="A176" s="7" t="s">
        <v>1355</v>
      </c>
      <c r="B176" s="18" t="s">
        <v>1356</v>
      </c>
      <c r="C176" s="19" t="s">
        <v>23</v>
      </c>
      <c r="D176" s="23">
        <v>9.0</v>
      </c>
      <c r="E176" s="22" t="s">
        <v>1357</v>
      </c>
      <c r="F176" s="22" t="s">
        <v>1358</v>
      </c>
      <c r="G176" s="22" t="s">
        <v>1359</v>
      </c>
      <c r="H176" s="24">
        <v>0.0</v>
      </c>
      <c r="I176" s="18" t="s">
        <v>1357</v>
      </c>
      <c r="J176" s="18" t="s">
        <v>1358</v>
      </c>
      <c r="K176" s="18" t="s">
        <v>1359</v>
      </c>
      <c r="L176" s="18"/>
      <c r="M176" s="18" t="s">
        <v>1360</v>
      </c>
    </row>
    <row r="177">
      <c r="A177" s="7" t="s">
        <v>1355</v>
      </c>
      <c r="B177" s="18" t="s">
        <v>1361</v>
      </c>
      <c r="C177" s="19" t="s">
        <v>23</v>
      </c>
      <c r="D177" s="23">
        <v>9.0</v>
      </c>
      <c r="E177" s="22" t="s">
        <v>1362</v>
      </c>
      <c r="F177" s="22" t="s">
        <v>1363</v>
      </c>
      <c r="G177" s="22" t="s">
        <v>1364</v>
      </c>
      <c r="H177" s="24">
        <v>0.0</v>
      </c>
      <c r="I177" s="18" t="s">
        <v>1362</v>
      </c>
      <c r="J177" s="18" t="s">
        <v>1363</v>
      </c>
      <c r="K177" s="18" t="s">
        <v>1364</v>
      </c>
      <c r="L177" s="18"/>
      <c r="M177" s="18" t="s">
        <v>1365</v>
      </c>
    </row>
    <row r="178">
      <c r="A178" s="18"/>
    </row>
    <row r="179">
      <c r="A179" s="18"/>
    </row>
    <row r="180">
      <c r="A180" s="18"/>
    </row>
  </sheetData>
  <autoFilter ref="$A$1:$M$177"/>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4" max="4" width="40.88"/>
    <col customWidth="1" min="5" max="5" width="22.88"/>
    <col customWidth="1" min="6" max="6" width="14.25"/>
    <col customWidth="1" hidden="1" min="7" max="7" width="7.0"/>
    <col customWidth="1" min="8" max="8" width="40.88"/>
    <col customWidth="1" min="9" max="9" width="16.13"/>
    <col customWidth="1" min="10" max="10" width="18.0"/>
    <col customWidth="1" min="11" max="11" width="19.13"/>
    <col customWidth="1" min="13" max="13" width="68.0"/>
  </cols>
  <sheetData>
    <row r="1">
      <c r="A1" s="1" t="s">
        <v>0</v>
      </c>
      <c r="B1" s="2" t="s">
        <v>1</v>
      </c>
      <c r="C1" s="2" t="s">
        <v>2</v>
      </c>
      <c r="D1" s="2" t="s">
        <v>3</v>
      </c>
      <c r="E1" s="3" t="s">
        <v>4</v>
      </c>
      <c r="F1" s="2" t="s">
        <v>7</v>
      </c>
      <c r="G1" s="2" t="s">
        <v>8</v>
      </c>
      <c r="H1" s="2" t="s">
        <v>10</v>
      </c>
      <c r="I1" s="2" t="s">
        <v>11</v>
      </c>
      <c r="J1" s="2" t="s">
        <v>13</v>
      </c>
      <c r="K1" s="6" t="s">
        <v>5</v>
      </c>
      <c r="L1" s="2" t="s">
        <v>16</v>
      </c>
      <c r="M1" s="2" t="s">
        <v>12</v>
      </c>
      <c r="N1" s="8"/>
    </row>
    <row r="2">
      <c r="A2" s="9" t="s">
        <v>25</v>
      </c>
      <c r="B2" s="13" t="s">
        <v>28</v>
      </c>
      <c r="C2" s="13" t="s">
        <v>23</v>
      </c>
      <c r="D2" s="13" t="s">
        <v>37</v>
      </c>
      <c r="E2" s="15"/>
      <c r="F2" s="17">
        <v>8.1335684594E10</v>
      </c>
      <c r="G2" s="17">
        <v>0.0</v>
      </c>
      <c r="H2" s="13" t="s">
        <v>37</v>
      </c>
      <c r="I2" s="13"/>
      <c r="J2" s="20" t="s">
        <v>49</v>
      </c>
      <c r="K2" s="21" t="s">
        <v>52</v>
      </c>
      <c r="L2" s="13"/>
      <c r="M2" s="13" t="s">
        <v>56</v>
      </c>
    </row>
    <row r="3">
      <c r="A3" s="9" t="s">
        <v>25</v>
      </c>
      <c r="B3" s="13" t="s">
        <v>60</v>
      </c>
      <c r="C3" s="13" t="s">
        <v>23</v>
      </c>
      <c r="D3" s="13" t="s">
        <v>63</v>
      </c>
      <c r="E3" s="15"/>
      <c r="F3" s="17">
        <v>8.5736881069E10</v>
      </c>
      <c r="G3" s="17">
        <v>1.0</v>
      </c>
      <c r="H3" s="13" t="s">
        <v>63</v>
      </c>
      <c r="I3" s="13"/>
      <c r="J3" s="20" t="s">
        <v>69</v>
      </c>
      <c r="K3" s="21" t="s">
        <v>72</v>
      </c>
      <c r="L3" s="13"/>
      <c r="M3" s="18"/>
    </row>
    <row r="4">
      <c r="A4" s="9" t="s">
        <v>25</v>
      </c>
      <c r="B4" s="13" t="s">
        <v>75</v>
      </c>
      <c r="C4" s="13" t="s">
        <v>23</v>
      </c>
      <c r="D4" s="13" t="s">
        <v>61</v>
      </c>
      <c r="E4" s="15"/>
      <c r="F4" s="17">
        <v>8.5735113595E10</v>
      </c>
      <c r="G4" s="17">
        <v>1.0</v>
      </c>
      <c r="H4" s="13" t="s">
        <v>61</v>
      </c>
      <c r="I4" s="13"/>
      <c r="J4" s="20" t="s">
        <v>79</v>
      </c>
      <c r="K4" s="21" t="s">
        <v>81</v>
      </c>
      <c r="L4" s="13"/>
      <c r="M4" s="13" t="s">
        <v>85</v>
      </c>
    </row>
    <row r="5">
      <c r="A5" s="9" t="s">
        <v>25</v>
      </c>
      <c r="B5" s="13" t="s">
        <v>88</v>
      </c>
      <c r="C5" s="13" t="s">
        <v>23</v>
      </c>
      <c r="D5" s="13" t="s">
        <v>95</v>
      </c>
      <c r="E5" s="15"/>
      <c r="F5" s="17">
        <v>8.13342235E10</v>
      </c>
      <c r="G5" s="17">
        <v>1.0</v>
      </c>
      <c r="H5" s="13" t="s">
        <v>95</v>
      </c>
      <c r="I5" s="13"/>
      <c r="J5" s="20" t="s">
        <v>97</v>
      </c>
      <c r="K5" s="21" t="s">
        <v>99</v>
      </c>
      <c r="L5" s="13"/>
      <c r="M5" s="18"/>
    </row>
    <row r="6">
      <c r="A6" s="9" t="s">
        <v>25</v>
      </c>
      <c r="B6" s="13" t="s">
        <v>103</v>
      </c>
      <c r="C6" s="13" t="s">
        <v>23</v>
      </c>
      <c r="D6" s="13" t="s">
        <v>105</v>
      </c>
      <c r="E6" s="15"/>
      <c r="F6" s="17">
        <v>8.5649502506E10</v>
      </c>
      <c r="G6" s="17">
        <v>1.0</v>
      </c>
      <c r="H6" s="13" t="s">
        <v>105</v>
      </c>
      <c r="I6" s="13"/>
      <c r="J6" s="20" t="s">
        <v>109</v>
      </c>
      <c r="K6" s="21" t="s">
        <v>110</v>
      </c>
      <c r="L6" s="13"/>
      <c r="M6" s="18"/>
    </row>
    <row r="7">
      <c r="A7" s="9" t="s">
        <v>25</v>
      </c>
      <c r="B7" s="13" t="s">
        <v>114</v>
      </c>
      <c r="C7" s="13" t="s">
        <v>23</v>
      </c>
      <c r="D7" s="13" t="s">
        <v>118</v>
      </c>
      <c r="E7" s="15"/>
      <c r="F7" s="17">
        <v>8.563501392E9</v>
      </c>
      <c r="G7" s="17">
        <v>1.0</v>
      </c>
      <c r="H7" s="13" t="s">
        <v>118</v>
      </c>
      <c r="I7" s="13"/>
      <c r="J7" s="20" t="s">
        <v>122</v>
      </c>
      <c r="K7" s="21" t="s">
        <v>123</v>
      </c>
      <c r="L7" s="13"/>
      <c r="M7" s="18"/>
    </row>
    <row r="8">
      <c r="A8" s="9" t="s">
        <v>25</v>
      </c>
      <c r="B8" s="13" t="s">
        <v>126</v>
      </c>
      <c r="C8" s="13" t="s">
        <v>23</v>
      </c>
      <c r="D8" s="13" t="s">
        <v>119</v>
      </c>
      <c r="E8" s="15"/>
      <c r="F8" s="17">
        <v>8.5856261477E10</v>
      </c>
      <c r="G8" s="17">
        <v>1.0</v>
      </c>
      <c r="H8" s="13" t="s">
        <v>119</v>
      </c>
      <c r="I8" s="13"/>
      <c r="J8" s="20" t="s">
        <v>132</v>
      </c>
      <c r="K8" s="21" t="s">
        <v>144</v>
      </c>
      <c r="L8" s="13"/>
      <c r="M8" s="18"/>
    </row>
    <row r="9">
      <c r="A9" s="9" t="s">
        <v>25</v>
      </c>
      <c r="B9" s="13" t="s">
        <v>146</v>
      </c>
      <c r="C9" s="13" t="s">
        <v>23</v>
      </c>
      <c r="D9" s="13" t="s">
        <v>148</v>
      </c>
      <c r="E9" s="15"/>
      <c r="F9" s="17">
        <v>8.5647109231E10</v>
      </c>
      <c r="G9" s="17">
        <v>1.0</v>
      </c>
      <c r="H9" s="13" t="s">
        <v>148</v>
      </c>
      <c r="I9" s="13"/>
      <c r="J9" s="20" t="s">
        <v>154</v>
      </c>
      <c r="K9" s="21" t="s">
        <v>156</v>
      </c>
      <c r="L9" s="13"/>
      <c r="M9" s="13" t="s">
        <v>93</v>
      </c>
    </row>
    <row r="10">
      <c r="A10" s="9" t="s">
        <v>25</v>
      </c>
      <c r="B10" s="13" t="s">
        <v>161</v>
      </c>
      <c r="C10" s="13" t="s">
        <v>23</v>
      </c>
      <c r="D10" s="13" t="s">
        <v>164</v>
      </c>
      <c r="E10" s="15"/>
      <c r="F10" s="17">
        <v>8.123405154E9</v>
      </c>
      <c r="G10" s="17">
        <v>1.0</v>
      </c>
      <c r="H10" s="13" t="s">
        <v>164</v>
      </c>
      <c r="I10" s="13"/>
      <c r="J10" s="20" t="s">
        <v>166</v>
      </c>
      <c r="K10" s="21" t="s">
        <v>168</v>
      </c>
      <c r="L10" s="13"/>
      <c r="M10" s="13" t="s">
        <v>169</v>
      </c>
    </row>
    <row r="11">
      <c r="A11" s="9" t="s">
        <v>25</v>
      </c>
      <c r="B11" s="13" t="s">
        <v>173</v>
      </c>
      <c r="C11" s="13" t="s">
        <v>23</v>
      </c>
      <c r="D11" s="13" t="s">
        <v>174</v>
      </c>
      <c r="E11" s="19"/>
      <c r="F11" s="17">
        <v>8.1252232644E10</v>
      </c>
      <c r="G11" s="17">
        <v>0.0</v>
      </c>
      <c r="H11" s="13" t="s">
        <v>174</v>
      </c>
      <c r="I11" s="18"/>
      <c r="J11" s="20" t="s">
        <v>181</v>
      </c>
      <c r="K11" s="21">
        <v>999.0</v>
      </c>
      <c r="L11" s="18"/>
      <c r="M11" s="18"/>
    </row>
    <row r="12">
      <c r="A12" s="9" t="s">
        <v>25</v>
      </c>
      <c r="B12" s="13" t="s">
        <v>185</v>
      </c>
      <c r="C12" s="13" t="s">
        <v>23</v>
      </c>
      <c r="D12" s="13" t="s">
        <v>186</v>
      </c>
      <c r="E12" s="15"/>
      <c r="F12" s="17">
        <v>8.1556423161E10</v>
      </c>
      <c r="G12" s="17">
        <v>0.0</v>
      </c>
      <c r="H12" s="13" t="s">
        <v>186</v>
      </c>
      <c r="I12" s="13"/>
      <c r="J12" s="20" t="s">
        <v>190</v>
      </c>
      <c r="K12" s="21" t="s">
        <v>192</v>
      </c>
      <c r="L12" s="13"/>
      <c r="M12" s="18"/>
    </row>
    <row r="13">
      <c r="A13" s="9" t="s">
        <v>25</v>
      </c>
      <c r="B13" s="13" t="s">
        <v>194</v>
      </c>
      <c r="C13" s="13" t="s">
        <v>23</v>
      </c>
      <c r="D13" s="13" t="s">
        <v>200</v>
      </c>
      <c r="E13" s="15"/>
      <c r="F13" s="17">
        <v>8.1332029263E10</v>
      </c>
      <c r="G13" s="17">
        <v>1.0</v>
      </c>
      <c r="H13" s="13" t="s">
        <v>200</v>
      </c>
      <c r="I13" s="13"/>
      <c r="J13" s="20" t="s">
        <v>209</v>
      </c>
      <c r="K13" s="21" t="s">
        <v>211</v>
      </c>
      <c r="L13" s="13"/>
      <c r="M13" s="13" t="s">
        <v>213</v>
      </c>
    </row>
    <row r="14">
      <c r="A14" s="9" t="s">
        <v>25</v>
      </c>
      <c r="B14" s="13" t="s">
        <v>216</v>
      </c>
      <c r="C14" s="13" t="s">
        <v>23</v>
      </c>
      <c r="D14" s="13" t="s">
        <v>219</v>
      </c>
      <c r="E14" s="15"/>
      <c r="F14" s="17">
        <v>8.5784809735E10</v>
      </c>
      <c r="G14" s="17">
        <v>1.0</v>
      </c>
      <c r="H14" s="13" t="s">
        <v>219</v>
      </c>
      <c r="I14" s="13"/>
      <c r="J14" s="20" t="s">
        <v>222</v>
      </c>
      <c r="K14" s="21" t="s">
        <v>223</v>
      </c>
      <c r="L14" s="13"/>
      <c r="M14" s="13" t="s">
        <v>53</v>
      </c>
    </row>
    <row r="15">
      <c r="A15" s="9" t="s">
        <v>25</v>
      </c>
      <c r="B15" s="13" t="s">
        <v>228</v>
      </c>
      <c r="C15" s="13" t="s">
        <v>23</v>
      </c>
      <c r="D15" s="13" t="s">
        <v>229</v>
      </c>
      <c r="E15" s="15"/>
      <c r="F15" s="17">
        <v>8.5790218884E10</v>
      </c>
      <c r="G15" s="17">
        <v>1.0</v>
      </c>
      <c r="H15" s="13" t="s">
        <v>229</v>
      </c>
      <c r="I15" s="13"/>
      <c r="J15" s="20" t="s">
        <v>230</v>
      </c>
      <c r="K15" s="21" t="s">
        <v>232</v>
      </c>
      <c r="L15" s="13"/>
      <c r="M15" s="13" t="s">
        <v>233</v>
      </c>
    </row>
    <row r="16">
      <c r="A16" s="9" t="s">
        <v>25</v>
      </c>
      <c r="B16" s="13" t="s">
        <v>236</v>
      </c>
      <c r="C16" s="13" t="s">
        <v>23</v>
      </c>
      <c r="D16" s="13" t="s">
        <v>237</v>
      </c>
      <c r="E16" s="15"/>
      <c r="F16" s="17">
        <v>8.5736881069E10</v>
      </c>
      <c r="G16" s="17">
        <v>1.0</v>
      </c>
      <c r="H16" s="13" t="s">
        <v>237</v>
      </c>
      <c r="I16" s="13"/>
      <c r="J16" s="20" t="s">
        <v>69</v>
      </c>
      <c r="K16" s="21" t="s">
        <v>241</v>
      </c>
      <c r="L16" s="13"/>
      <c r="M16" s="18"/>
    </row>
    <row r="17">
      <c r="A17" s="9" t="s">
        <v>25</v>
      </c>
      <c r="B17" s="13" t="s">
        <v>246</v>
      </c>
      <c r="C17" s="13" t="s">
        <v>23</v>
      </c>
      <c r="D17" s="13" t="s">
        <v>249</v>
      </c>
      <c r="E17" s="15"/>
      <c r="F17" s="17">
        <v>8.1914859925E10</v>
      </c>
      <c r="G17" s="17">
        <v>1.0</v>
      </c>
      <c r="H17" s="13" t="s">
        <v>249</v>
      </c>
      <c r="I17" s="13"/>
      <c r="J17" s="20" t="s">
        <v>252</v>
      </c>
      <c r="K17" s="21" t="s">
        <v>255</v>
      </c>
      <c r="L17" s="13"/>
      <c r="M17" s="18"/>
    </row>
    <row r="18">
      <c r="A18" s="9" t="s">
        <v>25</v>
      </c>
      <c r="B18" s="13" t="s">
        <v>244</v>
      </c>
      <c r="C18" s="13" t="s">
        <v>23</v>
      </c>
      <c r="D18" s="13" t="s">
        <v>224</v>
      </c>
      <c r="E18" s="15"/>
      <c r="F18" s="17">
        <v>8.2335999707E10</v>
      </c>
      <c r="G18" s="17">
        <v>1.0</v>
      </c>
      <c r="H18" s="13" t="s">
        <v>224</v>
      </c>
      <c r="I18" s="13"/>
      <c r="J18" s="20" t="s">
        <v>286</v>
      </c>
      <c r="K18" s="21" t="s">
        <v>247</v>
      </c>
      <c r="L18" s="13"/>
      <c r="M18" s="18"/>
    </row>
    <row r="19">
      <c r="A19" s="9" t="s">
        <v>25</v>
      </c>
      <c r="B19" s="13" t="s">
        <v>292</v>
      </c>
      <c r="C19" s="13" t="s">
        <v>23</v>
      </c>
      <c r="D19" s="13" t="s">
        <v>295</v>
      </c>
      <c r="E19" s="15"/>
      <c r="F19" s="17">
        <v>8.1234381838E10</v>
      </c>
      <c r="G19" s="17">
        <v>1.0</v>
      </c>
      <c r="H19" s="13" t="s">
        <v>295</v>
      </c>
      <c r="I19" s="13"/>
      <c r="J19" s="20" t="s">
        <v>299</v>
      </c>
      <c r="K19" s="21" t="s">
        <v>300</v>
      </c>
      <c r="L19" s="13"/>
      <c r="M19" s="18"/>
    </row>
    <row r="20">
      <c r="A20" s="9" t="s">
        <v>25</v>
      </c>
      <c r="B20" s="13" t="s">
        <v>307</v>
      </c>
      <c r="C20" s="13" t="s">
        <v>23</v>
      </c>
      <c r="D20" s="13" t="s">
        <v>308</v>
      </c>
      <c r="E20" s="15"/>
      <c r="F20" s="17">
        <v>8.563518338E9</v>
      </c>
      <c r="G20" s="17">
        <v>0.0</v>
      </c>
      <c r="H20" s="13" t="s">
        <v>308</v>
      </c>
      <c r="I20" s="13"/>
      <c r="J20" s="20" t="s">
        <v>312</v>
      </c>
      <c r="K20" s="21" t="s">
        <v>313</v>
      </c>
      <c r="L20" s="13"/>
      <c r="M20" s="18"/>
    </row>
    <row r="21">
      <c r="A21" s="9" t="s">
        <v>25</v>
      </c>
      <c r="B21" s="13" t="s">
        <v>316</v>
      </c>
      <c r="C21" s="13" t="s">
        <v>23</v>
      </c>
      <c r="D21" s="13" t="s">
        <v>318</v>
      </c>
      <c r="E21" s="15"/>
      <c r="F21" s="17">
        <v>8.1332102027E10</v>
      </c>
      <c r="G21" s="17">
        <v>0.0</v>
      </c>
      <c r="H21" s="13" t="s">
        <v>318</v>
      </c>
      <c r="I21" s="13"/>
      <c r="J21" s="20" t="s">
        <v>323</v>
      </c>
      <c r="K21" s="21">
        <v>119.0</v>
      </c>
      <c r="L21" s="18"/>
      <c r="M21" s="18"/>
    </row>
    <row r="22">
      <c r="A22" s="9" t="s">
        <v>25</v>
      </c>
      <c r="B22" s="13" t="s">
        <v>360</v>
      </c>
      <c r="C22" s="13" t="s">
        <v>23</v>
      </c>
      <c r="D22" s="13" t="s">
        <v>364</v>
      </c>
      <c r="E22" s="15"/>
      <c r="F22" s="17">
        <v>8.1359422525E10</v>
      </c>
      <c r="G22" s="17">
        <v>1.0</v>
      </c>
      <c r="H22" s="13" t="s">
        <v>364</v>
      </c>
      <c r="I22" s="13"/>
      <c r="J22" s="20" t="s">
        <v>368</v>
      </c>
      <c r="K22" s="21" t="s">
        <v>371</v>
      </c>
      <c r="L22" s="13"/>
      <c r="M22" s="13" t="s">
        <v>373</v>
      </c>
    </row>
    <row r="23">
      <c r="A23" s="9" t="s">
        <v>25</v>
      </c>
      <c r="B23" s="13" t="s">
        <v>376</v>
      </c>
      <c r="C23" s="13" t="s">
        <v>23</v>
      </c>
      <c r="D23" s="13" t="s">
        <v>356</v>
      </c>
      <c r="E23" s="15"/>
      <c r="F23" s="17">
        <v>8.1359422525E10</v>
      </c>
      <c r="G23" s="17">
        <v>1.0</v>
      </c>
      <c r="H23" s="13" t="s">
        <v>356</v>
      </c>
      <c r="I23" s="13"/>
      <c r="J23" s="20" t="s">
        <v>368</v>
      </c>
      <c r="K23" s="21" t="s">
        <v>383</v>
      </c>
      <c r="L23" s="13"/>
      <c r="M23" s="13" t="s">
        <v>384</v>
      </c>
    </row>
    <row r="24">
      <c r="A24" s="9" t="s">
        <v>25</v>
      </c>
      <c r="B24" s="13" t="s">
        <v>385</v>
      </c>
      <c r="C24" s="13" t="s">
        <v>23</v>
      </c>
      <c r="D24" s="13" t="s">
        <v>370</v>
      </c>
      <c r="E24" s="15"/>
      <c r="F24" s="17">
        <v>8.2228499822E10</v>
      </c>
      <c r="G24" s="17">
        <v>1.0</v>
      </c>
      <c r="H24" s="13" t="s">
        <v>370</v>
      </c>
      <c r="I24" s="13"/>
      <c r="J24" s="20" t="s">
        <v>388</v>
      </c>
      <c r="K24" s="21" t="s">
        <v>391</v>
      </c>
      <c r="L24" s="13"/>
      <c r="M24" s="13" t="s">
        <v>395</v>
      </c>
    </row>
    <row r="25">
      <c r="A25" s="9" t="s">
        <v>25</v>
      </c>
      <c r="B25" s="13" t="s">
        <v>276</v>
      </c>
      <c r="C25" s="13" t="s">
        <v>23</v>
      </c>
      <c r="D25" s="13" t="s">
        <v>267</v>
      </c>
      <c r="E25" s="15"/>
      <c r="F25" s="17">
        <v>8.5636325E9</v>
      </c>
      <c r="G25" s="17">
        <v>1.0</v>
      </c>
      <c r="H25" s="13" t="s">
        <v>267</v>
      </c>
      <c r="I25" s="13"/>
      <c r="J25" s="20" t="s">
        <v>403</v>
      </c>
      <c r="K25" s="21" t="s">
        <v>281</v>
      </c>
      <c r="L25" s="13"/>
      <c r="M25" s="13" t="s">
        <v>284</v>
      </c>
    </row>
    <row r="26">
      <c r="A26" s="9" t="s">
        <v>25</v>
      </c>
      <c r="B26" s="13" t="s">
        <v>329</v>
      </c>
      <c r="C26" s="13" t="s">
        <v>23</v>
      </c>
      <c r="D26" s="13" t="s">
        <v>311</v>
      </c>
      <c r="E26" s="15"/>
      <c r="F26" s="17">
        <v>8.5790570462E10</v>
      </c>
      <c r="G26" s="17">
        <v>1.0</v>
      </c>
      <c r="H26" s="13" t="s">
        <v>311</v>
      </c>
      <c r="I26" s="13"/>
      <c r="J26" s="20" t="s">
        <v>418</v>
      </c>
      <c r="K26" s="21" t="s">
        <v>331</v>
      </c>
      <c r="L26" s="13"/>
      <c r="M26" s="18"/>
    </row>
    <row r="27">
      <c r="A27" s="9" t="s">
        <v>25</v>
      </c>
      <c r="B27" s="13" t="s">
        <v>423</v>
      </c>
      <c r="C27" s="13" t="s">
        <v>23</v>
      </c>
      <c r="D27" s="13" t="s">
        <v>420</v>
      </c>
      <c r="E27" s="15"/>
      <c r="F27" s="17">
        <v>8.133569183E10</v>
      </c>
      <c r="G27" s="17">
        <v>1.0</v>
      </c>
      <c r="H27" s="13" t="s">
        <v>420</v>
      </c>
      <c r="I27" s="13"/>
      <c r="J27" s="20" t="s">
        <v>433</v>
      </c>
      <c r="K27" s="21" t="s">
        <v>419</v>
      </c>
      <c r="L27" s="13"/>
      <c r="M27" s="18"/>
    </row>
    <row r="28">
      <c r="A28" s="9" t="s">
        <v>25</v>
      </c>
      <c r="B28" s="13" t="s">
        <v>440</v>
      </c>
      <c r="C28" s="13" t="s">
        <v>23</v>
      </c>
      <c r="D28" s="13" t="s">
        <v>445</v>
      </c>
      <c r="E28" s="19"/>
      <c r="F28" s="17">
        <v>8.1332102027E10</v>
      </c>
      <c r="G28" s="17">
        <v>0.0</v>
      </c>
      <c r="H28" s="13" t="s">
        <v>445</v>
      </c>
      <c r="I28" s="18"/>
      <c r="J28" s="20" t="s">
        <v>323</v>
      </c>
      <c r="K28" s="21">
        <v>1001001.0</v>
      </c>
      <c r="L28" s="18"/>
      <c r="M28" s="13" t="s">
        <v>455</v>
      </c>
    </row>
    <row r="29">
      <c r="A29" s="9" t="s">
        <v>25</v>
      </c>
      <c r="B29" s="13" t="s">
        <v>457</v>
      </c>
      <c r="C29" s="13" t="s">
        <v>23</v>
      </c>
      <c r="D29" s="13" t="s">
        <v>436</v>
      </c>
      <c r="E29" s="15"/>
      <c r="F29" s="17">
        <v>8.2232414825E10</v>
      </c>
      <c r="G29" s="17">
        <v>1.0</v>
      </c>
      <c r="H29" s="13" t="s">
        <v>436</v>
      </c>
      <c r="I29" s="13"/>
      <c r="J29" s="20" t="s">
        <v>464</v>
      </c>
      <c r="K29" s="21" t="s">
        <v>467</v>
      </c>
      <c r="L29" s="13"/>
      <c r="M29" s="13" t="s">
        <v>470</v>
      </c>
    </row>
    <row r="30">
      <c r="A30" s="9" t="s">
        <v>25</v>
      </c>
      <c r="B30" s="13" t="s">
        <v>473</v>
      </c>
      <c r="C30" s="13" t="s">
        <v>23</v>
      </c>
      <c r="D30" s="13" t="s">
        <v>452</v>
      </c>
      <c r="E30" s="15"/>
      <c r="F30" s="17">
        <v>8.2231263861E10</v>
      </c>
      <c r="G30" s="17">
        <v>1.0</v>
      </c>
      <c r="H30" s="13" t="s">
        <v>452</v>
      </c>
      <c r="I30" s="13"/>
      <c r="J30" s="20" t="s">
        <v>481</v>
      </c>
      <c r="K30" s="21" t="s">
        <v>483</v>
      </c>
      <c r="L30" s="13"/>
      <c r="M30" s="13" t="s">
        <v>486</v>
      </c>
    </row>
    <row r="31">
      <c r="A31" s="9" t="s">
        <v>25</v>
      </c>
      <c r="B31" s="13" t="s">
        <v>490</v>
      </c>
      <c r="C31" s="13" t="s">
        <v>23</v>
      </c>
      <c r="D31" s="13" t="s">
        <v>460</v>
      </c>
      <c r="E31" s="15"/>
      <c r="F31" s="17">
        <v>8.563622003E9</v>
      </c>
      <c r="G31" s="17">
        <v>1.0</v>
      </c>
      <c r="H31" s="13" t="s">
        <v>460</v>
      </c>
      <c r="I31" s="13"/>
      <c r="J31" s="20" t="s">
        <v>500</v>
      </c>
      <c r="K31" s="21" t="s">
        <v>501</v>
      </c>
      <c r="L31" s="13"/>
      <c r="M31" s="18"/>
    </row>
    <row r="32">
      <c r="A32" s="9" t="s">
        <v>25</v>
      </c>
      <c r="B32" s="13" t="s">
        <v>502</v>
      </c>
      <c r="C32" s="13" t="s">
        <v>23</v>
      </c>
      <c r="D32" s="13" t="s">
        <v>466</v>
      </c>
      <c r="E32" s="19"/>
      <c r="F32" s="17">
        <v>8.1335616515E10</v>
      </c>
      <c r="G32" s="17">
        <v>1.0</v>
      </c>
      <c r="H32" s="13" t="s">
        <v>466</v>
      </c>
      <c r="I32" s="18"/>
      <c r="J32" s="20" t="s">
        <v>509</v>
      </c>
      <c r="K32" s="21" t="s">
        <v>510</v>
      </c>
      <c r="L32" s="13"/>
      <c r="M32" s="18"/>
    </row>
    <row r="33">
      <c r="A33" s="9" t="s">
        <v>25</v>
      </c>
      <c r="B33" s="13" t="s">
        <v>513</v>
      </c>
      <c r="C33" s="13" t="s">
        <v>23</v>
      </c>
      <c r="D33" s="13" t="s">
        <v>478</v>
      </c>
      <c r="E33" s="15"/>
      <c r="F33" s="17">
        <v>8.2264051008E10</v>
      </c>
      <c r="G33" s="17">
        <v>1.0</v>
      </c>
      <c r="H33" s="13" t="s">
        <v>478</v>
      </c>
      <c r="I33" s="13"/>
      <c r="J33" s="20" t="s">
        <v>521</v>
      </c>
      <c r="K33" s="21" t="s">
        <v>523</v>
      </c>
      <c r="L33" s="13"/>
      <c r="M33" s="13" t="s">
        <v>197</v>
      </c>
    </row>
    <row r="34">
      <c r="A34" s="9" t="s">
        <v>25</v>
      </c>
      <c r="B34" s="13" t="s">
        <v>529</v>
      </c>
      <c r="C34" s="13" t="s">
        <v>23</v>
      </c>
      <c r="D34" s="13" t="s">
        <v>485</v>
      </c>
      <c r="E34" s="19"/>
      <c r="F34" s="17">
        <v>8.1238451871E10</v>
      </c>
      <c r="G34" s="17">
        <v>1.0</v>
      </c>
      <c r="H34" s="13" t="s">
        <v>485</v>
      </c>
      <c r="I34" s="18"/>
      <c r="J34" s="20" t="s">
        <v>537</v>
      </c>
      <c r="K34" s="21" t="s">
        <v>540</v>
      </c>
      <c r="L34" s="13"/>
      <c r="M34" s="18"/>
    </row>
    <row r="35">
      <c r="A35" s="9" t="s">
        <v>25</v>
      </c>
      <c r="B35" s="13" t="s">
        <v>544</v>
      </c>
      <c r="C35" s="13" t="s">
        <v>23</v>
      </c>
      <c r="D35" s="13" t="s">
        <v>546</v>
      </c>
      <c r="E35" s="15"/>
      <c r="F35" s="17">
        <v>8.1335199545E10</v>
      </c>
      <c r="G35" s="17">
        <v>0.0</v>
      </c>
      <c r="H35" s="13" t="s">
        <v>546</v>
      </c>
      <c r="I35" s="13"/>
      <c r="J35" s="20" t="s">
        <v>551</v>
      </c>
      <c r="K35" s="21" t="s">
        <v>554</v>
      </c>
      <c r="L35" s="13"/>
      <c r="M35" s="18"/>
    </row>
    <row r="36">
      <c r="A36" s="9" t="s">
        <v>25</v>
      </c>
      <c r="B36" s="13" t="s">
        <v>378</v>
      </c>
      <c r="C36" s="13" t="s">
        <v>23</v>
      </c>
      <c r="D36" s="13" t="s">
        <v>363</v>
      </c>
      <c r="E36" s="15"/>
      <c r="F36" s="17">
        <v>8.7856803894E10</v>
      </c>
      <c r="G36" s="17">
        <v>1.0</v>
      </c>
      <c r="H36" s="13" t="s">
        <v>363</v>
      </c>
      <c r="I36" s="13"/>
      <c r="J36" s="20" t="s">
        <v>562</v>
      </c>
      <c r="K36" s="21" t="s">
        <v>382</v>
      </c>
      <c r="L36" s="13"/>
      <c r="M36" s="18"/>
    </row>
    <row r="37">
      <c r="A37" s="9" t="s">
        <v>25</v>
      </c>
      <c r="B37" s="13" t="s">
        <v>408</v>
      </c>
      <c r="C37" s="13" t="s">
        <v>23</v>
      </c>
      <c r="D37" s="13" t="s">
        <v>396</v>
      </c>
      <c r="E37" s="15"/>
      <c r="F37" s="17">
        <v>8.5259059866E10</v>
      </c>
      <c r="G37" s="17">
        <v>1.0</v>
      </c>
      <c r="H37" s="13" t="s">
        <v>396</v>
      </c>
      <c r="I37" s="13"/>
      <c r="J37" s="20" t="s">
        <v>574</v>
      </c>
      <c r="K37" s="21" t="s">
        <v>412</v>
      </c>
      <c r="L37" s="13"/>
      <c r="M37" s="18"/>
    </row>
    <row r="38">
      <c r="A38" s="9" t="s">
        <v>25</v>
      </c>
      <c r="B38" s="13" t="s">
        <v>578</v>
      </c>
      <c r="C38" s="13" t="s">
        <v>23</v>
      </c>
      <c r="D38" s="13" t="s">
        <v>514</v>
      </c>
      <c r="E38" s="15"/>
      <c r="F38" s="17">
        <v>8.9603093251E10</v>
      </c>
      <c r="G38" s="17">
        <v>1.0</v>
      </c>
      <c r="H38" s="13" t="s">
        <v>514</v>
      </c>
      <c r="I38" s="13"/>
      <c r="J38" s="20" t="s">
        <v>583</v>
      </c>
      <c r="K38" s="21" t="s">
        <v>588</v>
      </c>
      <c r="L38" s="13"/>
      <c r="M38" s="18"/>
    </row>
    <row r="39">
      <c r="A39" s="9" t="s">
        <v>25</v>
      </c>
      <c r="B39" s="13" t="s">
        <v>595</v>
      </c>
      <c r="C39" s="13" t="s">
        <v>23</v>
      </c>
      <c r="D39" s="13" t="s">
        <v>527</v>
      </c>
      <c r="E39" s="15"/>
      <c r="F39" s="17">
        <v>8.2244612233E10</v>
      </c>
      <c r="G39" s="17">
        <v>1.0</v>
      </c>
      <c r="H39" s="13" t="s">
        <v>527</v>
      </c>
      <c r="I39" s="13"/>
      <c r="J39" s="20" t="s">
        <v>602</v>
      </c>
      <c r="K39" s="21" t="s">
        <v>604</v>
      </c>
      <c r="L39" s="13"/>
      <c r="M39" s="18"/>
    </row>
    <row r="40">
      <c r="A40" s="9" t="s">
        <v>25</v>
      </c>
      <c r="B40" s="13" t="s">
        <v>608</v>
      </c>
      <c r="C40" s="13" t="s">
        <v>23</v>
      </c>
      <c r="D40" s="13" t="s">
        <v>532</v>
      </c>
      <c r="E40" s="15"/>
      <c r="F40" s="17">
        <v>8.2233902019E10</v>
      </c>
      <c r="G40" s="17">
        <v>1.0</v>
      </c>
      <c r="H40" s="13" t="s">
        <v>532</v>
      </c>
      <c r="I40" s="13"/>
      <c r="J40" s="20" t="s">
        <v>613</v>
      </c>
      <c r="K40" s="21" t="s">
        <v>616</v>
      </c>
      <c r="L40" s="13"/>
      <c r="M40" s="18"/>
    </row>
    <row r="41">
      <c r="A41" s="9" t="s">
        <v>25</v>
      </c>
      <c r="B41" s="13" t="s">
        <v>620</v>
      </c>
      <c r="C41" s="13" t="s">
        <v>23</v>
      </c>
      <c r="D41" s="13" t="s">
        <v>536</v>
      </c>
      <c r="E41" s="15"/>
      <c r="F41" s="17">
        <v>8.5710247947E10</v>
      </c>
      <c r="G41" s="17">
        <v>1.0</v>
      </c>
      <c r="H41" s="13" t="s">
        <v>536</v>
      </c>
      <c r="I41" s="13"/>
      <c r="J41" s="20" t="s">
        <v>626</v>
      </c>
      <c r="K41" s="21" t="s">
        <v>628</v>
      </c>
      <c r="L41" s="13"/>
      <c r="M41" s="18"/>
    </row>
    <row r="42">
      <c r="A42" s="9" t="s">
        <v>25</v>
      </c>
      <c r="B42" s="13" t="s">
        <v>633</v>
      </c>
      <c r="C42" s="13" t="s">
        <v>23</v>
      </c>
      <c r="D42" s="13" t="s">
        <v>542</v>
      </c>
      <c r="E42" s="15"/>
      <c r="F42" s="17">
        <v>8.589524964E10</v>
      </c>
      <c r="G42" s="17">
        <v>1.0</v>
      </c>
      <c r="H42" s="13" t="s">
        <v>542</v>
      </c>
      <c r="I42" s="13"/>
      <c r="J42" s="20" t="s">
        <v>639</v>
      </c>
      <c r="K42" s="21" t="s">
        <v>541</v>
      </c>
      <c r="L42" s="13"/>
      <c r="M42" s="13" t="s">
        <v>642</v>
      </c>
    </row>
    <row r="43">
      <c r="A43" s="9" t="s">
        <v>25</v>
      </c>
      <c r="B43" s="13" t="s">
        <v>644</v>
      </c>
      <c r="C43" s="13" t="s">
        <v>23</v>
      </c>
      <c r="D43" s="13" t="s">
        <v>548</v>
      </c>
      <c r="E43" s="15"/>
      <c r="F43" s="17">
        <v>8.2233902019E10</v>
      </c>
      <c r="G43" s="17">
        <v>1.0</v>
      </c>
      <c r="H43" s="13" t="s">
        <v>548</v>
      </c>
      <c r="I43" s="13"/>
      <c r="J43" s="20" t="s">
        <v>613</v>
      </c>
      <c r="K43" s="21" t="s">
        <v>648</v>
      </c>
      <c r="L43" s="13"/>
      <c r="M43" s="18"/>
    </row>
    <row r="44">
      <c r="A44" s="9" t="s">
        <v>25</v>
      </c>
      <c r="B44" s="13" t="s">
        <v>651</v>
      </c>
      <c r="C44" s="13" t="s">
        <v>23</v>
      </c>
      <c r="D44" s="13" t="s">
        <v>553</v>
      </c>
      <c r="E44" s="15"/>
      <c r="F44" s="17">
        <v>8.5649377468E10</v>
      </c>
      <c r="G44" s="17">
        <v>1.0</v>
      </c>
      <c r="H44" s="13" t="s">
        <v>553</v>
      </c>
      <c r="I44" s="13"/>
      <c r="J44" s="20" t="s">
        <v>657</v>
      </c>
      <c r="K44" s="21" t="s">
        <v>658</v>
      </c>
      <c r="L44" s="13"/>
      <c r="M44" s="18"/>
    </row>
    <row r="45">
      <c r="A45" s="9" t="s">
        <v>25</v>
      </c>
      <c r="B45" s="13" t="s">
        <v>662</v>
      </c>
      <c r="C45" s="13" t="s">
        <v>23</v>
      </c>
      <c r="D45" s="13" t="s">
        <v>558</v>
      </c>
      <c r="E45" s="15"/>
      <c r="F45" s="17">
        <v>8.1231281171E10</v>
      </c>
      <c r="G45" s="17">
        <v>1.0</v>
      </c>
      <c r="H45" s="13" t="s">
        <v>558</v>
      </c>
      <c r="I45" s="13"/>
      <c r="J45" s="20" t="s">
        <v>667</v>
      </c>
      <c r="K45" s="21" t="s">
        <v>557</v>
      </c>
      <c r="L45" s="13"/>
      <c r="M45" s="13" t="s">
        <v>670</v>
      </c>
    </row>
    <row r="46">
      <c r="A46" s="9" t="s">
        <v>25</v>
      </c>
      <c r="B46" s="13" t="s">
        <v>674</v>
      </c>
      <c r="C46" s="13" t="s">
        <v>23</v>
      </c>
      <c r="D46" s="13" t="s">
        <v>563</v>
      </c>
      <c r="E46" s="19"/>
      <c r="F46" s="17">
        <v>8.1330394994E10</v>
      </c>
      <c r="G46" s="17">
        <v>1.0</v>
      </c>
      <c r="H46" s="13" t="s">
        <v>563</v>
      </c>
      <c r="I46" s="18"/>
      <c r="J46" s="20" t="s">
        <v>682</v>
      </c>
      <c r="K46" s="21" t="s">
        <v>685</v>
      </c>
      <c r="L46" s="13"/>
      <c r="M46" s="18"/>
    </row>
    <row r="47">
      <c r="A47" s="9" t="s">
        <v>25</v>
      </c>
      <c r="B47" s="13" t="s">
        <v>686</v>
      </c>
      <c r="C47" s="13" t="s">
        <v>23</v>
      </c>
      <c r="D47" s="13" t="s">
        <v>567</v>
      </c>
      <c r="E47" s="15"/>
      <c r="F47" s="17">
        <v>8.5851877086E10</v>
      </c>
      <c r="G47" s="17">
        <v>1.0</v>
      </c>
      <c r="H47" s="13" t="s">
        <v>567</v>
      </c>
      <c r="I47" s="13"/>
      <c r="J47" s="20" t="s">
        <v>692</v>
      </c>
      <c r="K47" s="21" t="s">
        <v>694</v>
      </c>
      <c r="L47" s="13"/>
      <c r="M47" s="18"/>
    </row>
    <row r="48">
      <c r="A48" s="9" t="s">
        <v>25</v>
      </c>
      <c r="B48" s="13" t="s">
        <v>498</v>
      </c>
      <c r="C48" s="13" t="s">
        <v>23</v>
      </c>
      <c r="D48" s="13" t="s">
        <v>477</v>
      </c>
      <c r="E48" s="15"/>
      <c r="F48" s="36" t="s">
        <v>704</v>
      </c>
      <c r="G48" s="17">
        <v>0.0</v>
      </c>
      <c r="H48" s="13" t="s">
        <v>477</v>
      </c>
      <c r="I48" s="13"/>
      <c r="J48" s="20" t="s">
        <v>714</v>
      </c>
      <c r="K48" s="21">
        <v>8.8829666E7</v>
      </c>
      <c r="L48" s="18"/>
      <c r="M48" s="18"/>
    </row>
    <row r="49">
      <c r="A49" s="9" t="s">
        <v>25</v>
      </c>
      <c r="B49" s="13" t="s">
        <v>721</v>
      </c>
      <c r="C49" s="13" t="s">
        <v>23</v>
      </c>
      <c r="D49" s="13" t="s">
        <v>590</v>
      </c>
      <c r="E49" s="15"/>
      <c r="F49" s="17">
        <v>8.5100839993E10</v>
      </c>
      <c r="G49" s="17">
        <v>1.0</v>
      </c>
      <c r="H49" s="13" t="s">
        <v>590</v>
      </c>
      <c r="I49" s="13"/>
      <c r="J49" s="20" t="s">
        <v>729</v>
      </c>
      <c r="K49" s="21" t="s">
        <v>732</v>
      </c>
      <c r="L49" s="13"/>
      <c r="M49" s="18"/>
    </row>
    <row r="50">
      <c r="A50" s="9" t="s">
        <v>25</v>
      </c>
      <c r="B50" s="13" t="s">
        <v>738</v>
      </c>
      <c r="C50" s="13" t="s">
        <v>23</v>
      </c>
      <c r="D50" s="13" t="s">
        <v>594</v>
      </c>
      <c r="E50" s="15"/>
      <c r="F50" s="17">
        <v>8.5334055897E10</v>
      </c>
      <c r="G50" s="17">
        <v>1.0</v>
      </c>
      <c r="H50" s="13" t="s">
        <v>594</v>
      </c>
      <c r="I50" s="13"/>
      <c r="J50" s="20" t="s">
        <v>743</v>
      </c>
      <c r="K50" s="21" t="s">
        <v>746</v>
      </c>
      <c r="L50" s="13"/>
      <c r="M50" s="13" t="s">
        <v>747</v>
      </c>
    </row>
    <row r="51">
      <c r="A51" s="9" t="s">
        <v>25</v>
      </c>
      <c r="B51" s="13" t="s">
        <v>751</v>
      </c>
      <c r="C51" s="13" t="s">
        <v>23</v>
      </c>
      <c r="D51" s="13" t="s">
        <v>599</v>
      </c>
      <c r="E51" s="19"/>
      <c r="F51" s="17">
        <v>8.5790407759E10</v>
      </c>
      <c r="G51" s="17">
        <v>1.0</v>
      </c>
      <c r="H51" s="13" t="s">
        <v>599</v>
      </c>
      <c r="I51" s="18"/>
      <c r="J51" s="20" t="s">
        <v>757</v>
      </c>
      <c r="K51" s="21" t="s">
        <v>759</v>
      </c>
      <c r="L51" s="13"/>
      <c r="M51" s="13" t="s">
        <v>762</v>
      </c>
    </row>
    <row r="52">
      <c r="A52" s="9" t="s">
        <v>25</v>
      </c>
      <c r="B52" s="13" t="s">
        <v>765</v>
      </c>
      <c r="C52" s="13" t="s">
        <v>23</v>
      </c>
      <c r="D52" s="13" t="s">
        <v>768</v>
      </c>
      <c r="E52" s="15"/>
      <c r="F52" s="17">
        <v>8.9603178884E10</v>
      </c>
      <c r="G52" s="17">
        <v>1.0</v>
      </c>
      <c r="H52" s="13" t="s">
        <v>768</v>
      </c>
      <c r="I52" s="13"/>
      <c r="J52" s="20" t="s">
        <v>769</v>
      </c>
      <c r="K52" s="21" t="s">
        <v>770</v>
      </c>
      <c r="L52" s="13"/>
      <c r="M52" s="18"/>
    </row>
    <row r="53">
      <c r="A53" s="9" t="s">
        <v>25</v>
      </c>
      <c r="B53" s="13" t="s">
        <v>771</v>
      </c>
      <c r="C53" s="13" t="s">
        <v>23</v>
      </c>
      <c r="D53" s="13" t="s">
        <v>605</v>
      </c>
      <c r="E53" s="15"/>
      <c r="F53" s="17">
        <v>8.1231206844E10</v>
      </c>
      <c r="G53" s="17">
        <v>1.0</v>
      </c>
      <c r="H53" s="13" t="s">
        <v>605</v>
      </c>
      <c r="I53" s="13"/>
      <c r="J53" s="20" t="s">
        <v>774</v>
      </c>
      <c r="K53" s="21" t="s">
        <v>775</v>
      </c>
      <c r="L53" s="13"/>
      <c r="M53" s="13" t="s">
        <v>777</v>
      </c>
    </row>
    <row r="54">
      <c r="A54" s="9" t="s">
        <v>25</v>
      </c>
      <c r="B54" s="13" t="s">
        <v>778</v>
      </c>
      <c r="C54" s="13" t="s">
        <v>23</v>
      </c>
      <c r="D54" s="13" t="s">
        <v>610</v>
      </c>
      <c r="E54" s="15"/>
      <c r="F54" s="17">
        <v>8.16567197E8</v>
      </c>
      <c r="G54" s="17">
        <v>1.0</v>
      </c>
      <c r="H54" s="13" t="s">
        <v>610</v>
      </c>
      <c r="I54" s="13"/>
      <c r="J54" s="20" t="s">
        <v>782</v>
      </c>
      <c r="K54" s="21" t="s">
        <v>784</v>
      </c>
      <c r="L54" s="13"/>
      <c r="M54" s="18"/>
    </row>
    <row r="55">
      <c r="A55" s="9" t="s">
        <v>25</v>
      </c>
      <c r="B55" s="13" t="s">
        <v>787</v>
      </c>
      <c r="C55" s="13" t="s">
        <v>23</v>
      </c>
      <c r="D55" s="13" t="s">
        <v>635</v>
      </c>
      <c r="E55" s="15"/>
      <c r="F55" s="17">
        <v>8.1310015763E10</v>
      </c>
      <c r="G55" s="17">
        <v>1.0</v>
      </c>
      <c r="H55" s="13" t="s">
        <v>635</v>
      </c>
      <c r="I55" s="13"/>
      <c r="J55" s="20" t="s">
        <v>794</v>
      </c>
      <c r="K55" s="21" t="s">
        <v>795</v>
      </c>
      <c r="L55" s="13"/>
      <c r="M55" s="18"/>
    </row>
    <row r="56">
      <c r="A56" s="9" t="s">
        <v>25</v>
      </c>
      <c r="B56" s="13" t="s">
        <v>801</v>
      </c>
      <c r="C56" s="13" t="s">
        <v>23</v>
      </c>
      <c r="D56" s="13" t="s">
        <v>650</v>
      </c>
      <c r="E56" s="15"/>
      <c r="F56" s="17">
        <v>8.5235002321E10</v>
      </c>
      <c r="G56" s="17">
        <v>1.0</v>
      </c>
      <c r="H56" s="13" t="s">
        <v>650</v>
      </c>
      <c r="I56" s="13"/>
      <c r="J56" s="20" t="s">
        <v>807</v>
      </c>
      <c r="K56" s="21" t="s">
        <v>809</v>
      </c>
      <c r="L56" s="13"/>
      <c r="M56" s="18"/>
    </row>
    <row r="57">
      <c r="A57" s="9" t="s">
        <v>25</v>
      </c>
      <c r="B57" s="13" t="s">
        <v>814</v>
      </c>
      <c r="C57" s="13" t="s">
        <v>23</v>
      </c>
      <c r="D57" s="13" t="s">
        <v>711</v>
      </c>
      <c r="E57" s="19"/>
      <c r="F57" s="17">
        <v>8.5648811748E10</v>
      </c>
      <c r="G57" s="17">
        <v>1.0</v>
      </c>
      <c r="H57" s="13" t="s">
        <v>711</v>
      </c>
      <c r="I57" s="18"/>
      <c r="J57" s="20" t="s">
        <v>820</v>
      </c>
      <c r="K57" s="21" t="s">
        <v>822</v>
      </c>
      <c r="L57" s="13"/>
      <c r="M57" s="18"/>
    </row>
    <row r="58">
      <c r="A58" s="9" t="s">
        <v>25</v>
      </c>
      <c r="B58" s="13" t="s">
        <v>828</v>
      </c>
      <c r="C58" s="13" t="s">
        <v>23</v>
      </c>
      <c r="D58" s="13" t="s">
        <v>831</v>
      </c>
      <c r="E58" s="15"/>
      <c r="F58" s="17">
        <v>8.2133308063E10</v>
      </c>
      <c r="G58" s="17">
        <v>1.0</v>
      </c>
      <c r="H58" s="13" t="s">
        <v>831</v>
      </c>
      <c r="I58" s="13"/>
      <c r="J58" s="20" t="s">
        <v>836</v>
      </c>
      <c r="K58" s="21" t="s">
        <v>838</v>
      </c>
      <c r="L58" s="13"/>
      <c r="M58" s="13" t="s">
        <v>841</v>
      </c>
    </row>
    <row r="59">
      <c r="A59" s="9" t="s">
        <v>25</v>
      </c>
      <c r="B59" s="13" t="s">
        <v>844</v>
      </c>
      <c r="C59" s="13" t="s">
        <v>23</v>
      </c>
      <c r="D59" s="13" t="s">
        <v>723</v>
      </c>
      <c r="E59" s="15"/>
      <c r="F59" s="36" t="s">
        <v>704</v>
      </c>
      <c r="G59" s="17">
        <v>1.0</v>
      </c>
      <c r="H59" s="13" t="s">
        <v>723</v>
      </c>
      <c r="I59" s="13"/>
      <c r="J59" s="20" t="s">
        <v>704</v>
      </c>
      <c r="K59" s="21" t="s">
        <v>854</v>
      </c>
      <c r="L59" s="13"/>
      <c r="M59" s="18"/>
    </row>
    <row r="60">
      <c r="A60" s="9" t="s">
        <v>25</v>
      </c>
      <c r="B60" s="13" t="s">
        <v>857</v>
      </c>
      <c r="C60" s="13" t="s">
        <v>23</v>
      </c>
      <c r="D60" s="13" t="s">
        <v>859</v>
      </c>
      <c r="E60" s="19"/>
      <c r="F60" s="17">
        <v>8.1334851474E10</v>
      </c>
      <c r="G60" s="17">
        <v>1.0</v>
      </c>
      <c r="H60" s="13" t="s">
        <v>859</v>
      </c>
      <c r="I60" s="18"/>
      <c r="J60" s="20" t="s">
        <v>864</v>
      </c>
      <c r="K60" s="21">
        <v>4.352101145E9</v>
      </c>
      <c r="L60" s="18"/>
      <c r="M60" s="13" t="s">
        <v>865</v>
      </c>
    </row>
    <row r="61">
      <c r="A61" s="9" t="s">
        <v>25</v>
      </c>
      <c r="B61" s="13" t="s">
        <v>868</v>
      </c>
      <c r="C61" s="13" t="s">
        <v>23</v>
      </c>
      <c r="D61" s="13" t="s">
        <v>727</v>
      </c>
      <c r="E61" s="19"/>
      <c r="F61" s="17">
        <v>8.2139641863E10</v>
      </c>
      <c r="G61" s="17">
        <v>1.0</v>
      </c>
      <c r="H61" s="13" t="s">
        <v>727</v>
      </c>
      <c r="I61" s="18"/>
      <c r="J61" s="20" t="s">
        <v>874</v>
      </c>
      <c r="K61" s="21" t="s">
        <v>726</v>
      </c>
      <c r="L61" s="13"/>
      <c r="M61" s="18"/>
    </row>
    <row r="62">
      <c r="A62" s="9" t="s">
        <v>25</v>
      </c>
      <c r="B62" s="13" t="s">
        <v>878</v>
      </c>
      <c r="C62" s="13" t="s">
        <v>23</v>
      </c>
      <c r="D62" s="13" t="s">
        <v>735</v>
      </c>
      <c r="E62" s="15"/>
      <c r="F62" s="17">
        <v>8.5210394099E10</v>
      </c>
      <c r="G62" s="17">
        <v>1.0</v>
      </c>
      <c r="H62" s="13" t="s">
        <v>735</v>
      </c>
      <c r="I62" s="13"/>
      <c r="J62" s="20" t="s">
        <v>882</v>
      </c>
      <c r="K62" s="21" t="s">
        <v>733</v>
      </c>
      <c r="L62" s="13"/>
      <c r="M62" s="13" t="s">
        <v>886</v>
      </c>
    </row>
    <row r="63">
      <c r="A63" s="9" t="s">
        <v>25</v>
      </c>
      <c r="B63" s="13" t="s">
        <v>890</v>
      </c>
      <c r="C63" s="13" t="s">
        <v>23</v>
      </c>
      <c r="D63" s="13" t="s">
        <v>740</v>
      </c>
      <c r="E63" s="15"/>
      <c r="F63" s="17">
        <v>8.5233900788E10</v>
      </c>
      <c r="G63" s="17">
        <v>1.0</v>
      </c>
      <c r="H63" s="13" t="s">
        <v>740</v>
      </c>
      <c r="I63" s="13"/>
      <c r="J63" s="20" t="s">
        <v>895</v>
      </c>
      <c r="K63" s="21" t="s">
        <v>896</v>
      </c>
      <c r="L63" s="13"/>
      <c r="M63" s="18"/>
    </row>
    <row r="64">
      <c r="A64" s="9" t="s">
        <v>25</v>
      </c>
      <c r="B64" s="13" t="s">
        <v>901</v>
      </c>
      <c r="C64" s="13" t="s">
        <v>23</v>
      </c>
      <c r="D64" s="13" t="s">
        <v>756</v>
      </c>
      <c r="E64" s="15"/>
      <c r="F64" s="17">
        <v>8.2330607672E10</v>
      </c>
      <c r="G64" s="17">
        <v>1.0</v>
      </c>
      <c r="H64" s="13" t="s">
        <v>756</v>
      </c>
      <c r="I64" s="13"/>
      <c r="J64" s="20" t="s">
        <v>906</v>
      </c>
      <c r="K64" s="21" t="s">
        <v>908</v>
      </c>
      <c r="L64" s="13"/>
      <c r="M64" s="13" t="s">
        <v>909</v>
      </c>
    </row>
    <row r="65">
      <c r="A65" s="9" t="s">
        <v>25</v>
      </c>
      <c r="B65" s="13" t="s">
        <v>912</v>
      </c>
      <c r="C65" s="13" t="s">
        <v>23</v>
      </c>
      <c r="D65" s="13" t="s">
        <v>766</v>
      </c>
      <c r="E65" s="15"/>
      <c r="F65" s="17">
        <v>8.212788887E10</v>
      </c>
      <c r="G65" s="17">
        <v>1.0</v>
      </c>
      <c r="H65" s="13" t="s">
        <v>766</v>
      </c>
      <c r="I65" s="13"/>
      <c r="J65" s="20" t="s">
        <v>915</v>
      </c>
      <c r="K65" s="21" t="s">
        <v>916</v>
      </c>
      <c r="L65" s="13"/>
      <c r="M65" s="13" t="s">
        <v>917</v>
      </c>
    </row>
    <row r="66">
      <c r="A66" s="9" t="s">
        <v>25</v>
      </c>
      <c r="B66" s="13" t="s">
        <v>919</v>
      </c>
      <c r="C66" s="13" t="s">
        <v>23</v>
      </c>
      <c r="D66" s="13" t="s">
        <v>781</v>
      </c>
      <c r="E66" s="15"/>
      <c r="F66" s="17">
        <v>8.2335525155E10</v>
      </c>
      <c r="G66" s="17">
        <v>1.0</v>
      </c>
      <c r="H66" s="13" t="s">
        <v>781</v>
      </c>
      <c r="I66" s="13"/>
      <c r="J66" s="20" t="s">
        <v>926</v>
      </c>
      <c r="K66" s="21" t="s">
        <v>927</v>
      </c>
      <c r="L66" s="13"/>
      <c r="M66" s="18"/>
    </row>
    <row r="67">
      <c r="A67" s="9" t="s">
        <v>25</v>
      </c>
      <c r="B67" s="13" t="s">
        <v>930</v>
      </c>
      <c r="C67" s="13" t="s">
        <v>23</v>
      </c>
      <c r="D67" s="13" t="s">
        <v>788</v>
      </c>
      <c r="E67" s="15"/>
      <c r="F67" s="17">
        <v>8.56451631E10</v>
      </c>
      <c r="G67" s="17">
        <v>1.0</v>
      </c>
      <c r="H67" s="13" t="s">
        <v>788</v>
      </c>
      <c r="I67" s="13"/>
      <c r="J67" s="20" t="s">
        <v>934</v>
      </c>
      <c r="K67" s="21" t="s">
        <v>935</v>
      </c>
      <c r="L67" s="13"/>
      <c r="M67" s="13" t="s">
        <v>937</v>
      </c>
    </row>
    <row r="68">
      <c r="A68" s="9" t="s">
        <v>25</v>
      </c>
      <c r="B68" s="13" t="s">
        <v>940</v>
      </c>
      <c r="C68" s="13" t="s">
        <v>23</v>
      </c>
      <c r="D68" s="13" t="s">
        <v>803</v>
      </c>
      <c r="E68" s="15"/>
      <c r="F68" s="17">
        <v>8.5791575347E10</v>
      </c>
      <c r="G68" s="17">
        <v>1.0</v>
      </c>
      <c r="H68" s="13" t="s">
        <v>803</v>
      </c>
      <c r="I68" s="13"/>
      <c r="J68" s="20" t="s">
        <v>945</v>
      </c>
      <c r="K68" s="21" t="s">
        <v>947</v>
      </c>
      <c r="L68" s="13"/>
      <c r="M68" s="18"/>
    </row>
    <row r="69">
      <c r="A69" s="9" t="s">
        <v>25</v>
      </c>
      <c r="B69" s="13" t="s">
        <v>952</v>
      </c>
      <c r="C69" s="13" t="s">
        <v>23</v>
      </c>
      <c r="D69" s="13" t="s">
        <v>808</v>
      </c>
      <c r="E69" s="15"/>
      <c r="F69" s="17">
        <v>8.1310015763E10</v>
      </c>
      <c r="G69" s="17">
        <v>1.0</v>
      </c>
      <c r="H69" s="13" t="s">
        <v>808</v>
      </c>
      <c r="I69" s="13"/>
      <c r="J69" s="20" t="s">
        <v>794</v>
      </c>
      <c r="K69" s="21" t="s">
        <v>961</v>
      </c>
      <c r="L69" s="13"/>
      <c r="M69" s="18"/>
    </row>
    <row r="70">
      <c r="A70" s="9" t="s">
        <v>25</v>
      </c>
      <c r="B70" s="13" t="s">
        <v>966</v>
      </c>
      <c r="C70" s="13" t="s">
        <v>23</v>
      </c>
      <c r="D70" s="13" t="s">
        <v>816</v>
      </c>
      <c r="E70" s="19"/>
      <c r="F70" s="17">
        <v>8.5233523631E10</v>
      </c>
      <c r="G70" s="17">
        <v>1.0</v>
      </c>
      <c r="H70" s="13" t="s">
        <v>816</v>
      </c>
      <c r="I70" s="18"/>
      <c r="J70" s="20" t="s">
        <v>970</v>
      </c>
      <c r="K70" s="21" t="s">
        <v>972</v>
      </c>
      <c r="L70" s="13"/>
      <c r="M70" s="18"/>
    </row>
    <row r="71">
      <c r="A71" s="9" t="s">
        <v>25</v>
      </c>
      <c r="B71" s="13" t="s">
        <v>973</v>
      </c>
      <c r="C71" s="13" t="s">
        <v>23</v>
      </c>
      <c r="D71" s="13" t="s">
        <v>824</v>
      </c>
      <c r="E71" s="15"/>
      <c r="F71" s="17">
        <v>8.1359556552E10</v>
      </c>
      <c r="G71" s="17">
        <v>1.0</v>
      </c>
      <c r="H71" s="13" t="s">
        <v>824</v>
      </c>
      <c r="I71" s="13"/>
      <c r="J71" s="20" t="s">
        <v>974</v>
      </c>
      <c r="K71" s="21" t="s">
        <v>975</v>
      </c>
      <c r="L71" s="13"/>
      <c r="M71" s="13" t="s">
        <v>976</v>
      </c>
    </row>
    <row r="72">
      <c r="A72" s="9" t="s">
        <v>25</v>
      </c>
      <c r="B72" s="13" t="s">
        <v>978</v>
      </c>
      <c r="C72" s="13" t="s">
        <v>23</v>
      </c>
      <c r="D72" s="13" t="s">
        <v>839</v>
      </c>
      <c r="E72" s="15"/>
      <c r="F72" s="17">
        <v>8.124918253E9</v>
      </c>
      <c r="G72" s="17">
        <v>1.0</v>
      </c>
      <c r="H72" s="13" t="s">
        <v>839</v>
      </c>
      <c r="I72" s="13"/>
      <c r="J72" s="20" t="s">
        <v>981</v>
      </c>
      <c r="K72" s="21" t="s">
        <v>982</v>
      </c>
      <c r="L72" s="13"/>
      <c r="M72" s="13" t="s">
        <v>984</v>
      </c>
    </row>
    <row r="73">
      <c r="A73" s="9" t="s">
        <v>25</v>
      </c>
      <c r="B73" s="13" t="s">
        <v>985</v>
      </c>
      <c r="C73" s="13" t="s">
        <v>23</v>
      </c>
      <c r="D73" s="13" t="s">
        <v>986</v>
      </c>
      <c r="E73" s="15"/>
      <c r="F73" s="17">
        <v>8.1234381838E10</v>
      </c>
      <c r="G73" s="17">
        <v>1.0</v>
      </c>
      <c r="H73" s="13" t="s">
        <v>986</v>
      </c>
      <c r="I73" s="13"/>
      <c r="J73" s="20" t="s">
        <v>299</v>
      </c>
      <c r="K73" s="21" t="s">
        <v>988</v>
      </c>
      <c r="L73" s="13"/>
      <c r="M73" s="18"/>
    </row>
    <row r="74">
      <c r="A74" s="9" t="s">
        <v>25</v>
      </c>
      <c r="B74" s="13" t="s">
        <v>989</v>
      </c>
      <c r="C74" s="13" t="s">
        <v>23</v>
      </c>
      <c r="D74" s="13" t="s">
        <v>861</v>
      </c>
      <c r="E74" s="19"/>
      <c r="F74" s="17">
        <v>8.1359860945E10</v>
      </c>
      <c r="G74" s="17">
        <v>1.0</v>
      </c>
      <c r="H74" s="13" t="s">
        <v>861</v>
      </c>
      <c r="I74" s="18"/>
      <c r="J74" s="20" t="s">
        <v>990</v>
      </c>
      <c r="K74" s="21" t="s">
        <v>991</v>
      </c>
      <c r="L74" s="13"/>
      <c r="M74" s="18"/>
    </row>
    <row r="75">
      <c r="A75" s="9" t="s">
        <v>25</v>
      </c>
      <c r="B75" s="13" t="s">
        <v>993</v>
      </c>
      <c r="C75" s="13" t="s">
        <v>23</v>
      </c>
      <c r="D75" s="13" t="s">
        <v>869</v>
      </c>
      <c r="E75" s="19"/>
      <c r="F75" s="17">
        <v>8.1578188341E10</v>
      </c>
      <c r="G75" s="17">
        <v>1.0</v>
      </c>
      <c r="H75" s="13" t="s">
        <v>869</v>
      </c>
      <c r="I75" s="18"/>
      <c r="J75" s="20" t="s">
        <v>997</v>
      </c>
      <c r="K75" s="21" t="s">
        <v>998</v>
      </c>
      <c r="L75" s="13"/>
      <c r="M75" s="13" t="s">
        <v>1000</v>
      </c>
    </row>
    <row r="76">
      <c r="A76" s="9" t="s">
        <v>25</v>
      </c>
      <c r="B76" s="13" t="s">
        <v>1001</v>
      </c>
      <c r="C76" s="13" t="s">
        <v>23</v>
      </c>
      <c r="D76" s="13" t="s">
        <v>876</v>
      </c>
      <c r="E76" s="15"/>
      <c r="F76" s="17">
        <v>8.2334512595E10</v>
      </c>
      <c r="G76" s="17">
        <v>1.0</v>
      </c>
      <c r="H76" s="13" t="s">
        <v>876</v>
      </c>
      <c r="I76" s="13"/>
      <c r="J76" s="20" t="s">
        <v>1002</v>
      </c>
      <c r="K76" s="21" t="s">
        <v>875</v>
      </c>
      <c r="L76" s="13"/>
      <c r="M76" s="18"/>
    </row>
    <row r="77">
      <c r="A77" s="9" t="s">
        <v>25</v>
      </c>
      <c r="B77" s="13" t="s">
        <v>661</v>
      </c>
      <c r="C77" s="13" t="s">
        <v>23</v>
      </c>
      <c r="D77" s="13" t="s">
        <v>630</v>
      </c>
      <c r="E77" s="15"/>
      <c r="F77" s="17">
        <v>8.2143422489E10</v>
      </c>
      <c r="G77" s="17">
        <v>1.0</v>
      </c>
      <c r="H77" s="13" t="s">
        <v>630</v>
      </c>
      <c r="I77" s="13"/>
      <c r="J77" s="20" t="s">
        <v>1005</v>
      </c>
      <c r="K77" s="21" t="s">
        <v>664</v>
      </c>
      <c r="L77" s="13"/>
      <c r="M77" s="13" t="s">
        <v>672</v>
      </c>
    </row>
    <row r="78">
      <c r="A78" s="9" t="s">
        <v>25</v>
      </c>
      <c r="B78" s="13" t="s">
        <v>1007</v>
      </c>
      <c r="C78" s="13" t="s">
        <v>23</v>
      </c>
      <c r="D78" s="13" t="s">
        <v>903</v>
      </c>
      <c r="E78" s="15"/>
      <c r="F78" s="17">
        <v>8.2336420388E10</v>
      </c>
      <c r="G78" s="17">
        <v>1.0</v>
      </c>
      <c r="H78" s="13" t="s">
        <v>903</v>
      </c>
      <c r="I78" s="13"/>
      <c r="J78" s="20" t="s">
        <v>1011</v>
      </c>
      <c r="K78" s="21" t="s">
        <v>1012</v>
      </c>
      <c r="L78" s="13"/>
      <c r="M78" s="13" t="s">
        <v>1014</v>
      </c>
    </row>
    <row r="79">
      <c r="A79" s="9" t="s">
        <v>25</v>
      </c>
      <c r="B79" s="13" t="s">
        <v>717</v>
      </c>
      <c r="C79" s="13" t="s">
        <v>23</v>
      </c>
      <c r="D79" s="13" t="s">
        <v>680</v>
      </c>
      <c r="E79" s="15"/>
      <c r="F79" s="17">
        <v>8.5649377468E10</v>
      </c>
      <c r="G79" s="17">
        <v>1.0</v>
      </c>
      <c r="H79" s="13" t="s">
        <v>680</v>
      </c>
      <c r="I79" s="13"/>
      <c r="J79" s="20" t="s">
        <v>657</v>
      </c>
      <c r="K79" s="21" t="s">
        <v>720</v>
      </c>
      <c r="L79" s="13"/>
      <c r="M79" s="18"/>
    </row>
    <row r="80">
      <c r="A80" s="9" t="s">
        <v>25</v>
      </c>
      <c r="B80" s="13" t="s">
        <v>1023</v>
      </c>
      <c r="C80" s="13" t="s">
        <v>23</v>
      </c>
      <c r="D80" s="13" t="s">
        <v>1024</v>
      </c>
      <c r="E80" s="15"/>
      <c r="F80" s="17">
        <v>8.145607689E10</v>
      </c>
      <c r="G80" s="17">
        <v>1.0</v>
      </c>
      <c r="H80" s="13" t="s">
        <v>1024</v>
      </c>
      <c r="I80" s="13"/>
      <c r="J80" s="20" t="s">
        <v>1027</v>
      </c>
      <c r="K80" s="21" t="s">
        <v>1029</v>
      </c>
      <c r="L80" s="13"/>
      <c r="M80" s="18"/>
    </row>
    <row r="81">
      <c r="A81" s="9" t="s">
        <v>25</v>
      </c>
      <c r="B81" s="18" t="s">
        <v>1031</v>
      </c>
      <c r="C81" s="18" t="s">
        <v>23</v>
      </c>
      <c r="D81" s="18" t="s">
        <v>665</v>
      </c>
      <c r="E81" s="19" t="s">
        <v>1034</v>
      </c>
      <c r="F81" s="24">
        <v>8.5851312209E10</v>
      </c>
      <c r="G81" s="24">
        <v>1.0</v>
      </c>
      <c r="H81" s="18" t="s">
        <v>665</v>
      </c>
      <c r="I81" s="18" t="s">
        <v>1034</v>
      </c>
      <c r="J81" s="20">
        <v>8.5851312209E10</v>
      </c>
      <c r="K81" s="18" t="s">
        <v>1040</v>
      </c>
      <c r="L81" s="18"/>
      <c r="M81" s="18" t="s">
        <v>93</v>
      </c>
    </row>
  </sheetData>
  <autoFilter ref="$A$1:$M$8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5.88"/>
    <col customWidth="1" min="3" max="3" width="26.25"/>
    <col customWidth="1" min="4" max="4" width="29.25"/>
    <col customWidth="1" min="5" max="5" width="14.38"/>
    <col customWidth="1" min="6" max="6" width="12.38"/>
    <col customWidth="1" min="7" max="7" width="91.0"/>
  </cols>
  <sheetData>
    <row r="1">
      <c r="A1" s="2" t="s">
        <v>2</v>
      </c>
      <c r="B1" s="2" t="s">
        <v>5</v>
      </c>
      <c r="C1" s="2" t="s">
        <v>3</v>
      </c>
      <c r="D1" s="2" t="s">
        <v>4</v>
      </c>
      <c r="E1" s="2" t="s">
        <v>7</v>
      </c>
      <c r="F1" s="1" t="s">
        <v>9</v>
      </c>
      <c r="G1" s="2" t="s">
        <v>12</v>
      </c>
    </row>
    <row r="2">
      <c r="A2" s="7" t="s">
        <v>14</v>
      </c>
      <c r="B2" s="7" t="s">
        <v>19</v>
      </c>
      <c r="C2" s="7" t="s">
        <v>20</v>
      </c>
      <c r="D2" s="7" t="s">
        <v>22</v>
      </c>
      <c r="E2" s="10" t="s">
        <v>24</v>
      </c>
      <c r="F2" s="7" t="s">
        <v>27</v>
      </c>
      <c r="G2" s="7" t="s">
        <v>29</v>
      </c>
    </row>
    <row r="3">
      <c r="A3" s="7" t="s">
        <v>14</v>
      </c>
      <c r="B3" s="7" t="s">
        <v>30</v>
      </c>
      <c r="C3" s="7" t="s">
        <v>31</v>
      </c>
      <c r="D3" s="7" t="s">
        <v>32</v>
      </c>
      <c r="E3" s="10" t="s">
        <v>33</v>
      </c>
      <c r="F3" s="7" t="s">
        <v>34</v>
      </c>
      <c r="G3" s="7" t="s">
        <v>36</v>
      </c>
    </row>
    <row r="4">
      <c r="A4" s="7" t="s">
        <v>14</v>
      </c>
      <c r="B4" s="7" t="s">
        <v>30</v>
      </c>
      <c r="C4" s="7" t="s">
        <v>31</v>
      </c>
      <c r="D4" s="7" t="s">
        <v>38</v>
      </c>
      <c r="E4" s="10" t="s">
        <v>33</v>
      </c>
      <c r="F4" s="7" t="s">
        <v>40</v>
      </c>
      <c r="G4" s="7" t="s">
        <v>43</v>
      </c>
    </row>
    <row r="5">
      <c r="A5" s="7" t="s">
        <v>14</v>
      </c>
      <c r="B5" s="7" t="s">
        <v>44</v>
      </c>
      <c r="C5" s="7" t="s">
        <v>46</v>
      </c>
      <c r="D5" s="7" t="s">
        <v>47</v>
      </c>
      <c r="E5" s="10" t="s">
        <v>48</v>
      </c>
      <c r="F5" s="7" t="s">
        <v>53</v>
      </c>
      <c r="G5" s="7" t="s">
        <v>57</v>
      </c>
    </row>
    <row r="6">
      <c r="A6" s="7" t="s">
        <v>14</v>
      </c>
      <c r="B6" s="7" t="s">
        <v>59</v>
      </c>
      <c r="C6" s="7" t="s">
        <v>62</v>
      </c>
      <c r="D6" s="7" t="s">
        <v>65</v>
      </c>
      <c r="E6" s="10" t="s">
        <v>67</v>
      </c>
      <c r="F6" s="7" t="s">
        <v>68</v>
      </c>
      <c r="G6" s="7" t="s">
        <v>70</v>
      </c>
    </row>
    <row r="7">
      <c r="A7" s="7" t="s">
        <v>14</v>
      </c>
      <c r="B7" s="7" t="s">
        <v>19</v>
      </c>
      <c r="C7" s="7" t="s">
        <v>20</v>
      </c>
      <c r="D7" s="7" t="s">
        <v>74</v>
      </c>
      <c r="E7" s="10" t="s">
        <v>24</v>
      </c>
      <c r="F7" s="7" t="s">
        <v>76</v>
      </c>
      <c r="G7" s="7" t="s">
        <v>77</v>
      </c>
    </row>
    <row r="8">
      <c r="A8" s="7" t="s">
        <v>14</v>
      </c>
      <c r="B8" s="7" t="s">
        <v>78</v>
      </c>
      <c r="C8" s="7" t="s">
        <v>80</v>
      </c>
      <c r="D8" s="7" t="s">
        <v>82</v>
      </c>
      <c r="E8" s="10" t="s">
        <v>83</v>
      </c>
      <c r="F8" s="7" t="s">
        <v>84</v>
      </c>
      <c r="G8" s="7" t="s">
        <v>86</v>
      </c>
    </row>
    <row r="9">
      <c r="A9" s="7" t="s">
        <v>14</v>
      </c>
      <c r="B9" s="7" t="s">
        <v>89</v>
      </c>
      <c r="C9" s="7" t="s">
        <v>90</v>
      </c>
      <c r="D9" s="7" t="s">
        <v>91</v>
      </c>
      <c r="E9" s="10" t="s">
        <v>92</v>
      </c>
      <c r="F9" s="7" t="s">
        <v>93</v>
      </c>
      <c r="G9" s="7" t="s">
        <v>94</v>
      </c>
    </row>
    <row r="10">
      <c r="A10" s="7" t="s">
        <v>14</v>
      </c>
      <c r="B10" s="7" t="s">
        <v>96</v>
      </c>
      <c r="C10" s="7" t="s">
        <v>100</v>
      </c>
      <c r="D10" s="7" t="s">
        <v>101</v>
      </c>
      <c r="E10" s="10" t="s">
        <v>102</v>
      </c>
      <c r="F10" s="7" t="s">
        <v>104</v>
      </c>
      <c r="G10" s="7" t="s">
        <v>106</v>
      </c>
    </row>
    <row r="11">
      <c r="A11" s="7" t="s">
        <v>14</v>
      </c>
      <c r="B11" s="7" t="s">
        <v>107</v>
      </c>
      <c r="C11" s="7" t="s">
        <v>111</v>
      </c>
      <c r="D11" s="7" t="s">
        <v>113</v>
      </c>
      <c r="E11" s="10" t="s">
        <v>115</v>
      </c>
      <c r="F11" s="7" t="s">
        <v>117</v>
      </c>
      <c r="G11" s="7" t="s">
        <v>120</v>
      </c>
    </row>
    <row r="12">
      <c r="A12" s="7" t="s">
        <v>14</v>
      </c>
      <c r="B12" s="7" t="s">
        <v>124</v>
      </c>
      <c r="C12" s="7" t="s">
        <v>125</v>
      </c>
      <c r="D12" s="7" t="s">
        <v>127</v>
      </c>
      <c r="E12" s="10" t="s">
        <v>128</v>
      </c>
      <c r="F12" s="7" t="s">
        <v>129</v>
      </c>
      <c r="G12" s="7" t="s">
        <v>133</v>
      </c>
    </row>
    <row r="13">
      <c r="A13" s="7" t="s">
        <v>14</v>
      </c>
      <c r="B13" s="7" t="s">
        <v>134</v>
      </c>
      <c r="C13" s="7" t="s">
        <v>135</v>
      </c>
      <c r="D13" s="7" t="s">
        <v>64</v>
      </c>
      <c r="E13" s="10" t="s">
        <v>137</v>
      </c>
      <c r="F13" s="7" t="s">
        <v>139</v>
      </c>
      <c r="G13" s="7" t="s">
        <v>140</v>
      </c>
    </row>
    <row r="14">
      <c r="A14" s="7" t="s">
        <v>14</v>
      </c>
      <c r="B14" s="7" t="s">
        <v>142</v>
      </c>
      <c r="C14" s="7" t="s">
        <v>143</v>
      </c>
      <c r="D14" s="7" t="s">
        <v>145</v>
      </c>
      <c r="E14" s="10" t="s">
        <v>147</v>
      </c>
      <c r="F14" s="7" t="s">
        <v>149</v>
      </c>
      <c r="G14" s="7" t="s">
        <v>150</v>
      </c>
    </row>
    <row r="15">
      <c r="A15" s="7" t="s">
        <v>14</v>
      </c>
      <c r="B15" s="7" t="s">
        <v>151</v>
      </c>
      <c r="C15" s="7" t="s">
        <v>153</v>
      </c>
      <c r="D15" s="7" t="s">
        <v>155</v>
      </c>
      <c r="E15" s="10" t="s">
        <v>158</v>
      </c>
      <c r="F15" s="7" t="s">
        <v>160</v>
      </c>
      <c r="G15" s="7" t="s">
        <v>162</v>
      </c>
    </row>
    <row r="16">
      <c r="A16" s="7" t="s">
        <v>14</v>
      </c>
      <c r="B16" s="7" t="s">
        <v>107</v>
      </c>
      <c r="C16" s="7" t="s">
        <v>111</v>
      </c>
      <c r="D16" s="7" t="s">
        <v>167</v>
      </c>
      <c r="E16" s="10" t="s">
        <v>115</v>
      </c>
      <c r="F16" s="7" t="s">
        <v>152</v>
      </c>
      <c r="G16" s="7" t="s">
        <v>172</v>
      </c>
    </row>
    <row r="17">
      <c r="A17" s="7" t="s">
        <v>14</v>
      </c>
      <c r="B17" s="7" t="s">
        <v>78</v>
      </c>
      <c r="C17" s="7" t="s">
        <v>80</v>
      </c>
      <c r="D17" s="7" t="s">
        <v>176</v>
      </c>
      <c r="E17" s="10" t="s">
        <v>83</v>
      </c>
      <c r="F17" s="7" t="s">
        <v>180</v>
      </c>
      <c r="G17" s="7" t="s">
        <v>183</v>
      </c>
    </row>
    <row r="18" ht="16.5" customHeight="1">
      <c r="A18" s="7" t="s">
        <v>14</v>
      </c>
      <c r="B18" s="7" t="s">
        <v>134</v>
      </c>
      <c r="C18" s="7" t="s">
        <v>135</v>
      </c>
      <c r="D18" s="7" t="s">
        <v>188</v>
      </c>
      <c r="E18" s="10" t="s">
        <v>137</v>
      </c>
      <c r="F18" s="7" t="s">
        <v>196</v>
      </c>
      <c r="G18" s="7" t="s">
        <v>197</v>
      </c>
    </row>
    <row r="19">
      <c r="A19" s="7" t="s">
        <v>14</v>
      </c>
      <c r="B19" s="7" t="s">
        <v>198</v>
      </c>
      <c r="C19" s="7" t="s">
        <v>199</v>
      </c>
      <c r="D19" s="7" t="s">
        <v>202</v>
      </c>
      <c r="E19" s="10" t="s">
        <v>203</v>
      </c>
      <c r="F19" s="7" t="s">
        <v>205</v>
      </c>
      <c r="G19" s="7" t="s">
        <v>207</v>
      </c>
    </row>
    <row r="20">
      <c r="A20" s="7" t="s">
        <v>14</v>
      </c>
      <c r="B20" s="7" t="s">
        <v>210</v>
      </c>
      <c r="C20" s="7" t="s">
        <v>212</v>
      </c>
      <c r="D20" s="7" t="s">
        <v>214</v>
      </c>
      <c r="E20" s="10" t="s">
        <v>215</v>
      </c>
      <c r="F20" s="7" t="s">
        <v>218</v>
      </c>
      <c r="G20" s="7" t="s">
        <v>220</v>
      </c>
    </row>
    <row r="21">
      <c r="A21" s="7"/>
      <c r="B21" s="7"/>
      <c r="C21" s="7"/>
      <c r="D21" s="7"/>
      <c r="E21" s="21"/>
      <c r="F21" s="7"/>
      <c r="G21" s="7"/>
    </row>
    <row r="22">
      <c r="A22" s="7"/>
      <c r="B22" s="7"/>
      <c r="C22" s="7"/>
      <c r="D22" s="7"/>
      <c r="E22" s="21"/>
      <c r="F22" s="7"/>
      <c r="G22" s="7"/>
    </row>
    <row r="23">
      <c r="A23" s="7"/>
      <c r="B23" s="7"/>
      <c r="C23" s="7"/>
      <c r="D23" s="7"/>
      <c r="E23" s="21"/>
      <c r="F23" s="7"/>
      <c r="G23" s="7"/>
    </row>
    <row r="24">
      <c r="A24" s="7"/>
      <c r="B24" s="7"/>
      <c r="C24" s="7"/>
      <c r="D24" s="7"/>
      <c r="E24" s="21"/>
      <c r="F24" s="7"/>
      <c r="G24" s="7"/>
    </row>
    <row r="25">
      <c r="A25" s="7"/>
      <c r="B25" s="7"/>
      <c r="C25" s="7"/>
      <c r="D25" s="7"/>
      <c r="E25" s="21"/>
      <c r="F25" s="7"/>
      <c r="G25" s="7"/>
    </row>
    <row r="26">
      <c r="A26" s="7"/>
      <c r="B26" s="7"/>
      <c r="C26" s="7"/>
      <c r="D26" s="7"/>
      <c r="E26" s="21"/>
      <c r="F26" s="7"/>
      <c r="G26" s="7"/>
    </row>
    <row r="27">
      <c r="A27" s="7"/>
      <c r="B27" s="7"/>
      <c r="C27" s="7"/>
      <c r="D27" s="7"/>
      <c r="E27" s="21"/>
      <c r="F27" s="7"/>
      <c r="G27" s="7"/>
    </row>
    <row r="28">
      <c r="A28" s="7"/>
      <c r="B28" s="7"/>
      <c r="C28" s="7"/>
      <c r="D28" s="7"/>
      <c r="E28" s="21"/>
      <c r="F28" s="7"/>
      <c r="G28" s="7"/>
    </row>
    <row r="29">
      <c r="A29" s="7"/>
      <c r="B29" s="7"/>
      <c r="C29" s="7"/>
      <c r="D29" s="7"/>
      <c r="E29" s="21"/>
      <c r="F29" s="7"/>
      <c r="G29" s="7"/>
    </row>
    <row r="30">
      <c r="A30" s="7"/>
      <c r="B30" s="7"/>
      <c r="C30" s="7"/>
      <c r="D30" s="7"/>
      <c r="E30" s="21"/>
      <c r="F30" s="7"/>
      <c r="G30" s="7"/>
    </row>
    <row r="31">
      <c r="A31" s="7"/>
      <c r="B31" s="7"/>
      <c r="C31" s="7"/>
      <c r="D31" s="7"/>
      <c r="E31" s="21"/>
      <c r="F31" s="7"/>
      <c r="G31" s="7"/>
    </row>
    <row r="32">
      <c r="A32" s="7"/>
      <c r="B32" s="7"/>
      <c r="C32" s="7"/>
      <c r="D32" s="7"/>
      <c r="E32" s="21"/>
      <c r="F32" s="7"/>
      <c r="G32" s="7"/>
    </row>
    <row r="33">
      <c r="A33" s="7"/>
      <c r="B33" s="7"/>
      <c r="C33" s="7"/>
      <c r="D33" s="7"/>
      <c r="E33" s="21"/>
      <c r="F33" s="7"/>
      <c r="G33" s="7"/>
    </row>
    <row r="34">
      <c r="A34" s="7"/>
      <c r="B34" s="7"/>
      <c r="C34" s="7"/>
      <c r="D34" s="7"/>
      <c r="E34" s="21"/>
      <c r="F34" s="7"/>
      <c r="G34" s="7"/>
    </row>
    <row r="35">
      <c r="A35" s="7"/>
      <c r="B35" s="7"/>
      <c r="C35" s="7"/>
      <c r="D35" s="7"/>
      <c r="E35" s="21"/>
      <c r="F35" s="7"/>
      <c r="G35" s="7"/>
    </row>
    <row r="36">
      <c r="A36" s="7"/>
      <c r="B36" s="7"/>
      <c r="C36" s="7"/>
      <c r="D36" s="7"/>
      <c r="E36" s="21"/>
      <c r="F36" s="7"/>
      <c r="G36" s="7"/>
    </row>
    <row r="37">
      <c r="A37" s="7"/>
      <c r="B37" s="7"/>
      <c r="C37" s="7"/>
      <c r="D37" s="7"/>
      <c r="E37" s="21"/>
      <c r="F37" s="7"/>
      <c r="G37" s="7"/>
    </row>
    <row r="38">
      <c r="A38" s="7"/>
      <c r="B38" s="7"/>
      <c r="C38" s="7"/>
      <c r="D38" s="7"/>
      <c r="E38" s="21"/>
      <c r="F38" s="7"/>
      <c r="G38" s="7"/>
    </row>
    <row r="39">
      <c r="A39" s="7"/>
      <c r="B39" s="7"/>
      <c r="C39" s="7"/>
      <c r="D39" s="7"/>
      <c r="E39" s="21"/>
      <c r="F39" s="7"/>
      <c r="G39" s="7"/>
    </row>
    <row r="40">
      <c r="A40" s="7"/>
      <c r="B40" s="7"/>
      <c r="C40" s="7"/>
      <c r="D40" s="7"/>
      <c r="E40" s="21"/>
      <c r="F40" s="7"/>
      <c r="G40" s="7"/>
    </row>
    <row r="41">
      <c r="A41" s="7"/>
      <c r="B41" s="7"/>
      <c r="C41" s="7"/>
      <c r="D41" s="7"/>
      <c r="E41" s="21"/>
      <c r="F41" s="7"/>
      <c r="G41" s="7"/>
    </row>
    <row r="42">
      <c r="A42" s="7"/>
      <c r="B42" s="7"/>
      <c r="C42" s="7"/>
      <c r="D42" s="7"/>
      <c r="E42" s="21"/>
      <c r="F42" s="7"/>
      <c r="G42" s="7"/>
    </row>
    <row r="43">
      <c r="A43" s="7"/>
      <c r="B43" s="7"/>
      <c r="C43" s="7"/>
      <c r="D43" s="7"/>
      <c r="E43" s="21"/>
      <c r="F43" s="7"/>
      <c r="G43" s="7"/>
    </row>
    <row r="44">
      <c r="A44" s="7"/>
      <c r="B44" s="7"/>
      <c r="C44" s="7"/>
      <c r="D44" s="7"/>
      <c r="E44" s="21"/>
      <c r="F44" s="7"/>
      <c r="G44" s="7"/>
    </row>
    <row r="45">
      <c r="A45" s="7"/>
      <c r="B45" s="7"/>
      <c r="C45" s="7"/>
      <c r="D45" s="7"/>
      <c r="E45" s="21"/>
      <c r="F45" s="7"/>
      <c r="G45" s="7"/>
    </row>
    <row r="46">
      <c r="A46" s="7"/>
      <c r="B46" s="7"/>
      <c r="C46" s="7"/>
      <c r="D46" s="7"/>
      <c r="E46" s="21"/>
      <c r="F46" s="7"/>
      <c r="G46" s="7"/>
    </row>
    <row r="47">
      <c r="A47" s="7"/>
      <c r="B47" s="7"/>
      <c r="C47" s="7"/>
      <c r="D47" s="7"/>
      <c r="E47" s="21"/>
      <c r="F47" s="7"/>
      <c r="G47" s="7"/>
    </row>
    <row r="48">
      <c r="A48" s="7"/>
      <c r="B48" s="7"/>
      <c r="C48" s="7"/>
      <c r="D48" s="7"/>
      <c r="E48" s="21"/>
      <c r="F48" s="7"/>
      <c r="G48" s="7"/>
    </row>
    <row r="49">
      <c r="A49" s="7"/>
      <c r="B49" s="7"/>
      <c r="C49" s="7"/>
      <c r="D49" s="7"/>
      <c r="E49" s="21"/>
      <c r="F49" s="7"/>
      <c r="G49" s="7"/>
    </row>
    <row r="50">
      <c r="A50" s="7"/>
      <c r="B50" s="7"/>
      <c r="C50" s="7"/>
      <c r="D50" s="7"/>
      <c r="E50" s="21"/>
      <c r="F50" s="7"/>
      <c r="G50" s="7"/>
    </row>
    <row r="51">
      <c r="A51" s="7"/>
      <c r="B51" s="7"/>
      <c r="C51" s="7"/>
      <c r="D51" s="7"/>
      <c r="E51" s="21"/>
      <c r="F51" s="7"/>
      <c r="G51" s="7"/>
    </row>
    <row r="52">
      <c r="A52" s="7"/>
      <c r="B52" s="7"/>
      <c r="C52" s="7"/>
      <c r="D52" s="7"/>
      <c r="E52" s="21"/>
      <c r="F52" s="7"/>
      <c r="G52" s="7"/>
    </row>
    <row r="53">
      <c r="A53" s="7"/>
      <c r="B53" s="7"/>
      <c r="C53" s="7"/>
      <c r="D53" s="7"/>
      <c r="E53" s="21"/>
      <c r="F53" s="7"/>
      <c r="G53" s="7"/>
    </row>
    <row r="54">
      <c r="A54" s="7"/>
      <c r="B54" s="7"/>
      <c r="C54" s="7"/>
      <c r="D54" s="7"/>
      <c r="E54" s="21"/>
      <c r="F54" s="7"/>
      <c r="G54" s="7"/>
    </row>
    <row r="55">
      <c r="A55" s="7"/>
      <c r="B55" s="7"/>
      <c r="C55" s="7"/>
      <c r="D55" s="7"/>
      <c r="E55" s="21"/>
      <c r="F55" s="7"/>
      <c r="G55" s="7"/>
    </row>
    <row r="56">
      <c r="A56" s="7"/>
      <c r="B56" s="7"/>
      <c r="C56" s="7"/>
      <c r="D56" s="7"/>
      <c r="E56" s="21"/>
      <c r="F56" s="7"/>
      <c r="G56" s="7"/>
    </row>
    <row r="57">
      <c r="A57" s="7"/>
      <c r="B57" s="7"/>
      <c r="C57" s="7"/>
      <c r="D57" s="7"/>
      <c r="E57" s="21"/>
      <c r="F57" s="7"/>
      <c r="G57" s="7"/>
    </row>
    <row r="58">
      <c r="A58" s="7"/>
      <c r="B58" s="7"/>
      <c r="C58" s="7"/>
      <c r="D58" s="7"/>
      <c r="E58" s="21"/>
      <c r="F58" s="7"/>
      <c r="G58" s="7"/>
    </row>
    <row r="59">
      <c r="A59" s="7"/>
      <c r="B59" s="7"/>
      <c r="C59" s="7"/>
      <c r="D59" s="7"/>
      <c r="E59" s="21"/>
      <c r="F59" s="7"/>
      <c r="G59" s="7"/>
    </row>
    <row r="60">
      <c r="A60" s="7"/>
      <c r="B60" s="7"/>
      <c r="C60" s="7"/>
      <c r="D60" s="7"/>
      <c r="E60" s="21"/>
      <c r="F60" s="7"/>
      <c r="G60" s="7"/>
    </row>
    <row r="61">
      <c r="A61" s="7"/>
      <c r="B61" s="7"/>
      <c r="C61" s="7"/>
      <c r="D61" s="7"/>
      <c r="E61" s="21"/>
      <c r="F61" s="7"/>
      <c r="G61" s="7"/>
    </row>
    <row r="62">
      <c r="A62" s="7"/>
      <c r="B62" s="7"/>
      <c r="C62" s="7"/>
      <c r="D62" s="7"/>
      <c r="E62" s="21"/>
      <c r="F62" s="7"/>
      <c r="G62" s="7"/>
    </row>
    <row r="63">
      <c r="A63" s="7"/>
      <c r="B63" s="7"/>
      <c r="C63" s="7"/>
      <c r="D63" s="7"/>
      <c r="E63" s="21"/>
      <c r="F63" s="7"/>
      <c r="G63" s="7"/>
    </row>
    <row r="64">
      <c r="A64" s="7"/>
      <c r="B64" s="7"/>
      <c r="C64" s="7"/>
      <c r="D64" s="7"/>
      <c r="E64" s="21"/>
      <c r="F64" s="7"/>
      <c r="G64" s="7"/>
    </row>
    <row r="65">
      <c r="A65" s="7"/>
      <c r="B65" s="7"/>
      <c r="C65" s="7"/>
      <c r="D65" s="7"/>
      <c r="E65" s="21"/>
      <c r="F65" s="7"/>
      <c r="G65" s="7"/>
    </row>
    <row r="66">
      <c r="A66" s="7"/>
      <c r="B66" s="7"/>
      <c r="C66" s="7"/>
      <c r="D66" s="7"/>
      <c r="E66" s="21"/>
      <c r="F66" s="7"/>
      <c r="G66" s="7"/>
    </row>
    <row r="67">
      <c r="A67" s="7"/>
      <c r="B67" s="7"/>
      <c r="C67" s="7"/>
      <c r="D67" s="7"/>
      <c r="E67" s="21"/>
      <c r="F67" s="7"/>
      <c r="G67" s="7"/>
    </row>
    <row r="68">
      <c r="A68" s="7"/>
      <c r="B68" s="7"/>
      <c r="C68" s="7"/>
      <c r="D68" s="7"/>
      <c r="E68" s="21"/>
      <c r="F68" s="7"/>
      <c r="G68" s="7"/>
    </row>
    <row r="69">
      <c r="A69" s="7"/>
      <c r="B69" s="7"/>
      <c r="C69" s="7"/>
      <c r="D69" s="7"/>
      <c r="E69" s="21"/>
      <c r="F69" s="7"/>
      <c r="G69" s="7"/>
    </row>
    <row r="70">
      <c r="A70" s="7"/>
      <c r="B70" s="7"/>
      <c r="C70" s="7"/>
      <c r="D70" s="7"/>
      <c r="E70" s="21"/>
      <c r="F70" s="7"/>
      <c r="G70" s="7"/>
    </row>
    <row r="71">
      <c r="A71" s="7"/>
      <c r="B71" s="7"/>
      <c r="C71" s="7"/>
      <c r="D71" s="7"/>
      <c r="E71" s="21"/>
      <c r="F71" s="7"/>
      <c r="G71" s="7"/>
    </row>
    <row r="72">
      <c r="A72" s="7"/>
      <c r="B72" s="7"/>
      <c r="C72" s="7"/>
      <c r="D72" s="7"/>
      <c r="E72" s="21"/>
      <c r="F72" s="7"/>
      <c r="G72" s="7"/>
    </row>
    <row r="73">
      <c r="A73" s="7"/>
      <c r="B73" s="7"/>
      <c r="C73" s="7"/>
      <c r="D73" s="7"/>
      <c r="E73" s="21"/>
      <c r="F73" s="7"/>
      <c r="G73" s="7"/>
    </row>
    <row r="74">
      <c r="A74" s="7"/>
      <c r="B74" s="7"/>
      <c r="C74" s="7"/>
      <c r="D74" s="7"/>
      <c r="E74" s="21"/>
      <c r="F74" s="7"/>
      <c r="G74" s="7"/>
    </row>
    <row r="75">
      <c r="A75" s="7"/>
      <c r="B75" s="7"/>
      <c r="C75" s="7"/>
      <c r="D75" s="7"/>
      <c r="E75" s="21"/>
      <c r="F75" s="7"/>
      <c r="G75" s="7"/>
    </row>
    <row r="76">
      <c r="A76" s="7"/>
      <c r="B76" s="7"/>
      <c r="C76" s="7"/>
      <c r="D76" s="7"/>
      <c r="E76" s="21"/>
      <c r="F76" s="7"/>
      <c r="G76" s="7"/>
    </row>
    <row r="77">
      <c r="A77" s="7"/>
      <c r="B77" s="7"/>
      <c r="C77" s="7"/>
      <c r="D77" s="7"/>
      <c r="E77" s="21"/>
      <c r="F77" s="7"/>
      <c r="G77" s="7"/>
    </row>
    <row r="78">
      <c r="A78" s="7"/>
      <c r="B78" s="7"/>
      <c r="C78" s="7"/>
      <c r="D78" s="7"/>
      <c r="E78" s="21"/>
      <c r="F78" s="7"/>
      <c r="G78" s="7"/>
    </row>
    <row r="79">
      <c r="A79" s="7"/>
      <c r="B79" s="7"/>
      <c r="C79" s="7"/>
      <c r="D79" s="7"/>
      <c r="E79" s="21"/>
      <c r="F79" s="7"/>
      <c r="G79" s="7"/>
    </row>
    <row r="80">
      <c r="A80" s="7"/>
      <c r="B80" s="7"/>
      <c r="C80" s="7"/>
      <c r="D80" s="7"/>
      <c r="E80" s="21"/>
      <c r="F80" s="7"/>
      <c r="G80" s="7"/>
    </row>
    <row r="81">
      <c r="A81" s="7"/>
      <c r="B81" s="7"/>
      <c r="C81" s="7"/>
      <c r="D81" s="7"/>
      <c r="E81" s="21"/>
      <c r="F81" s="7"/>
      <c r="G81" s="7"/>
    </row>
    <row r="82">
      <c r="A82" s="7"/>
      <c r="B82" s="7"/>
      <c r="C82" s="7"/>
      <c r="D82" s="7"/>
      <c r="E82" s="21"/>
      <c r="F82" s="7"/>
      <c r="G82" s="7"/>
    </row>
    <row r="83">
      <c r="A83" s="7"/>
      <c r="B83" s="7"/>
      <c r="C83" s="7"/>
      <c r="D83" s="7"/>
      <c r="E83" s="21"/>
      <c r="F83" s="7"/>
      <c r="G83" s="7"/>
    </row>
    <row r="84">
      <c r="A84" s="7"/>
      <c r="B84" s="7"/>
      <c r="C84" s="7"/>
      <c r="D84" s="7"/>
      <c r="E84" s="21"/>
      <c r="F84" s="7"/>
      <c r="G84" s="7"/>
    </row>
    <row r="85">
      <c r="A85" s="7"/>
      <c r="B85" s="7"/>
      <c r="C85" s="7"/>
      <c r="D85" s="7"/>
      <c r="E85" s="21"/>
      <c r="F85" s="7"/>
      <c r="G85" s="7"/>
    </row>
    <row r="86">
      <c r="A86" s="7"/>
      <c r="B86" s="7"/>
      <c r="C86" s="7"/>
      <c r="D86" s="7"/>
      <c r="E86" s="21"/>
      <c r="F86" s="7"/>
      <c r="G86" s="7"/>
    </row>
    <row r="87">
      <c r="A87" s="7"/>
      <c r="B87" s="7"/>
      <c r="C87" s="7"/>
      <c r="D87" s="7"/>
      <c r="E87" s="21"/>
      <c r="F87" s="7"/>
      <c r="G87" s="7"/>
    </row>
    <row r="88">
      <c r="A88" s="7"/>
      <c r="B88" s="7"/>
      <c r="C88" s="7"/>
      <c r="D88" s="7"/>
      <c r="E88" s="21"/>
      <c r="F88" s="7"/>
      <c r="G88" s="7"/>
    </row>
    <row r="89">
      <c r="A89" s="7"/>
      <c r="B89" s="7"/>
      <c r="C89" s="7"/>
      <c r="D89" s="7"/>
      <c r="E89" s="21"/>
      <c r="F89" s="7"/>
      <c r="G89" s="7"/>
    </row>
    <row r="90">
      <c r="A90" s="7"/>
      <c r="B90" s="7"/>
      <c r="C90" s="7"/>
      <c r="D90" s="7"/>
      <c r="E90" s="21"/>
      <c r="F90" s="7"/>
      <c r="G90" s="7"/>
    </row>
    <row r="91">
      <c r="A91" s="7"/>
      <c r="B91" s="7"/>
      <c r="C91" s="7"/>
      <c r="D91" s="7"/>
      <c r="E91" s="21"/>
      <c r="F91" s="7"/>
      <c r="G91" s="7"/>
    </row>
    <row r="92">
      <c r="A92" s="7"/>
      <c r="B92" s="7"/>
      <c r="C92" s="7"/>
      <c r="D92" s="7"/>
      <c r="E92" s="21"/>
      <c r="F92" s="7"/>
      <c r="G92" s="7"/>
    </row>
    <row r="93">
      <c r="A93" s="7"/>
      <c r="B93" s="7"/>
      <c r="C93" s="7"/>
      <c r="D93" s="7"/>
      <c r="E93" s="21"/>
      <c r="F93" s="7"/>
      <c r="G93" s="7"/>
    </row>
    <row r="94">
      <c r="A94" s="7"/>
      <c r="B94" s="7"/>
      <c r="C94" s="7"/>
      <c r="D94" s="7"/>
      <c r="E94" s="21"/>
      <c r="F94" s="7"/>
      <c r="G94" s="7"/>
    </row>
    <row r="95">
      <c r="A95" s="7"/>
      <c r="B95" s="7"/>
      <c r="C95" s="7"/>
      <c r="D95" s="7"/>
      <c r="E95" s="21"/>
      <c r="F95" s="7"/>
      <c r="G95" s="7"/>
    </row>
    <row r="96">
      <c r="A96" s="7"/>
      <c r="B96" s="7"/>
      <c r="C96" s="7"/>
      <c r="D96" s="7"/>
      <c r="E96" s="21"/>
      <c r="F96" s="7"/>
      <c r="G96" s="7"/>
    </row>
    <row r="97">
      <c r="A97" s="7"/>
      <c r="B97" s="7"/>
      <c r="C97" s="7"/>
      <c r="D97" s="7"/>
      <c r="E97" s="21"/>
      <c r="F97" s="7"/>
      <c r="G97" s="7"/>
    </row>
    <row r="98">
      <c r="A98" s="7"/>
      <c r="B98" s="7"/>
      <c r="C98" s="7"/>
      <c r="D98" s="7"/>
      <c r="E98" s="21"/>
      <c r="F98" s="7"/>
      <c r="G98" s="7"/>
    </row>
    <row r="99">
      <c r="A99" s="7"/>
      <c r="B99" s="7"/>
      <c r="C99" s="7"/>
      <c r="D99" s="7"/>
      <c r="E99" s="21"/>
      <c r="F99" s="7"/>
      <c r="G99" s="7"/>
    </row>
    <row r="100">
      <c r="A100" s="7"/>
      <c r="B100" s="7"/>
      <c r="C100" s="7"/>
      <c r="D100" s="7"/>
      <c r="E100" s="21"/>
      <c r="F100" s="7"/>
      <c r="G100" s="7"/>
    </row>
    <row r="101">
      <c r="A101" s="7"/>
      <c r="B101" s="7"/>
      <c r="C101" s="7"/>
      <c r="D101" s="7"/>
      <c r="E101" s="21"/>
      <c r="F101" s="7"/>
      <c r="G101" s="7"/>
    </row>
    <row r="102">
      <c r="A102" s="7"/>
      <c r="B102" s="7"/>
      <c r="C102" s="7"/>
      <c r="D102" s="7"/>
      <c r="E102" s="21"/>
      <c r="F102" s="7"/>
      <c r="G102" s="7"/>
    </row>
    <row r="103">
      <c r="A103" s="7"/>
      <c r="B103" s="7"/>
      <c r="C103" s="7"/>
      <c r="D103" s="7"/>
      <c r="E103" s="21"/>
      <c r="F103" s="7"/>
      <c r="G103" s="7"/>
    </row>
    <row r="104">
      <c r="A104" s="7"/>
      <c r="B104" s="7"/>
      <c r="C104" s="7"/>
      <c r="D104" s="7"/>
      <c r="E104" s="21"/>
      <c r="F104" s="7"/>
      <c r="G104" s="7"/>
    </row>
    <row r="105">
      <c r="A105" s="7"/>
      <c r="B105" s="7"/>
      <c r="C105" s="7"/>
      <c r="D105" s="7"/>
      <c r="E105" s="21"/>
      <c r="F105" s="7"/>
      <c r="G105" s="7"/>
    </row>
    <row r="106">
      <c r="A106" s="7"/>
      <c r="B106" s="7"/>
      <c r="C106" s="7"/>
      <c r="D106" s="7"/>
      <c r="E106" s="21"/>
      <c r="F106" s="7"/>
      <c r="G106" s="7"/>
    </row>
    <row r="107">
      <c r="A107" s="7"/>
      <c r="B107" s="7"/>
      <c r="C107" s="7"/>
      <c r="D107" s="7"/>
      <c r="E107" s="21"/>
      <c r="F107" s="7"/>
      <c r="G107" s="7"/>
    </row>
    <row r="108">
      <c r="A108" s="7"/>
      <c r="B108" s="7"/>
      <c r="C108" s="7"/>
      <c r="D108" s="7"/>
      <c r="E108" s="21"/>
      <c r="F108" s="7"/>
      <c r="G108" s="7"/>
    </row>
    <row r="109">
      <c r="A109" s="7"/>
      <c r="B109" s="7"/>
      <c r="C109" s="7"/>
      <c r="D109" s="7"/>
      <c r="E109" s="21"/>
      <c r="F109" s="7"/>
      <c r="G109" s="7"/>
    </row>
    <row r="110">
      <c r="A110" s="7"/>
      <c r="B110" s="7"/>
      <c r="C110" s="7"/>
      <c r="D110" s="7"/>
      <c r="E110" s="21"/>
      <c r="F110" s="7"/>
      <c r="G110" s="7"/>
    </row>
    <row r="111">
      <c r="A111" s="7"/>
      <c r="B111" s="7"/>
      <c r="C111" s="7"/>
      <c r="D111" s="7"/>
      <c r="E111" s="21"/>
      <c r="F111" s="7"/>
      <c r="G111" s="7"/>
    </row>
    <row r="112">
      <c r="A112" s="7"/>
      <c r="B112" s="7"/>
      <c r="C112" s="7"/>
      <c r="D112" s="7"/>
      <c r="E112" s="21"/>
      <c r="F112" s="7"/>
      <c r="G112" s="7"/>
    </row>
    <row r="113">
      <c r="A113" s="7"/>
      <c r="B113" s="7"/>
      <c r="C113" s="7"/>
      <c r="D113" s="7"/>
      <c r="E113" s="21"/>
      <c r="F113" s="7"/>
      <c r="G113" s="7"/>
    </row>
    <row r="114">
      <c r="A114" s="7"/>
      <c r="B114" s="7"/>
      <c r="C114" s="7"/>
      <c r="D114" s="7"/>
      <c r="E114" s="21"/>
      <c r="F114" s="7"/>
      <c r="G114" s="7"/>
    </row>
    <row r="115">
      <c r="A115" s="7"/>
      <c r="B115" s="7"/>
      <c r="C115" s="7"/>
      <c r="D115" s="7"/>
      <c r="E115" s="21"/>
      <c r="F115" s="7"/>
      <c r="G115" s="7"/>
    </row>
    <row r="116">
      <c r="A116" s="7"/>
      <c r="B116" s="7"/>
      <c r="C116" s="7"/>
      <c r="D116" s="7"/>
      <c r="E116" s="21"/>
      <c r="F116" s="7"/>
      <c r="G116" s="7"/>
    </row>
    <row r="117">
      <c r="A117" s="7"/>
      <c r="B117" s="7"/>
      <c r="C117" s="7"/>
      <c r="D117" s="7"/>
      <c r="E117" s="21"/>
      <c r="F117" s="7"/>
      <c r="G117" s="7"/>
    </row>
    <row r="118">
      <c r="A118" s="7"/>
      <c r="B118" s="7"/>
      <c r="C118" s="7"/>
      <c r="D118" s="7"/>
      <c r="E118" s="21"/>
      <c r="F118" s="7"/>
      <c r="G118" s="7"/>
    </row>
    <row r="119">
      <c r="A119" s="7"/>
      <c r="B119" s="7"/>
      <c r="C119" s="7"/>
      <c r="D119" s="7"/>
      <c r="E119" s="21"/>
      <c r="F119" s="7"/>
      <c r="G119" s="7"/>
    </row>
    <row r="120">
      <c r="A120" s="7"/>
      <c r="B120" s="7"/>
      <c r="C120" s="7"/>
      <c r="D120" s="7"/>
      <c r="E120" s="21"/>
      <c r="F120" s="7"/>
      <c r="G120" s="7"/>
    </row>
    <row r="121">
      <c r="A121" s="7"/>
      <c r="B121" s="7"/>
      <c r="C121" s="7"/>
      <c r="D121" s="7"/>
      <c r="E121" s="21"/>
      <c r="F121" s="7"/>
      <c r="G121" s="7"/>
    </row>
    <row r="122">
      <c r="A122" s="7"/>
      <c r="B122" s="7"/>
      <c r="C122" s="7"/>
      <c r="D122" s="7"/>
      <c r="E122" s="21"/>
      <c r="F122" s="7"/>
      <c r="G122" s="7"/>
    </row>
    <row r="123">
      <c r="A123" s="7"/>
      <c r="B123" s="7"/>
      <c r="C123" s="7"/>
      <c r="D123" s="7"/>
      <c r="E123" s="21"/>
      <c r="F123" s="7"/>
      <c r="G123" s="7"/>
    </row>
    <row r="124">
      <c r="A124" s="7"/>
      <c r="B124" s="7"/>
      <c r="C124" s="7"/>
      <c r="D124" s="7"/>
      <c r="E124" s="21"/>
      <c r="F124" s="7"/>
      <c r="G124" s="7"/>
    </row>
    <row r="125">
      <c r="A125" s="7"/>
      <c r="B125" s="7"/>
      <c r="C125" s="7"/>
      <c r="D125" s="7"/>
      <c r="E125" s="21"/>
      <c r="F125" s="7"/>
      <c r="G125" s="7"/>
    </row>
    <row r="126">
      <c r="A126" s="7"/>
      <c r="B126" s="7"/>
      <c r="C126" s="7"/>
      <c r="D126" s="7"/>
      <c r="E126" s="21"/>
      <c r="F126" s="7"/>
      <c r="G126" s="7"/>
    </row>
    <row r="127">
      <c r="A127" s="7"/>
      <c r="B127" s="7"/>
      <c r="C127" s="7"/>
      <c r="D127" s="7"/>
      <c r="E127" s="21"/>
      <c r="F127" s="7"/>
      <c r="G127" s="7"/>
    </row>
    <row r="128">
      <c r="A128" s="7"/>
      <c r="B128" s="7"/>
      <c r="C128" s="7"/>
      <c r="D128" s="7"/>
      <c r="E128" s="21"/>
      <c r="F128" s="7"/>
      <c r="G128" s="7"/>
    </row>
    <row r="129">
      <c r="A129" s="7"/>
      <c r="B129" s="7"/>
      <c r="C129" s="7"/>
      <c r="D129" s="7"/>
      <c r="E129" s="21"/>
      <c r="F129" s="7"/>
      <c r="G129" s="7"/>
    </row>
    <row r="130">
      <c r="A130" s="7"/>
      <c r="B130" s="7"/>
      <c r="C130" s="7"/>
      <c r="D130" s="7"/>
      <c r="E130" s="21"/>
      <c r="F130" s="7"/>
      <c r="G130" s="7"/>
    </row>
    <row r="131">
      <c r="A131" s="7"/>
      <c r="B131" s="7"/>
      <c r="C131" s="7"/>
      <c r="D131" s="7"/>
      <c r="E131" s="21"/>
      <c r="F131" s="7"/>
      <c r="G131" s="7"/>
    </row>
    <row r="132">
      <c r="A132" s="7"/>
      <c r="B132" s="7"/>
      <c r="C132" s="7"/>
      <c r="D132" s="7"/>
      <c r="E132" s="21"/>
      <c r="F132" s="7"/>
      <c r="G132" s="7"/>
    </row>
    <row r="133">
      <c r="A133" s="7"/>
      <c r="B133" s="7"/>
      <c r="C133" s="7"/>
      <c r="D133" s="7"/>
      <c r="E133" s="21"/>
      <c r="F133" s="7"/>
      <c r="G133" s="7"/>
    </row>
    <row r="134">
      <c r="A134" s="7"/>
      <c r="B134" s="7"/>
      <c r="C134" s="7"/>
      <c r="D134" s="7"/>
      <c r="E134" s="21"/>
      <c r="F134" s="7"/>
      <c r="G134" s="7"/>
    </row>
    <row r="135">
      <c r="A135" s="7"/>
      <c r="B135" s="7"/>
      <c r="C135" s="7"/>
      <c r="D135" s="7"/>
      <c r="E135" s="21"/>
      <c r="F135" s="7"/>
      <c r="G135" s="7"/>
    </row>
    <row r="136">
      <c r="A136" s="7"/>
      <c r="B136" s="7"/>
      <c r="C136" s="7"/>
      <c r="D136" s="7"/>
      <c r="E136" s="21"/>
      <c r="F136" s="7"/>
      <c r="G136" s="7"/>
    </row>
    <row r="137">
      <c r="A137" s="7"/>
      <c r="B137" s="7"/>
      <c r="C137" s="7"/>
      <c r="D137" s="7"/>
      <c r="E137" s="21"/>
      <c r="F137" s="7"/>
      <c r="G137" s="7"/>
    </row>
    <row r="138">
      <c r="A138" s="7"/>
      <c r="B138" s="7"/>
      <c r="C138" s="7"/>
      <c r="D138" s="7"/>
      <c r="E138" s="21"/>
      <c r="F138" s="7"/>
      <c r="G138" s="7"/>
    </row>
    <row r="139">
      <c r="A139" s="7"/>
      <c r="B139" s="7"/>
      <c r="C139" s="7"/>
      <c r="D139" s="7"/>
      <c r="E139" s="21"/>
      <c r="F139" s="7"/>
      <c r="G139" s="7"/>
    </row>
    <row r="140">
      <c r="A140" s="7"/>
      <c r="B140" s="7"/>
      <c r="C140" s="7"/>
      <c r="D140" s="7"/>
      <c r="E140" s="21"/>
      <c r="F140" s="7"/>
      <c r="G140" s="7"/>
    </row>
    <row r="141">
      <c r="A141" s="7"/>
      <c r="B141" s="7"/>
      <c r="C141" s="7"/>
      <c r="D141" s="7"/>
      <c r="E141" s="21"/>
      <c r="F141" s="7"/>
      <c r="G141" s="7"/>
    </row>
    <row r="142">
      <c r="A142" s="7"/>
      <c r="B142" s="7"/>
      <c r="C142" s="7"/>
      <c r="D142" s="7"/>
      <c r="E142" s="21"/>
      <c r="F142" s="7"/>
      <c r="G142" s="7"/>
    </row>
    <row r="143">
      <c r="A143" s="7"/>
      <c r="B143" s="7"/>
      <c r="C143" s="7"/>
      <c r="D143" s="7"/>
      <c r="E143" s="21"/>
      <c r="F143" s="7"/>
      <c r="G143" s="7"/>
    </row>
    <row r="144">
      <c r="A144" s="7"/>
      <c r="B144" s="7"/>
      <c r="C144" s="7"/>
      <c r="D144" s="7"/>
      <c r="E144" s="21"/>
      <c r="F144" s="7"/>
      <c r="G144" s="7"/>
    </row>
    <row r="145">
      <c r="A145" s="7"/>
      <c r="B145" s="7"/>
      <c r="C145" s="7"/>
      <c r="D145" s="7"/>
      <c r="E145" s="21"/>
      <c r="F145" s="7"/>
      <c r="G145" s="7"/>
    </row>
    <row r="146">
      <c r="A146" s="7"/>
      <c r="B146" s="7"/>
      <c r="C146" s="7"/>
      <c r="D146" s="7"/>
      <c r="E146" s="21"/>
      <c r="F146" s="7"/>
      <c r="G146" s="7"/>
    </row>
    <row r="147">
      <c r="A147" s="7"/>
      <c r="B147" s="7"/>
      <c r="C147" s="7"/>
      <c r="D147" s="7"/>
      <c r="E147" s="21"/>
      <c r="F147" s="7"/>
      <c r="G147" s="7"/>
    </row>
    <row r="148">
      <c r="A148" s="7"/>
      <c r="B148" s="7"/>
      <c r="C148" s="7"/>
      <c r="D148" s="7"/>
      <c r="E148" s="21"/>
      <c r="F148" s="7"/>
      <c r="G148" s="7"/>
    </row>
    <row r="149">
      <c r="A149" s="7"/>
      <c r="B149" s="7"/>
      <c r="C149" s="7"/>
      <c r="D149" s="7"/>
      <c r="E149" s="21"/>
      <c r="F149" s="7"/>
      <c r="G149" s="7"/>
    </row>
    <row r="150">
      <c r="A150" s="7"/>
      <c r="B150" s="7"/>
      <c r="C150" s="7"/>
      <c r="D150" s="7"/>
      <c r="E150" s="21"/>
      <c r="F150" s="7"/>
      <c r="G150" s="7"/>
    </row>
    <row r="151">
      <c r="A151" s="7"/>
      <c r="B151" s="7"/>
      <c r="C151" s="7"/>
      <c r="D151" s="7"/>
      <c r="E151" s="21"/>
      <c r="F151" s="7"/>
      <c r="G151" s="7"/>
    </row>
    <row r="152">
      <c r="A152" s="7"/>
      <c r="B152" s="7"/>
      <c r="C152" s="7"/>
      <c r="D152" s="7"/>
      <c r="E152" s="21"/>
      <c r="F152" s="7"/>
      <c r="G152" s="7"/>
    </row>
    <row r="153">
      <c r="A153" s="7"/>
      <c r="B153" s="7"/>
      <c r="C153" s="7"/>
      <c r="D153" s="7"/>
      <c r="E153" s="21"/>
      <c r="F153" s="7"/>
      <c r="G153" s="7"/>
    </row>
    <row r="154">
      <c r="A154" s="7"/>
      <c r="B154" s="7"/>
      <c r="C154" s="7"/>
      <c r="D154" s="7"/>
      <c r="E154" s="21"/>
      <c r="F154" s="7"/>
      <c r="G154" s="7"/>
    </row>
    <row r="155">
      <c r="A155" s="7"/>
      <c r="B155" s="7"/>
      <c r="C155" s="7"/>
      <c r="D155" s="7"/>
      <c r="E155" s="21"/>
      <c r="F155" s="7"/>
      <c r="G155" s="7"/>
    </row>
    <row r="156">
      <c r="A156" s="7"/>
      <c r="B156" s="7"/>
      <c r="C156" s="7"/>
      <c r="D156" s="7"/>
      <c r="E156" s="21"/>
      <c r="F156" s="7"/>
      <c r="G156" s="7"/>
    </row>
    <row r="157">
      <c r="A157" s="7"/>
      <c r="B157" s="7"/>
      <c r="C157" s="7"/>
      <c r="D157" s="7"/>
      <c r="E157" s="21"/>
      <c r="F157" s="7"/>
      <c r="G157" s="7"/>
    </row>
    <row r="158">
      <c r="A158" s="7"/>
      <c r="B158" s="7"/>
      <c r="C158" s="7"/>
      <c r="D158" s="7"/>
      <c r="E158" s="21"/>
      <c r="F158" s="7"/>
      <c r="G158" s="7"/>
    </row>
    <row r="159">
      <c r="A159" s="7"/>
      <c r="B159" s="7"/>
      <c r="C159" s="7"/>
      <c r="D159" s="7"/>
      <c r="E159" s="21"/>
      <c r="F159" s="7"/>
      <c r="G159" s="7"/>
    </row>
    <row r="160">
      <c r="A160" s="7"/>
      <c r="B160" s="7"/>
      <c r="C160" s="7"/>
      <c r="D160" s="7"/>
      <c r="E160" s="21"/>
      <c r="F160" s="7"/>
      <c r="G160" s="7"/>
    </row>
    <row r="161">
      <c r="A161" s="7"/>
      <c r="B161" s="7"/>
      <c r="C161" s="7"/>
      <c r="D161" s="7"/>
      <c r="E161" s="21"/>
      <c r="F161" s="7"/>
      <c r="G161" s="7"/>
    </row>
    <row r="162">
      <c r="A162" s="7"/>
      <c r="B162" s="7"/>
      <c r="C162" s="7"/>
      <c r="D162" s="7"/>
      <c r="E162" s="21"/>
      <c r="F162" s="7"/>
      <c r="G162" s="7"/>
    </row>
    <row r="163">
      <c r="A163" s="7"/>
      <c r="B163" s="7"/>
      <c r="C163" s="7"/>
      <c r="D163" s="7"/>
      <c r="E163" s="21"/>
      <c r="F163" s="7"/>
      <c r="G163" s="7"/>
    </row>
    <row r="164">
      <c r="A164" s="7"/>
      <c r="B164" s="7"/>
      <c r="C164" s="7"/>
      <c r="D164" s="7"/>
      <c r="E164" s="21"/>
      <c r="F164" s="7"/>
      <c r="G164" s="7"/>
    </row>
    <row r="165">
      <c r="A165" s="7"/>
      <c r="B165" s="7"/>
      <c r="C165" s="7"/>
      <c r="D165" s="7"/>
      <c r="E165" s="21"/>
      <c r="F165" s="7"/>
      <c r="G165" s="7"/>
    </row>
    <row r="166">
      <c r="A166" s="7"/>
      <c r="B166" s="7"/>
      <c r="C166" s="7"/>
      <c r="D166" s="7"/>
      <c r="E166" s="21"/>
      <c r="F166" s="7"/>
      <c r="G166" s="7"/>
    </row>
    <row r="167">
      <c r="A167" s="7"/>
      <c r="B167" s="7"/>
      <c r="C167" s="7"/>
      <c r="D167" s="7"/>
      <c r="E167" s="21"/>
      <c r="F167" s="7"/>
      <c r="G167" s="7"/>
    </row>
    <row r="168">
      <c r="A168" s="7"/>
      <c r="B168" s="7"/>
      <c r="C168" s="7"/>
      <c r="D168" s="7"/>
      <c r="E168" s="21"/>
      <c r="F168" s="7"/>
      <c r="G168" s="7"/>
    </row>
    <row r="169">
      <c r="A169" s="7"/>
      <c r="B169" s="7"/>
      <c r="C169" s="7"/>
      <c r="D169" s="7"/>
      <c r="E169" s="21"/>
      <c r="F169" s="7"/>
      <c r="G169" s="7"/>
    </row>
    <row r="170">
      <c r="A170" s="7"/>
      <c r="B170" s="7"/>
      <c r="C170" s="7"/>
      <c r="D170" s="7"/>
      <c r="E170" s="21"/>
      <c r="F170" s="7"/>
      <c r="G170" s="7"/>
    </row>
    <row r="171">
      <c r="A171" s="7"/>
      <c r="B171" s="7"/>
      <c r="C171" s="7"/>
      <c r="D171" s="7"/>
      <c r="E171" s="21"/>
      <c r="F171" s="7"/>
      <c r="G171" s="7"/>
    </row>
    <row r="172">
      <c r="A172" s="7"/>
      <c r="B172" s="7"/>
      <c r="C172" s="7"/>
      <c r="D172" s="7"/>
      <c r="E172" s="21"/>
      <c r="F172" s="7"/>
      <c r="G172" s="7"/>
    </row>
    <row r="173">
      <c r="A173" s="7"/>
      <c r="B173" s="7"/>
      <c r="C173" s="7"/>
      <c r="D173" s="7"/>
      <c r="E173" s="21"/>
      <c r="F173" s="7"/>
      <c r="G173" s="7"/>
    </row>
    <row r="174">
      <c r="A174" s="7"/>
      <c r="B174" s="7"/>
      <c r="C174" s="7"/>
      <c r="D174" s="7"/>
      <c r="E174" s="21"/>
      <c r="F174" s="7"/>
      <c r="G174" s="7"/>
    </row>
    <row r="175">
      <c r="A175" s="7"/>
      <c r="B175" s="7"/>
      <c r="C175" s="7"/>
      <c r="D175" s="7"/>
      <c r="E175" s="21"/>
      <c r="F175" s="7"/>
      <c r="G175" s="7"/>
    </row>
    <row r="176">
      <c r="A176" s="7"/>
      <c r="B176" s="7"/>
      <c r="C176" s="7"/>
      <c r="D176" s="7"/>
      <c r="E176" s="21"/>
      <c r="F176" s="7"/>
      <c r="G176" s="7"/>
    </row>
    <row r="177">
      <c r="A177" s="7"/>
      <c r="B177" s="7"/>
      <c r="C177" s="7"/>
      <c r="D177" s="7"/>
      <c r="E177" s="21"/>
      <c r="F177" s="7"/>
      <c r="G177" s="7"/>
    </row>
    <row r="178">
      <c r="A178" s="7"/>
      <c r="B178" s="7"/>
      <c r="C178" s="7"/>
      <c r="D178" s="7"/>
      <c r="E178" s="21"/>
      <c r="F178" s="7"/>
      <c r="G178" s="7"/>
    </row>
    <row r="179">
      <c r="A179" s="7"/>
      <c r="B179" s="7"/>
      <c r="C179" s="7"/>
      <c r="D179" s="7"/>
      <c r="E179" s="21"/>
      <c r="F179" s="7"/>
      <c r="G179" s="7"/>
    </row>
    <row r="180">
      <c r="A180" s="7"/>
      <c r="B180" s="7"/>
      <c r="C180" s="7"/>
      <c r="D180" s="7"/>
      <c r="E180" s="21"/>
      <c r="F180" s="7"/>
      <c r="G180" s="7"/>
    </row>
    <row r="181">
      <c r="A181" s="7"/>
      <c r="B181" s="7"/>
      <c r="C181" s="7"/>
      <c r="D181" s="7"/>
      <c r="E181" s="21"/>
      <c r="F181" s="7"/>
      <c r="G181" s="7"/>
    </row>
    <row r="182">
      <c r="A182" s="7"/>
      <c r="B182" s="7"/>
      <c r="C182" s="7"/>
      <c r="D182" s="7"/>
      <c r="E182" s="21"/>
      <c r="F182" s="7"/>
      <c r="G182" s="7"/>
    </row>
    <row r="183">
      <c r="A183" s="7"/>
      <c r="B183" s="7"/>
      <c r="C183" s="7"/>
      <c r="D183" s="7"/>
      <c r="E183" s="21"/>
      <c r="F183" s="7"/>
      <c r="G183" s="7"/>
    </row>
    <row r="184">
      <c r="A184" s="7"/>
      <c r="B184" s="7"/>
      <c r="C184" s="7"/>
      <c r="D184" s="7"/>
      <c r="E184" s="21"/>
      <c r="F184" s="7"/>
      <c r="G184" s="7"/>
    </row>
    <row r="185">
      <c r="A185" s="7"/>
      <c r="B185" s="7"/>
      <c r="C185" s="7"/>
      <c r="D185" s="7"/>
      <c r="E185" s="21"/>
      <c r="F185" s="7"/>
      <c r="G185" s="7"/>
    </row>
    <row r="186">
      <c r="A186" s="7"/>
      <c r="B186" s="7"/>
      <c r="C186" s="7"/>
      <c r="D186" s="7"/>
      <c r="E186" s="21"/>
      <c r="F186" s="7"/>
      <c r="G186" s="7"/>
    </row>
    <row r="187">
      <c r="A187" s="7"/>
      <c r="B187" s="7"/>
      <c r="C187" s="7"/>
      <c r="D187" s="7"/>
      <c r="E187" s="21"/>
      <c r="F187" s="7"/>
      <c r="G187" s="7"/>
    </row>
    <row r="188">
      <c r="A188" s="7"/>
      <c r="B188" s="7"/>
      <c r="C188" s="7"/>
      <c r="D188" s="7"/>
      <c r="E188" s="21"/>
      <c r="F188" s="7"/>
      <c r="G188" s="7"/>
    </row>
    <row r="189">
      <c r="A189" s="7"/>
      <c r="B189" s="7"/>
      <c r="C189" s="7"/>
      <c r="D189" s="7"/>
      <c r="E189" s="21"/>
      <c r="F189" s="7"/>
      <c r="G189" s="7"/>
    </row>
    <row r="190">
      <c r="A190" s="7"/>
      <c r="B190" s="7"/>
      <c r="C190" s="7"/>
      <c r="D190" s="7"/>
      <c r="E190" s="21"/>
      <c r="F190" s="7"/>
      <c r="G190" s="7"/>
    </row>
    <row r="191">
      <c r="A191" s="7"/>
      <c r="B191" s="7"/>
      <c r="C191" s="7"/>
      <c r="D191" s="7"/>
      <c r="E191" s="21"/>
      <c r="F191" s="7"/>
      <c r="G191" s="7"/>
    </row>
    <row r="192">
      <c r="A192" s="7"/>
      <c r="B192" s="7"/>
      <c r="C192" s="7"/>
      <c r="D192" s="7"/>
      <c r="E192" s="21"/>
      <c r="F192" s="7"/>
      <c r="G192" s="7"/>
    </row>
    <row r="193">
      <c r="A193" s="7"/>
      <c r="B193" s="7"/>
      <c r="C193" s="7"/>
      <c r="D193" s="7"/>
      <c r="E193" s="21"/>
      <c r="F193" s="7"/>
      <c r="G193" s="7"/>
    </row>
    <row r="194">
      <c r="A194" s="7"/>
      <c r="B194" s="7"/>
      <c r="C194" s="7"/>
      <c r="D194" s="7"/>
      <c r="E194" s="21"/>
      <c r="F194" s="7"/>
      <c r="G194" s="7"/>
    </row>
    <row r="195">
      <c r="A195" s="7"/>
      <c r="B195" s="7"/>
      <c r="C195" s="7"/>
      <c r="D195" s="7"/>
      <c r="E195" s="21"/>
      <c r="F195" s="7"/>
      <c r="G195" s="7"/>
    </row>
    <row r="196">
      <c r="A196" s="7"/>
      <c r="B196" s="7"/>
      <c r="C196" s="7"/>
      <c r="D196" s="7"/>
      <c r="E196" s="21"/>
      <c r="F196" s="7"/>
      <c r="G196" s="7"/>
    </row>
    <row r="197">
      <c r="A197" s="7"/>
      <c r="B197" s="7"/>
      <c r="C197" s="7"/>
      <c r="D197" s="7"/>
      <c r="E197" s="21"/>
      <c r="F197" s="7"/>
      <c r="G197" s="7"/>
    </row>
    <row r="198">
      <c r="A198" s="7"/>
      <c r="B198" s="7"/>
      <c r="C198" s="7"/>
      <c r="D198" s="7"/>
      <c r="E198" s="21"/>
      <c r="F198" s="7"/>
      <c r="G198" s="7"/>
    </row>
    <row r="199">
      <c r="A199" s="7"/>
      <c r="B199" s="7"/>
      <c r="C199" s="7"/>
      <c r="D199" s="7"/>
      <c r="E199" s="21"/>
      <c r="F199" s="7"/>
      <c r="G199" s="7"/>
    </row>
    <row r="200">
      <c r="A200" s="7"/>
      <c r="B200" s="7"/>
      <c r="C200" s="7"/>
      <c r="D200" s="7"/>
      <c r="E200" s="21"/>
      <c r="F200" s="7"/>
      <c r="G200" s="7"/>
    </row>
    <row r="201">
      <c r="A201" s="7"/>
      <c r="B201" s="7"/>
      <c r="C201" s="7"/>
      <c r="D201" s="7"/>
      <c r="E201" s="21"/>
      <c r="F201" s="7"/>
      <c r="G201" s="7"/>
    </row>
    <row r="202">
      <c r="A202" s="7"/>
      <c r="B202" s="7"/>
      <c r="C202" s="7"/>
      <c r="D202" s="7"/>
      <c r="E202" s="21"/>
      <c r="F202" s="7"/>
      <c r="G202" s="7"/>
    </row>
    <row r="203">
      <c r="A203" s="7"/>
      <c r="B203" s="7"/>
      <c r="C203" s="7"/>
      <c r="D203" s="7"/>
      <c r="E203" s="21"/>
      <c r="F203" s="7"/>
      <c r="G203" s="7"/>
    </row>
    <row r="204">
      <c r="A204" s="7"/>
      <c r="B204" s="7"/>
      <c r="C204" s="7"/>
      <c r="D204" s="7"/>
      <c r="E204" s="21"/>
      <c r="F204" s="7"/>
      <c r="G204" s="7"/>
    </row>
    <row r="205">
      <c r="A205" s="7"/>
      <c r="B205" s="7"/>
      <c r="C205" s="7"/>
      <c r="D205" s="7"/>
      <c r="E205" s="21"/>
      <c r="F205" s="7"/>
      <c r="G205" s="7"/>
    </row>
    <row r="206">
      <c r="A206" s="7"/>
      <c r="B206" s="7"/>
      <c r="C206" s="7"/>
      <c r="D206" s="7"/>
      <c r="E206" s="21"/>
      <c r="F206" s="7"/>
      <c r="G206" s="7"/>
    </row>
    <row r="207">
      <c r="A207" s="7"/>
      <c r="B207" s="7"/>
      <c r="C207" s="7"/>
      <c r="D207" s="7"/>
      <c r="E207" s="21"/>
      <c r="F207" s="7"/>
      <c r="G207" s="7"/>
    </row>
    <row r="208">
      <c r="A208" s="7"/>
      <c r="B208" s="7"/>
      <c r="C208" s="7"/>
      <c r="D208" s="7"/>
      <c r="E208" s="21"/>
      <c r="F208" s="7"/>
      <c r="G208" s="7"/>
    </row>
    <row r="209">
      <c r="A209" s="7"/>
      <c r="B209" s="7"/>
      <c r="C209" s="7"/>
      <c r="D209" s="7"/>
      <c r="E209" s="21"/>
      <c r="F209" s="7"/>
      <c r="G209" s="7"/>
    </row>
    <row r="210">
      <c r="A210" s="7"/>
      <c r="B210" s="7"/>
      <c r="C210" s="7"/>
      <c r="D210" s="7"/>
      <c r="E210" s="21"/>
      <c r="F210" s="7"/>
      <c r="G210" s="7"/>
    </row>
    <row r="211">
      <c r="A211" s="7"/>
      <c r="B211" s="7"/>
      <c r="C211" s="7"/>
      <c r="D211" s="7"/>
      <c r="E211" s="21"/>
      <c r="F211" s="7"/>
      <c r="G211" s="7"/>
    </row>
    <row r="212">
      <c r="A212" s="7"/>
      <c r="B212" s="7"/>
      <c r="C212" s="7"/>
      <c r="D212" s="7"/>
      <c r="E212" s="21"/>
      <c r="F212" s="7"/>
      <c r="G212" s="7"/>
    </row>
    <row r="213">
      <c r="A213" s="7"/>
      <c r="B213" s="7"/>
      <c r="C213" s="7"/>
      <c r="D213" s="7"/>
      <c r="E213" s="21"/>
      <c r="F213" s="7"/>
      <c r="G213" s="7"/>
    </row>
    <row r="214">
      <c r="A214" s="7"/>
      <c r="B214" s="7"/>
      <c r="C214" s="7"/>
      <c r="D214" s="7"/>
      <c r="E214" s="21"/>
      <c r="F214" s="7"/>
      <c r="G214" s="7"/>
    </row>
    <row r="215">
      <c r="A215" s="7"/>
      <c r="B215" s="7"/>
      <c r="C215" s="7"/>
      <c r="D215" s="7"/>
      <c r="E215" s="21"/>
      <c r="F215" s="7"/>
      <c r="G215" s="7"/>
    </row>
    <row r="216">
      <c r="A216" s="7"/>
      <c r="B216" s="7"/>
      <c r="C216" s="7"/>
      <c r="D216" s="7"/>
      <c r="E216" s="21"/>
      <c r="F216" s="7"/>
      <c r="G216" s="7"/>
    </row>
    <row r="217">
      <c r="A217" s="7"/>
      <c r="B217" s="7"/>
      <c r="C217" s="7"/>
      <c r="D217" s="7"/>
      <c r="E217" s="21"/>
      <c r="F217" s="7"/>
      <c r="G217" s="7"/>
    </row>
    <row r="218">
      <c r="A218" s="7"/>
      <c r="B218" s="7"/>
      <c r="C218" s="7"/>
      <c r="D218" s="7"/>
      <c r="E218" s="21"/>
      <c r="F218" s="7"/>
      <c r="G218" s="7"/>
    </row>
    <row r="219">
      <c r="A219" s="7"/>
      <c r="B219" s="7"/>
      <c r="C219" s="7"/>
      <c r="D219" s="7"/>
      <c r="E219" s="21"/>
      <c r="F219" s="7"/>
      <c r="G219" s="7"/>
    </row>
    <row r="220">
      <c r="A220" s="7"/>
      <c r="B220" s="7"/>
      <c r="C220" s="7"/>
      <c r="D220" s="7"/>
      <c r="E220" s="21"/>
      <c r="F220" s="7"/>
      <c r="G220" s="7"/>
    </row>
    <row r="221">
      <c r="A221" s="7"/>
      <c r="B221" s="7"/>
      <c r="C221" s="7"/>
      <c r="D221" s="7"/>
      <c r="E221" s="21"/>
      <c r="F221" s="7"/>
      <c r="G221" s="7"/>
    </row>
    <row r="222">
      <c r="A222" s="7"/>
      <c r="B222" s="7"/>
      <c r="C222" s="7"/>
      <c r="D222" s="7"/>
      <c r="E222" s="21"/>
      <c r="F222" s="7"/>
      <c r="G222" s="7"/>
    </row>
    <row r="223">
      <c r="A223" s="7"/>
      <c r="B223" s="7"/>
      <c r="C223" s="7"/>
      <c r="D223" s="7"/>
      <c r="E223" s="21"/>
      <c r="F223" s="7"/>
      <c r="G223" s="7"/>
    </row>
    <row r="224">
      <c r="A224" s="7"/>
      <c r="B224" s="7"/>
      <c r="C224" s="7"/>
      <c r="D224" s="7"/>
      <c r="E224" s="21"/>
      <c r="F224" s="7"/>
      <c r="G224" s="7"/>
    </row>
    <row r="225">
      <c r="A225" s="7"/>
      <c r="B225" s="7"/>
      <c r="C225" s="7"/>
      <c r="D225" s="7"/>
      <c r="E225" s="21"/>
      <c r="F225" s="7"/>
      <c r="G225" s="7"/>
    </row>
    <row r="226">
      <c r="A226" s="7"/>
      <c r="B226" s="7"/>
      <c r="C226" s="7"/>
      <c r="D226" s="7"/>
      <c r="E226" s="21"/>
      <c r="F226" s="7"/>
      <c r="G226" s="7"/>
    </row>
    <row r="227">
      <c r="A227" s="7"/>
      <c r="B227" s="7"/>
      <c r="C227" s="7"/>
      <c r="D227" s="7"/>
      <c r="E227" s="21"/>
      <c r="F227" s="7"/>
      <c r="G227" s="7"/>
    </row>
    <row r="228">
      <c r="A228" s="7"/>
      <c r="B228" s="7"/>
      <c r="C228" s="7"/>
      <c r="D228" s="7"/>
      <c r="E228" s="21"/>
      <c r="F228" s="7"/>
      <c r="G228" s="7"/>
    </row>
    <row r="229">
      <c r="A229" s="7"/>
      <c r="B229" s="7"/>
      <c r="C229" s="7"/>
      <c r="D229" s="7"/>
      <c r="E229" s="21"/>
      <c r="F229" s="7"/>
      <c r="G229" s="7"/>
    </row>
    <row r="230">
      <c r="A230" s="7"/>
      <c r="B230" s="7"/>
      <c r="C230" s="7"/>
      <c r="D230" s="7"/>
      <c r="E230" s="21"/>
      <c r="F230" s="7"/>
      <c r="G230" s="7"/>
    </row>
    <row r="231">
      <c r="A231" s="7"/>
      <c r="B231" s="7"/>
      <c r="C231" s="7"/>
      <c r="D231" s="7"/>
      <c r="E231" s="21"/>
      <c r="F231" s="7"/>
      <c r="G231" s="7"/>
    </row>
    <row r="232">
      <c r="A232" s="7"/>
      <c r="B232" s="7"/>
      <c r="C232" s="7"/>
      <c r="D232" s="7"/>
      <c r="E232" s="21"/>
      <c r="F232" s="7"/>
      <c r="G232" s="7"/>
    </row>
    <row r="233">
      <c r="A233" s="7"/>
      <c r="B233" s="7"/>
      <c r="C233" s="7"/>
      <c r="D233" s="7"/>
      <c r="E233" s="21"/>
      <c r="F233" s="7"/>
      <c r="G233" s="7"/>
    </row>
    <row r="234">
      <c r="A234" s="7"/>
      <c r="B234" s="7"/>
      <c r="C234" s="7"/>
      <c r="D234" s="7"/>
      <c r="E234" s="21"/>
      <c r="F234" s="7"/>
      <c r="G234" s="7"/>
    </row>
    <row r="235">
      <c r="A235" s="7"/>
      <c r="B235" s="7"/>
      <c r="C235" s="7"/>
      <c r="D235" s="7"/>
      <c r="E235" s="21"/>
      <c r="F235" s="7"/>
      <c r="G235" s="7"/>
    </row>
    <row r="236">
      <c r="A236" s="7"/>
      <c r="B236" s="7"/>
      <c r="C236" s="7"/>
      <c r="D236" s="7"/>
      <c r="E236" s="21"/>
      <c r="F236" s="7"/>
      <c r="G236" s="7"/>
    </row>
    <row r="237">
      <c r="A237" s="7"/>
      <c r="B237" s="7"/>
      <c r="C237" s="7"/>
      <c r="D237" s="7"/>
      <c r="E237" s="21"/>
      <c r="F237" s="7"/>
      <c r="G237" s="7"/>
    </row>
    <row r="238">
      <c r="A238" s="7"/>
      <c r="B238" s="7"/>
      <c r="C238" s="7"/>
      <c r="D238" s="7"/>
      <c r="E238" s="21"/>
      <c r="F238" s="7"/>
      <c r="G238" s="7"/>
    </row>
    <row r="239">
      <c r="A239" s="7"/>
      <c r="B239" s="7"/>
      <c r="C239" s="7"/>
      <c r="D239" s="7"/>
      <c r="E239" s="21"/>
      <c r="F239" s="7"/>
      <c r="G239" s="7"/>
    </row>
    <row r="240">
      <c r="A240" s="7"/>
      <c r="B240" s="7"/>
      <c r="C240" s="7"/>
      <c r="D240" s="7"/>
      <c r="E240" s="21"/>
      <c r="F240" s="7"/>
      <c r="G240" s="7"/>
    </row>
    <row r="241">
      <c r="A241" s="7"/>
      <c r="B241" s="7"/>
      <c r="C241" s="7"/>
      <c r="D241" s="7"/>
      <c r="E241" s="21"/>
      <c r="F241" s="7"/>
      <c r="G241" s="7"/>
    </row>
    <row r="242">
      <c r="A242" s="7"/>
      <c r="B242" s="7"/>
      <c r="C242" s="7"/>
      <c r="D242" s="7"/>
      <c r="E242" s="21"/>
      <c r="F242" s="7"/>
      <c r="G242" s="7"/>
    </row>
    <row r="243">
      <c r="A243" s="7"/>
      <c r="B243" s="7"/>
      <c r="C243" s="7"/>
      <c r="D243" s="7"/>
      <c r="E243" s="21"/>
      <c r="F243" s="7"/>
      <c r="G243" s="7"/>
    </row>
    <row r="244">
      <c r="A244" s="7"/>
      <c r="B244" s="7"/>
      <c r="C244" s="7"/>
      <c r="D244" s="7"/>
      <c r="E244" s="21"/>
      <c r="F244" s="7"/>
      <c r="G244" s="7"/>
    </row>
    <row r="245">
      <c r="A245" s="7"/>
      <c r="B245" s="7"/>
      <c r="C245" s="7"/>
      <c r="D245" s="7"/>
      <c r="E245" s="21"/>
      <c r="F245" s="7"/>
      <c r="G245" s="7"/>
    </row>
    <row r="246">
      <c r="A246" s="7"/>
      <c r="B246" s="7"/>
      <c r="C246" s="7"/>
      <c r="D246" s="7"/>
      <c r="E246" s="21"/>
      <c r="F246" s="7"/>
      <c r="G246" s="7"/>
    </row>
    <row r="247">
      <c r="A247" s="7"/>
      <c r="B247" s="7"/>
      <c r="C247" s="7"/>
      <c r="D247" s="7"/>
      <c r="E247" s="21"/>
      <c r="F247" s="7"/>
      <c r="G247" s="7"/>
    </row>
    <row r="248">
      <c r="A248" s="7"/>
      <c r="B248" s="7"/>
      <c r="C248" s="7"/>
      <c r="D248" s="7"/>
      <c r="E248" s="21"/>
      <c r="F248" s="7"/>
      <c r="G248" s="7"/>
    </row>
    <row r="249">
      <c r="A249" s="7"/>
      <c r="B249" s="7"/>
      <c r="C249" s="7"/>
      <c r="D249" s="7"/>
      <c r="E249" s="21"/>
      <c r="F249" s="7"/>
      <c r="G249" s="7"/>
    </row>
    <row r="250">
      <c r="A250" s="7"/>
      <c r="B250" s="7"/>
      <c r="C250" s="7"/>
      <c r="D250" s="7"/>
      <c r="E250" s="21"/>
      <c r="F250" s="7"/>
      <c r="G250" s="7"/>
    </row>
    <row r="251">
      <c r="A251" s="7"/>
      <c r="B251" s="7"/>
      <c r="C251" s="7"/>
      <c r="D251" s="7"/>
      <c r="E251" s="21"/>
      <c r="F251" s="7"/>
      <c r="G251" s="7"/>
    </row>
    <row r="252">
      <c r="A252" s="7"/>
      <c r="B252" s="7"/>
      <c r="C252" s="7"/>
      <c r="D252" s="7"/>
      <c r="E252" s="21"/>
      <c r="F252" s="7"/>
      <c r="G252" s="7"/>
    </row>
    <row r="253">
      <c r="A253" s="7"/>
      <c r="B253" s="7"/>
      <c r="C253" s="7"/>
      <c r="D253" s="7"/>
      <c r="E253" s="21"/>
      <c r="F253" s="7"/>
      <c r="G253" s="7"/>
    </row>
    <row r="254">
      <c r="A254" s="7"/>
      <c r="B254" s="7"/>
      <c r="C254" s="7"/>
      <c r="D254" s="7"/>
      <c r="E254" s="21"/>
      <c r="F254" s="7"/>
      <c r="G254" s="7"/>
    </row>
    <row r="255">
      <c r="A255" s="7"/>
      <c r="B255" s="7"/>
      <c r="C255" s="7"/>
      <c r="D255" s="7"/>
      <c r="E255" s="21"/>
      <c r="F255" s="7"/>
      <c r="G255" s="7"/>
    </row>
    <row r="256">
      <c r="A256" s="7"/>
      <c r="B256" s="7"/>
      <c r="C256" s="7"/>
      <c r="D256" s="7"/>
      <c r="E256" s="21"/>
      <c r="F256" s="7"/>
      <c r="G256" s="7"/>
    </row>
    <row r="257">
      <c r="A257" s="7"/>
      <c r="B257" s="7"/>
      <c r="C257" s="7"/>
      <c r="D257" s="7"/>
      <c r="E257" s="21"/>
      <c r="F257" s="7"/>
      <c r="G257" s="7"/>
    </row>
    <row r="258">
      <c r="A258" s="7"/>
      <c r="B258" s="7"/>
      <c r="C258" s="7"/>
      <c r="D258" s="7"/>
      <c r="E258" s="21"/>
      <c r="F258" s="7"/>
      <c r="G258" s="7"/>
    </row>
    <row r="259">
      <c r="A259" s="7"/>
      <c r="B259" s="7"/>
      <c r="C259" s="7"/>
      <c r="D259" s="7"/>
      <c r="E259" s="21"/>
      <c r="F259" s="7"/>
      <c r="G259" s="7"/>
    </row>
    <row r="260">
      <c r="A260" s="7"/>
      <c r="B260" s="7"/>
      <c r="C260" s="7"/>
      <c r="D260" s="7"/>
      <c r="E260" s="21"/>
      <c r="F260" s="7"/>
      <c r="G260" s="7"/>
    </row>
    <row r="261">
      <c r="A261" s="7"/>
      <c r="B261" s="7"/>
      <c r="C261" s="7"/>
      <c r="D261" s="7"/>
      <c r="E261" s="21"/>
      <c r="F261" s="7"/>
      <c r="G261" s="7"/>
    </row>
    <row r="262">
      <c r="A262" s="7"/>
      <c r="B262" s="7"/>
      <c r="C262" s="7"/>
      <c r="D262" s="7"/>
      <c r="E262" s="21"/>
      <c r="F262" s="7"/>
      <c r="G262" s="7"/>
    </row>
    <row r="263">
      <c r="A263" s="7"/>
      <c r="B263" s="7"/>
      <c r="C263" s="7"/>
      <c r="D263" s="7"/>
      <c r="E263" s="21"/>
      <c r="F263" s="7"/>
      <c r="G263" s="7"/>
    </row>
    <row r="264">
      <c r="A264" s="7"/>
      <c r="B264" s="7"/>
      <c r="C264" s="7"/>
      <c r="D264" s="7"/>
      <c r="E264" s="21"/>
      <c r="F264" s="7"/>
      <c r="G264" s="7"/>
    </row>
    <row r="265">
      <c r="A265" s="7"/>
      <c r="B265" s="7"/>
      <c r="C265" s="7"/>
      <c r="D265" s="7"/>
      <c r="E265" s="21"/>
      <c r="F265" s="7"/>
      <c r="G265" s="7"/>
    </row>
    <row r="266">
      <c r="A266" s="7"/>
      <c r="B266" s="7"/>
      <c r="C266" s="7"/>
      <c r="D266" s="7"/>
      <c r="E266" s="21"/>
      <c r="F266" s="7"/>
      <c r="G266" s="7"/>
    </row>
    <row r="267">
      <c r="A267" s="7"/>
      <c r="B267" s="7"/>
      <c r="C267" s="7"/>
      <c r="D267" s="7"/>
      <c r="E267" s="21"/>
      <c r="F267" s="7"/>
      <c r="G267" s="7"/>
    </row>
    <row r="268">
      <c r="A268" s="7"/>
      <c r="B268" s="7"/>
      <c r="C268" s="7"/>
      <c r="D268" s="7"/>
      <c r="E268" s="21"/>
      <c r="F268" s="7"/>
      <c r="G268" s="7"/>
    </row>
    <row r="269">
      <c r="A269" s="7"/>
      <c r="B269" s="7"/>
      <c r="C269" s="7"/>
      <c r="D269" s="7"/>
      <c r="E269" s="21"/>
      <c r="F269" s="7"/>
      <c r="G269" s="7"/>
    </row>
    <row r="270">
      <c r="A270" s="7"/>
      <c r="B270" s="7"/>
      <c r="C270" s="7"/>
      <c r="D270" s="7"/>
      <c r="E270" s="21"/>
      <c r="F270" s="7"/>
      <c r="G270" s="7"/>
    </row>
    <row r="271">
      <c r="A271" s="7"/>
      <c r="B271" s="7"/>
      <c r="C271" s="7"/>
      <c r="D271" s="7"/>
      <c r="E271" s="21"/>
      <c r="F271" s="7"/>
      <c r="G271" s="7"/>
    </row>
    <row r="272">
      <c r="A272" s="7"/>
      <c r="B272" s="7"/>
      <c r="C272" s="7"/>
      <c r="D272" s="7"/>
      <c r="E272" s="21"/>
      <c r="F272" s="7"/>
      <c r="G272" s="7"/>
    </row>
    <row r="273">
      <c r="A273" s="7"/>
      <c r="B273" s="7"/>
      <c r="C273" s="7"/>
      <c r="D273" s="7"/>
      <c r="E273" s="21"/>
      <c r="F273" s="7"/>
      <c r="G273" s="7"/>
    </row>
    <row r="274">
      <c r="A274" s="7"/>
      <c r="B274" s="7"/>
      <c r="C274" s="7"/>
      <c r="D274" s="7"/>
      <c r="E274" s="21"/>
      <c r="F274" s="7"/>
      <c r="G274" s="7"/>
    </row>
    <row r="275">
      <c r="A275" s="7"/>
      <c r="B275" s="7"/>
      <c r="C275" s="7"/>
      <c r="D275" s="7"/>
      <c r="E275" s="21"/>
      <c r="F275" s="7"/>
      <c r="G275" s="7"/>
    </row>
    <row r="276">
      <c r="A276" s="7"/>
      <c r="B276" s="7"/>
      <c r="C276" s="7"/>
      <c r="D276" s="7"/>
      <c r="E276" s="21"/>
      <c r="F276" s="7"/>
      <c r="G276" s="7"/>
    </row>
    <row r="277">
      <c r="A277" s="7"/>
      <c r="B277" s="7"/>
      <c r="C277" s="7"/>
      <c r="D277" s="7"/>
      <c r="E277" s="21"/>
      <c r="F277" s="7"/>
      <c r="G277" s="7"/>
    </row>
    <row r="278">
      <c r="A278" s="7"/>
      <c r="B278" s="7"/>
      <c r="C278" s="7"/>
      <c r="D278" s="7"/>
      <c r="E278" s="21"/>
      <c r="F278" s="7"/>
      <c r="G278" s="7"/>
    </row>
    <row r="279">
      <c r="A279" s="7"/>
      <c r="B279" s="7"/>
      <c r="C279" s="7"/>
      <c r="D279" s="7"/>
      <c r="E279" s="21"/>
      <c r="F279" s="7"/>
      <c r="G279" s="7"/>
    </row>
    <row r="280">
      <c r="A280" s="7"/>
      <c r="B280" s="7"/>
      <c r="C280" s="7"/>
      <c r="D280" s="7"/>
      <c r="E280" s="21"/>
      <c r="F280" s="7"/>
      <c r="G280" s="7"/>
    </row>
    <row r="281">
      <c r="A281" s="7"/>
      <c r="B281" s="7"/>
      <c r="C281" s="7"/>
      <c r="D281" s="7"/>
      <c r="E281" s="21"/>
      <c r="F281" s="7"/>
      <c r="G281" s="7"/>
    </row>
    <row r="282">
      <c r="A282" s="7"/>
      <c r="B282" s="7"/>
      <c r="C282" s="7"/>
      <c r="D282" s="7"/>
      <c r="E282" s="21"/>
      <c r="F282" s="7"/>
      <c r="G282" s="7"/>
    </row>
    <row r="283">
      <c r="A283" s="7"/>
      <c r="B283" s="7"/>
      <c r="C283" s="7"/>
      <c r="D283" s="7"/>
      <c r="E283" s="21"/>
      <c r="F283" s="7"/>
      <c r="G283" s="7"/>
    </row>
    <row r="284">
      <c r="A284" s="7"/>
      <c r="B284" s="7"/>
      <c r="C284" s="7"/>
      <c r="D284" s="7"/>
      <c r="E284" s="21"/>
      <c r="F284" s="7"/>
      <c r="G284" s="7"/>
    </row>
    <row r="285">
      <c r="A285" s="7"/>
      <c r="B285" s="7"/>
      <c r="C285" s="7"/>
      <c r="D285" s="7"/>
      <c r="E285" s="21"/>
      <c r="F285" s="7"/>
      <c r="G285" s="7"/>
    </row>
    <row r="286">
      <c r="A286" s="7"/>
      <c r="B286" s="7"/>
      <c r="C286" s="7"/>
      <c r="D286" s="7"/>
      <c r="E286" s="21"/>
      <c r="F286" s="7"/>
      <c r="G286" s="7"/>
    </row>
    <row r="287">
      <c r="A287" s="7"/>
      <c r="B287" s="7"/>
      <c r="C287" s="7"/>
      <c r="D287" s="7"/>
      <c r="E287" s="21"/>
      <c r="F287" s="7"/>
      <c r="G287" s="7"/>
    </row>
    <row r="288">
      <c r="A288" s="7"/>
      <c r="B288" s="7"/>
      <c r="C288" s="7"/>
      <c r="D288" s="7"/>
      <c r="E288" s="21"/>
      <c r="F288" s="7"/>
      <c r="G288" s="7"/>
    </row>
    <row r="289">
      <c r="A289" s="7"/>
      <c r="B289" s="7"/>
      <c r="C289" s="7"/>
      <c r="D289" s="7"/>
      <c r="E289" s="21"/>
      <c r="F289" s="7"/>
      <c r="G289" s="7"/>
    </row>
    <row r="290">
      <c r="A290" s="7"/>
      <c r="B290" s="7"/>
      <c r="C290" s="7"/>
      <c r="D290" s="7"/>
      <c r="E290" s="21"/>
      <c r="F290" s="7"/>
      <c r="G290" s="7"/>
    </row>
    <row r="291">
      <c r="A291" s="7"/>
      <c r="B291" s="7"/>
      <c r="C291" s="7"/>
      <c r="D291" s="7"/>
      <c r="E291" s="21"/>
      <c r="F291" s="7"/>
      <c r="G291" s="7"/>
    </row>
    <row r="292">
      <c r="A292" s="7"/>
      <c r="B292" s="7"/>
      <c r="C292" s="7"/>
      <c r="D292" s="7"/>
      <c r="E292" s="21"/>
      <c r="F292" s="7"/>
      <c r="G292" s="7"/>
    </row>
    <row r="293">
      <c r="A293" s="7"/>
      <c r="B293" s="7"/>
      <c r="C293" s="7"/>
      <c r="D293" s="7"/>
      <c r="E293" s="21"/>
      <c r="F293" s="7"/>
      <c r="G293" s="7"/>
    </row>
    <row r="294">
      <c r="A294" s="7"/>
      <c r="B294" s="7"/>
      <c r="C294" s="7"/>
      <c r="D294" s="7"/>
      <c r="E294" s="21"/>
      <c r="F294" s="7"/>
      <c r="G294" s="7"/>
    </row>
    <row r="295">
      <c r="A295" s="7"/>
      <c r="B295" s="7"/>
      <c r="C295" s="7"/>
      <c r="D295" s="7"/>
      <c r="E295" s="21"/>
      <c r="F295" s="7"/>
      <c r="G295" s="7"/>
    </row>
    <row r="296">
      <c r="A296" s="7"/>
      <c r="B296" s="7"/>
      <c r="C296" s="7"/>
      <c r="D296" s="7"/>
      <c r="E296" s="21"/>
      <c r="F296" s="7"/>
      <c r="G296" s="7"/>
    </row>
    <row r="297">
      <c r="A297" s="7"/>
      <c r="B297" s="7"/>
      <c r="C297" s="7"/>
      <c r="D297" s="7"/>
      <c r="E297" s="21"/>
      <c r="F297" s="7"/>
      <c r="G297" s="7"/>
    </row>
    <row r="298">
      <c r="A298" s="7"/>
      <c r="B298" s="7"/>
      <c r="C298" s="7"/>
      <c r="D298" s="7"/>
      <c r="E298" s="21"/>
      <c r="F298" s="7"/>
      <c r="G298" s="7"/>
    </row>
    <row r="299">
      <c r="A299" s="7"/>
      <c r="B299" s="7"/>
      <c r="C299" s="7"/>
      <c r="D299" s="7"/>
      <c r="E299" s="21"/>
      <c r="F299" s="7"/>
      <c r="G299" s="7"/>
    </row>
    <row r="300">
      <c r="A300" s="7"/>
      <c r="B300" s="7"/>
      <c r="C300" s="7"/>
      <c r="D300" s="7"/>
      <c r="E300" s="21"/>
      <c r="F300" s="7"/>
      <c r="G300" s="7"/>
    </row>
    <row r="301">
      <c r="A301" s="7"/>
      <c r="B301" s="7"/>
      <c r="C301" s="7"/>
      <c r="D301" s="7"/>
      <c r="E301" s="21"/>
      <c r="F301" s="7"/>
      <c r="G301" s="7"/>
    </row>
    <row r="302">
      <c r="A302" s="7"/>
      <c r="B302" s="7"/>
      <c r="C302" s="7"/>
      <c r="D302" s="7"/>
      <c r="E302" s="21"/>
      <c r="F302" s="7"/>
      <c r="G302" s="7"/>
    </row>
    <row r="303">
      <c r="A303" s="7"/>
      <c r="B303" s="7"/>
      <c r="C303" s="7"/>
      <c r="D303" s="7"/>
      <c r="E303" s="21"/>
      <c r="F303" s="7"/>
      <c r="G303" s="7"/>
    </row>
    <row r="304">
      <c r="A304" s="7"/>
      <c r="B304" s="7"/>
      <c r="C304" s="7"/>
      <c r="D304" s="7"/>
      <c r="E304" s="21"/>
      <c r="F304" s="7"/>
      <c r="G304" s="7"/>
    </row>
    <row r="305">
      <c r="A305" s="7"/>
      <c r="B305" s="7"/>
      <c r="C305" s="7"/>
      <c r="D305" s="7"/>
      <c r="E305" s="21"/>
      <c r="F305" s="7"/>
      <c r="G305" s="7"/>
    </row>
    <row r="306">
      <c r="A306" s="7"/>
      <c r="B306" s="7"/>
      <c r="C306" s="7"/>
      <c r="D306" s="7"/>
      <c r="E306" s="21"/>
      <c r="F306" s="7"/>
      <c r="G306" s="7"/>
    </row>
    <row r="307">
      <c r="A307" s="7"/>
      <c r="B307" s="7"/>
      <c r="C307" s="7"/>
      <c r="D307" s="7"/>
      <c r="E307" s="21"/>
      <c r="F307" s="7"/>
      <c r="G307" s="7"/>
    </row>
    <row r="308">
      <c r="A308" s="7"/>
      <c r="B308" s="7"/>
      <c r="C308" s="7"/>
      <c r="D308" s="7"/>
      <c r="E308" s="21"/>
      <c r="F308" s="7"/>
      <c r="G308" s="7"/>
    </row>
    <row r="309">
      <c r="A309" s="7"/>
      <c r="B309" s="7"/>
      <c r="C309" s="7"/>
      <c r="D309" s="7"/>
      <c r="E309" s="21"/>
      <c r="F309" s="7"/>
      <c r="G309" s="7"/>
    </row>
    <row r="310">
      <c r="A310" s="7"/>
      <c r="B310" s="7"/>
      <c r="C310" s="7"/>
      <c r="D310" s="7"/>
      <c r="E310" s="21"/>
      <c r="F310" s="7"/>
      <c r="G310" s="7"/>
    </row>
    <row r="311">
      <c r="A311" s="7"/>
      <c r="B311" s="7"/>
      <c r="C311" s="7"/>
      <c r="D311" s="7"/>
      <c r="E311" s="21"/>
      <c r="F311" s="7"/>
      <c r="G311" s="7"/>
    </row>
    <row r="312">
      <c r="A312" s="7"/>
      <c r="B312" s="7"/>
      <c r="C312" s="7"/>
      <c r="D312" s="7"/>
      <c r="E312" s="21"/>
      <c r="F312" s="7"/>
      <c r="G312" s="7"/>
    </row>
    <row r="313">
      <c r="A313" s="7"/>
      <c r="B313" s="7"/>
      <c r="C313" s="7"/>
      <c r="D313" s="7"/>
      <c r="E313" s="21"/>
      <c r="F313" s="7"/>
      <c r="G313" s="7"/>
    </row>
    <row r="314">
      <c r="A314" s="7"/>
      <c r="B314" s="7"/>
      <c r="C314" s="7"/>
      <c r="D314" s="7"/>
      <c r="E314" s="21"/>
      <c r="F314" s="7"/>
      <c r="G314" s="7"/>
    </row>
    <row r="315">
      <c r="A315" s="7"/>
      <c r="B315" s="7"/>
      <c r="C315" s="7"/>
      <c r="D315" s="7"/>
      <c r="E315" s="21"/>
      <c r="F315" s="7"/>
      <c r="G315" s="7"/>
    </row>
    <row r="316">
      <c r="A316" s="7"/>
      <c r="B316" s="7"/>
      <c r="C316" s="7"/>
      <c r="D316" s="7"/>
      <c r="E316" s="21"/>
      <c r="F316" s="7"/>
      <c r="G316" s="7"/>
    </row>
    <row r="317">
      <c r="A317" s="7"/>
      <c r="B317" s="7"/>
      <c r="C317" s="7"/>
      <c r="D317" s="7"/>
      <c r="E317" s="21"/>
      <c r="F317" s="7"/>
      <c r="G317" s="7"/>
    </row>
    <row r="318">
      <c r="A318" s="7"/>
      <c r="B318" s="7"/>
      <c r="C318" s="7"/>
      <c r="D318" s="7"/>
      <c r="E318" s="21"/>
      <c r="F318" s="7"/>
      <c r="G318" s="7"/>
    </row>
    <row r="319">
      <c r="A319" s="7"/>
      <c r="B319" s="7"/>
      <c r="C319" s="7"/>
      <c r="D319" s="7"/>
      <c r="E319" s="21"/>
      <c r="F319" s="7"/>
      <c r="G319" s="7"/>
    </row>
    <row r="320">
      <c r="A320" s="7"/>
      <c r="B320" s="7"/>
      <c r="C320" s="7"/>
      <c r="D320" s="7"/>
      <c r="E320" s="21"/>
      <c r="F320" s="7"/>
      <c r="G320" s="7"/>
    </row>
    <row r="321">
      <c r="A321" s="7"/>
      <c r="B321" s="7"/>
      <c r="C321" s="7"/>
      <c r="D321" s="7"/>
      <c r="E321" s="21"/>
      <c r="F321" s="7"/>
      <c r="G321" s="7"/>
    </row>
    <row r="322">
      <c r="A322" s="7"/>
      <c r="B322" s="7"/>
      <c r="C322" s="7"/>
      <c r="D322" s="7"/>
      <c r="E322" s="21"/>
      <c r="F322" s="7"/>
      <c r="G322" s="7"/>
    </row>
    <row r="323">
      <c r="A323" s="7"/>
      <c r="B323" s="7"/>
      <c r="C323" s="7"/>
      <c r="D323" s="7"/>
      <c r="E323" s="21"/>
      <c r="F323" s="7"/>
      <c r="G323" s="7"/>
    </row>
    <row r="324">
      <c r="A324" s="7"/>
      <c r="B324" s="7"/>
      <c r="C324" s="7"/>
      <c r="D324" s="7"/>
      <c r="E324" s="21"/>
      <c r="F324" s="7"/>
      <c r="G324" s="7"/>
    </row>
    <row r="325">
      <c r="A325" s="7"/>
      <c r="B325" s="7"/>
      <c r="C325" s="7"/>
      <c r="D325" s="7"/>
      <c r="E325" s="21"/>
      <c r="F325" s="7"/>
      <c r="G325" s="7"/>
    </row>
    <row r="326">
      <c r="A326" s="7"/>
      <c r="B326" s="7"/>
      <c r="C326" s="7"/>
      <c r="D326" s="7"/>
      <c r="E326" s="21"/>
      <c r="F326" s="7"/>
      <c r="G326" s="7"/>
    </row>
    <row r="327">
      <c r="A327" s="7"/>
      <c r="B327" s="7"/>
      <c r="C327" s="7"/>
      <c r="D327" s="7"/>
      <c r="E327" s="21"/>
      <c r="F327" s="7"/>
      <c r="G327" s="7"/>
    </row>
    <row r="328">
      <c r="A328" s="7"/>
      <c r="B328" s="7"/>
      <c r="C328" s="7"/>
      <c r="D328" s="7"/>
      <c r="E328" s="21"/>
      <c r="F328" s="7"/>
      <c r="G328" s="7"/>
    </row>
    <row r="329">
      <c r="A329" s="7"/>
      <c r="B329" s="7"/>
      <c r="C329" s="7"/>
      <c r="D329" s="7"/>
      <c r="E329" s="21"/>
      <c r="F329" s="7"/>
      <c r="G329" s="7"/>
    </row>
    <row r="330">
      <c r="A330" s="7"/>
      <c r="B330" s="7"/>
      <c r="C330" s="7"/>
      <c r="D330" s="7"/>
      <c r="E330" s="21"/>
      <c r="F330" s="7"/>
      <c r="G330" s="7"/>
    </row>
    <row r="331">
      <c r="A331" s="7"/>
      <c r="B331" s="7"/>
      <c r="C331" s="7"/>
      <c r="D331" s="7"/>
      <c r="E331" s="21"/>
      <c r="F331" s="7"/>
      <c r="G331" s="7"/>
    </row>
    <row r="332">
      <c r="A332" s="7"/>
      <c r="B332" s="7"/>
      <c r="C332" s="7"/>
      <c r="D332" s="7"/>
      <c r="E332" s="21"/>
      <c r="F332" s="7"/>
      <c r="G332" s="7"/>
    </row>
    <row r="333">
      <c r="A333" s="7"/>
      <c r="B333" s="7"/>
      <c r="C333" s="7"/>
      <c r="D333" s="7"/>
      <c r="E333" s="21"/>
      <c r="F333" s="7"/>
      <c r="G333" s="7"/>
    </row>
    <row r="334">
      <c r="A334" s="7"/>
      <c r="B334" s="7"/>
      <c r="C334" s="7"/>
      <c r="D334" s="7"/>
      <c r="E334" s="21"/>
      <c r="F334" s="7"/>
      <c r="G334" s="7"/>
    </row>
    <row r="335">
      <c r="A335" s="7"/>
      <c r="B335" s="7"/>
      <c r="C335" s="7"/>
      <c r="D335" s="7"/>
      <c r="E335" s="21"/>
      <c r="F335" s="7"/>
      <c r="G335" s="7"/>
    </row>
    <row r="336">
      <c r="A336" s="7"/>
      <c r="B336" s="7"/>
      <c r="C336" s="7"/>
      <c r="D336" s="7"/>
      <c r="E336" s="21"/>
      <c r="F336" s="7"/>
      <c r="G336" s="7"/>
    </row>
    <row r="337">
      <c r="A337" s="7"/>
      <c r="B337" s="7"/>
      <c r="C337" s="7"/>
      <c r="D337" s="7"/>
      <c r="E337" s="21"/>
      <c r="F337" s="7"/>
      <c r="G337" s="7"/>
    </row>
    <row r="338">
      <c r="A338" s="7"/>
      <c r="B338" s="7"/>
      <c r="C338" s="7"/>
      <c r="D338" s="7"/>
      <c r="E338" s="21"/>
      <c r="F338" s="7"/>
      <c r="G338" s="7"/>
    </row>
    <row r="339">
      <c r="A339" s="7"/>
      <c r="B339" s="7"/>
      <c r="C339" s="7"/>
      <c r="D339" s="7"/>
      <c r="E339" s="21"/>
      <c r="F339" s="7"/>
      <c r="G339" s="7"/>
    </row>
    <row r="340">
      <c r="A340" s="7"/>
      <c r="B340" s="7"/>
      <c r="C340" s="7"/>
      <c r="D340" s="7"/>
      <c r="E340" s="21"/>
      <c r="F340" s="7"/>
      <c r="G340" s="7"/>
    </row>
    <row r="341">
      <c r="A341" s="7"/>
      <c r="B341" s="7"/>
      <c r="C341" s="7"/>
      <c r="D341" s="7"/>
      <c r="E341" s="21"/>
      <c r="F341" s="7"/>
      <c r="G341" s="7"/>
    </row>
    <row r="342">
      <c r="A342" s="7"/>
      <c r="B342" s="7"/>
      <c r="C342" s="7"/>
      <c r="D342" s="7"/>
      <c r="E342" s="21"/>
      <c r="F342" s="7"/>
      <c r="G342" s="7"/>
    </row>
    <row r="343">
      <c r="A343" s="7"/>
      <c r="B343" s="7"/>
      <c r="C343" s="7"/>
      <c r="D343" s="7"/>
      <c r="E343" s="21"/>
      <c r="F343" s="7"/>
      <c r="G343" s="7"/>
    </row>
    <row r="344">
      <c r="A344" s="7"/>
      <c r="B344" s="7"/>
      <c r="C344" s="7"/>
      <c r="D344" s="7"/>
      <c r="E344" s="21"/>
      <c r="F344" s="7"/>
      <c r="G344" s="7"/>
    </row>
    <row r="345">
      <c r="A345" s="7"/>
      <c r="B345" s="7"/>
      <c r="C345" s="7"/>
      <c r="D345" s="7"/>
      <c r="E345" s="21"/>
      <c r="F345" s="7"/>
      <c r="G345" s="7"/>
    </row>
    <row r="346">
      <c r="A346" s="7"/>
      <c r="B346" s="7"/>
      <c r="C346" s="7"/>
      <c r="D346" s="7"/>
      <c r="E346" s="21"/>
      <c r="F346" s="7"/>
      <c r="G346" s="7"/>
    </row>
    <row r="347">
      <c r="A347" s="7"/>
      <c r="B347" s="7"/>
      <c r="C347" s="7"/>
      <c r="D347" s="7"/>
      <c r="E347" s="21"/>
      <c r="F347" s="7"/>
      <c r="G347" s="7"/>
    </row>
    <row r="348">
      <c r="A348" s="7"/>
      <c r="B348" s="7"/>
      <c r="C348" s="7"/>
      <c r="D348" s="7"/>
      <c r="E348" s="21"/>
      <c r="F348" s="7"/>
      <c r="G348" s="7"/>
    </row>
    <row r="349">
      <c r="A349" s="7"/>
      <c r="B349" s="7"/>
      <c r="C349" s="7"/>
      <c r="D349" s="7"/>
      <c r="E349" s="21"/>
      <c r="F349" s="7"/>
      <c r="G349" s="7"/>
    </row>
    <row r="350">
      <c r="A350" s="7"/>
      <c r="B350" s="7"/>
      <c r="C350" s="7"/>
      <c r="D350" s="7"/>
      <c r="E350" s="21"/>
      <c r="F350" s="7"/>
      <c r="G350" s="7"/>
    </row>
    <row r="351">
      <c r="A351" s="7"/>
      <c r="B351" s="7"/>
      <c r="C351" s="7"/>
      <c r="D351" s="7"/>
      <c r="E351" s="21"/>
      <c r="F351" s="7"/>
      <c r="G351" s="7"/>
    </row>
    <row r="352">
      <c r="A352" s="7"/>
      <c r="B352" s="7"/>
      <c r="C352" s="7"/>
      <c r="D352" s="7"/>
      <c r="E352" s="21"/>
      <c r="F352" s="7"/>
      <c r="G352" s="7"/>
    </row>
    <row r="353">
      <c r="A353" s="7"/>
      <c r="B353" s="7"/>
      <c r="C353" s="7"/>
      <c r="D353" s="7"/>
      <c r="E353" s="21"/>
      <c r="F353" s="7"/>
      <c r="G353" s="7"/>
    </row>
    <row r="354">
      <c r="A354" s="7"/>
      <c r="B354" s="7"/>
      <c r="C354" s="7"/>
      <c r="D354" s="7"/>
      <c r="E354" s="21"/>
      <c r="F354" s="7"/>
      <c r="G354" s="7"/>
    </row>
    <row r="355">
      <c r="A355" s="7"/>
      <c r="B355" s="7"/>
      <c r="C355" s="7"/>
      <c r="D355" s="7"/>
      <c r="E355" s="21"/>
      <c r="F355" s="7"/>
      <c r="G355" s="7"/>
    </row>
    <row r="356">
      <c r="A356" s="7"/>
      <c r="B356" s="7"/>
      <c r="C356" s="7"/>
      <c r="D356" s="7"/>
      <c r="E356" s="21"/>
      <c r="F356" s="7"/>
      <c r="G356" s="7"/>
    </row>
    <row r="357">
      <c r="A357" s="7"/>
      <c r="B357" s="7"/>
      <c r="C357" s="7"/>
      <c r="D357" s="7"/>
      <c r="E357" s="21"/>
      <c r="F357" s="7"/>
      <c r="G357" s="7"/>
    </row>
    <row r="358">
      <c r="A358" s="7"/>
      <c r="B358" s="7"/>
      <c r="C358" s="7"/>
      <c r="D358" s="7"/>
      <c r="E358" s="21"/>
      <c r="F358" s="7"/>
      <c r="G358" s="7"/>
    </row>
    <row r="359">
      <c r="A359" s="7"/>
      <c r="B359" s="7"/>
      <c r="C359" s="7"/>
      <c r="D359" s="7"/>
      <c r="E359" s="21"/>
      <c r="F359" s="7"/>
      <c r="G359" s="7"/>
    </row>
    <row r="360">
      <c r="A360" s="7"/>
      <c r="B360" s="7"/>
      <c r="C360" s="7"/>
      <c r="D360" s="7"/>
      <c r="E360" s="21"/>
      <c r="F360" s="7"/>
      <c r="G360" s="7"/>
    </row>
    <row r="361">
      <c r="A361" s="7"/>
      <c r="B361" s="7"/>
      <c r="C361" s="7"/>
      <c r="D361" s="7"/>
      <c r="E361" s="21"/>
      <c r="F361" s="7"/>
      <c r="G361" s="7"/>
    </row>
    <row r="362">
      <c r="A362" s="7"/>
      <c r="B362" s="7"/>
      <c r="C362" s="7"/>
      <c r="D362" s="7"/>
      <c r="E362" s="21"/>
      <c r="F362" s="7"/>
      <c r="G362" s="7"/>
    </row>
    <row r="363">
      <c r="A363" s="7"/>
      <c r="B363" s="7"/>
      <c r="C363" s="7"/>
      <c r="D363" s="7"/>
      <c r="E363" s="21"/>
      <c r="F363" s="7"/>
      <c r="G363" s="7"/>
    </row>
    <row r="364">
      <c r="A364" s="7"/>
      <c r="B364" s="7"/>
      <c r="C364" s="7"/>
      <c r="D364" s="7"/>
      <c r="E364" s="21"/>
      <c r="F364" s="7"/>
      <c r="G364" s="7"/>
    </row>
    <row r="365">
      <c r="A365" s="7"/>
      <c r="B365" s="7"/>
      <c r="C365" s="7"/>
      <c r="D365" s="7"/>
      <c r="E365" s="21"/>
      <c r="F365" s="7"/>
      <c r="G365" s="7"/>
    </row>
    <row r="366">
      <c r="A366" s="7"/>
      <c r="B366" s="7"/>
      <c r="C366" s="7"/>
      <c r="D366" s="7"/>
      <c r="E366" s="21"/>
      <c r="F366" s="7"/>
      <c r="G366" s="7"/>
    </row>
    <row r="367">
      <c r="A367" s="7"/>
      <c r="B367" s="7"/>
      <c r="C367" s="7"/>
      <c r="D367" s="7"/>
      <c r="E367" s="21"/>
      <c r="F367" s="7"/>
      <c r="G367" s="7"/>
    </row>
    <row r="368">
      <c r="A368" s="7"/>
      <c r="B368" s="7"/>
      <c r="C368" s="7"/>
      <c r="D368" s="7"/>
      <c r="E368" s="21"/>
      <c r="F368" s="7"/>
      <c r="G368" s="7"/>
    </row>
    <row r="369">
      <c r="A369" s="7"/>
      <c r="B369" s="7"/>
      <c r="C369" s="7"/>
      <c r="D369" s="7"/>
      <c r="E369" s="21"/>
      <c r="F369" s="7"/>
      <c r="G369" s="7"/>
    </row>
    <row r="370">
      <c r="A370" s="7"/>
      <c r="B370" s="7"/>
      <c r="C370" s="7"/>
      <c r="D370" s="7"/>
      <c r="E370" s="21"/>
      <c r="F370" s="7"/>
      <c r="G370" s="7"/>
    </row>
    <row r="371">
      <c r="A371" s="7"/>
      <c r="B371" s="7"/>
      <c r="C371" s="7"/>
      <c r="D371" s="7"/>
      <c r="E371" s="21"/>
      <c r="F371" s="7"/>
      <c r="G371" s="7"/>
    </row>
    <row r="372">
      <c r="A372" s="7"/>
      <c r="B372" s="7"/>
      <c r="C372" s="7"/>
      <c r="D372" s="7"/>
      <c r="E372" s="21"/>
      <c r="F372" s="7"/>
      <c r="G372" s="7"/>
    </row>
    <row r="373">
      <c r="A373" s="7"/>
      <c r="B373" s="7"/>
      <c r="C373" s="7"/>
      <c r="D373" s="7"/>
      <c r="E373" s="21"/>
      <c r="F373" s="7"/>
      <c r="G373" s="7"/>
    </row>
    <row r="374">
      <c r="A374" s="7"/>
      <c r="B374" s="7"/>
      <c r="C374" s="7"/>
      <c r="D374" s="7"/>
      <c r="E374" s="21"/>
      <c r="F374" s="7"/>
      <c r="G374" s="7"/>
    </row>
    <row r="375">
      <c r="A375" s="7"/>
      <c r="B375" s="7"/>
      <c r="C375" s="7"/>
      <c r="D375" s="7"/>
      <c r="E375" s="21"/>
      <c r="F375" s="7"/>
      <c r="G375" s="7"/>
    </row>
    <row r="376">
      <c r="A376" s="7"/>
      <c r="B376" s="7"/>
      <c r="C376" s="7"/>
      <c r="D376" s="7"/>
      <c r="E376" s="21"/>
      <c r="F376" s="7"/>
      <c r="G376" s="7"/>
    </row>
    <row r="377">
      <c r="A377" s="7"/>
      <c r="B377" s="7"/>
      <c r="C377" s="7"/>
      <c r="D377" s="7"/>
      <c r="E377" s="21"/>
      <c r="F377" s="7"/>
      <c r="G377" s="7"/>
    </row>
    <row r="378">
      <c r="A378" s="7"/>
      <c r="B378" s="7"/>
      <c r="C378" s="7"/>
      <c r="D378" s="7"/>
      <c r="E378" s="21"/>
      <c r="F378" s="7"/>
      <c r="G378" s="7"/>
    </row>
    <row r="379">
      <c r="A379" s="7"/>
      <c r="B379" s="7"/>
      <c r="C379" s="7"/>
      <c r="D379" s="7"/>
      <c r="E379" s="21"/>
      <c r="F379" s="7"/>
      <c r="G379" s="7"/>
    </row>
    <row r="380">
      <c r="A380" s="7"/>
      <c r="B380" s="7"/>
      <c r="C380" s="7"/>
      <c r="D380" s="7"/>
      <c r="E380" s="21"/>
      <c r="F380" s="7"/>
      <c r="G380" s="7"/>
    </row>
    <row r="381">
      <c r="A381" s="7"/>
      <c r="B381" s="7"/>
      <c r="C381" s="7"/>
      <c r="D381" s="7"/>
      <c r="E381" s="21"/>
      <c r="F381" s="7"/>
      <c r="G381" s="7"/>
    </row>
    <row r="382">
      <c r="A382" s="7"/>
      <c r="B382" s="7"/>
      <c r="C382" s="7"/>
      <c r="D382" s="7"/>
      <c r="E382" s="21"/>
      <c r="F382" s="7"/>
      <c r="G382" s="7"/>
    </row>
    <row r="383">
      <c r="A383" s="7"/>
      <c r="B383" s="7"/>
      <c r="C383" s="7"/>
      <c r="D383" s="7"/>
      <c r="E383" s="21"/>
      <c r="F383" s="7"/>
      <c r="G383" s="7"/>
    </row>
    <row r="384">
      <c r="A384" s="7"/>
      <c r="B384" s="7"/>
      <c r="C384" s="7"/>
      <c r="D384" s="7"/>
      <c r="E384" s="21"/>
      <c r="F384" s="7"/>
      <c r="G384" s="7"/>
    </row>
    <row r="385">
      <c r="A385" s="7"/>
      <c r="B385" s="7"/>
      <c r="C385" s="7"/>
      <c r="D385" s="7"/>
      <c r="E385" s="21"/>
      <c r="F385" s="7"/>
      <c r="G385" s="7"/>
    </row>
    <row r="386">
      <c r="A386" s="7"/>
      <c r="B386" s="7"/>
      <c r="C386" s="7"/>
      <c r="D386" s="7"/>
      <c r="E386" s="21"/>
      <c r="F386" s="7"/>
      <c r="G386" s="7"/>
    </row>
    <row r="387">
      <c r="A387" s="7"/>
      <c r="B387" s="7"/>
      <c r="C387" s="7"/>
      <c r="D387" s="7"/>
      <c r="E387" s="21"/>
      <c r="F387" s="7"/>
      <c r="G387" s="7"/>
    </row>
    <row r="388">
      <c r="A388" s="7"/>
      <c r="B388" s="7"/>
      <c r="C388" s="7"/>
      <c r="D388" s="7"/>
      <c r="E388" s="21"/>
      <c r="F388" s="7"/>
      <c r="G388" s="7"/>
    </row>
    <row r="389">
      <c r="A389" s="7"/>
      <c r="B389" s="7"/>
      <c r="C389" s="7"/>
      <c r="D389" s="7"/>
      <c r="E389" s="21"/>
      <c r="F389" s="7"/>
      <c r="G389" s="7"/>
    </row>
    <row r="390">
      <c r="A390" s="7"/>
      <c r="B390" s="7"/>
      <c r="C390" s="7"/>
      <c r="D390" s="7"/>
      <c r="E390" s="21"/>
      <c r="F390" s="7"/>
      <c r="G390" s="7"/>
    </row>
    <row r="391">
      <c r="A391" s="7"/>
      <c r="B391" s="7"/>
      <c r="C391" s="7"/>
      <c r="D391" s="7"/>
      <c r="E391" s="21"/>
      <c r="F391" s="7"/>
      <c r="G391" s="7"/>
    </row>
    <row r="392">
      <c r="A392" s="7"/>
      <c r="B392" s="7"/>
      <c r="C392" s="7"/>
      <c r="D392" s="7"/>
      <c r="E392" s="21"/>
      <c r="F392" s="7"/>
      <c r="G392" s="7"/>
    </row>
    <row r="393">
      <c r="A393" s="7"/>
      <c r="B393" s="7"/>
      <c r="C393" s="7"/>
      <c r="D393" s="7"/>
      <c r="E393" s="21"/>
      <c r="F393" s="7"/>
      <c r="G393" s="7"/>
    </row>
    <row r="394">
      <c r="A394" s="7"/>
      <c r="B394" s="7"/>
      <c r="C394" s="7"/>
      <c r="D394" s="7"/>
      <c r="E394" s="21"/>
      <c r="F394" s="7"/>
      <c r="G394" s="7"/>
    </row>
    <row r="395">
      <c r="A395" s="7"/>
      <c r="B395" s="7"/>
      <c r="C395" s="7"/>
      <c r="D395" s="7"/>
      <c r="E395" s="21"/>
      <c r="F395" s="7"/>
      <c r="G395" s="7"/>
    </row>
    <row r="396">
      <c r="A396" s="7"/>
      <c r="B396" s="7"/>
      <c r="C396" s="7"/>
      <c r="D396" s="7"/>
      <c r="E396" s="21"/>
      <c r="F396" s="7"/>
      <c r="G396" s="7"/>
    </row>
    <row r="397">
      <c r="A397" s="7"/>
      <c r="B397" s="7"/>
      <c r="C397" s="7"/>
      <c r="D397" s="7"/>
      <c r="E397" s="21"/>
      <c r="F397" s="7"/>
      <c r="G397" s="7"/>
    </row>
    <row r="398">
      <c r="A398" s="7"/>
      <c r="B398" s="7"/>
      <c r="C398" s="7"/>
      <c r="D398" s="7"/>
      <c r="E398" s="21"/>
      <c r="F398" s="7"/>
      <c r="G398" s="7"/>
    </row>
    <row r="399">
      <c r="A399" s="7"/>
      <c r="B399" s="7"/>
      <c r="C399" s="7"/>
      <c r="D399" s="7"/>
      <c r="E399" s="21"/>
      <c r="F399" s="7"/>
      <c r="G399" s="7"/>
    </row>
    <row r="400">
      <c r="A400" s="7"/>
      <c r="B400" s="7"/>
      <c r="C400" s="7"/>
      <c r="D400" s="7"/>
      <c r="E400" s="21"/>
      <c r="F400" s="7"/>
      <c r="G400" s="7"/>
    </row>
    <row r="401">
      <c r="A401" s="7"/>
      <c r="B401" s="7"/>
      <c r="C401" s="7"/>
      <c r="D401" s="7"/>
      <c r="E401" s="21"/>
      <c r="F401" s="7"/>
      <c r="G401" s="7"/>
    </row>
    <row r="402">
      <c r="A402" s="7"/>
      <c r="B402" s="7"/>
      <c r="C402" s="7"/>
      <c r="D402" s="7"/>
      <c r="E402" s="21"/>
      <c r="F402" s="7"/>
      <c r="G402" s="7"/>
    </row>
    <row r="403">
      <c r="A403" s="7"/>
      <c r="B403" s="7"/>
      <c r="C403" s="7"/>
      <c r="D403" s="7"/>
      <c r="E403" s="21"/>
      <c r="F403" s="7"/>
      <c r="G403" s="7"/>
    </row>
    <row r="404">
      <c r="A404" s="7"/>
      <c r="B404" s="7"/>
      <c r="C404" s="7"/>
      <c r="D404" s="7"/>
      <c r="E404" s="21"/>
      <c r="F404" s="7"/>
      <c r="G404" s="7"/>
    </row>
    <row r="405">
      <c r="A405" s="7"/>
      <c r="B405" s="7"/>
      <c r="C405" s="7"/>
      <c r="D405" s="7"/>
      <c r="E405" s="21"/>
      <c r="F405" s="7"/>
      <c r="G405" s="7"/>
    </row>
    <row r="406">
      <c r="A406" s="7"/>
      <c r="B406" s="7"/>
      <c r="C406" s="7"/>
      <c r="D406" s="7"/>
      <c r="E406" s="21"/>
      <c r="F406" s="7"/>
      <c r="G406" s="7"/>
    </row>
    <row r="407">
      <c r="A407" s="7"/>
      <c r="B407" s="7"/>
      <c r="C407" s="7"/>
      <c r="D407" s="7"/>
      <c r="E407" s="21"/>
      <c r="F407" s="7"/>
      <c r="G407" s="7"/>
    </row>
    <row r="408">
      <c r="A408" s="7"/>
      <c r="B408" s="7"/>
      <c r="C408" s="7"/>
      <c r="D408" s="7"/>
      <c r="E408" s="21"/>
      <c r="F408" s="7"/>
      <c r="G408" s="7"/>
    </row>
    <row r="409">
      <c r="A409" s="7"/>
      <c r="B409" s="7"/>
      <c r="C409" s="7"/>
      <c r="D409" s="7"/>
      <c r="E409" s="21"/>
      <c r="F409" s="7"/>
      <c r="G409" s="7"/>
    </row>
    <row r="410">
      <c r="A410" s="7"/>
      <c r="B410" s="7"/>
      <c r="C410" s="7"/>
      <c r="D410" s="7"/>
      <c r="E410" s="21"/>
      <c r="F410" s="7"/>
      <c r="G410" s="7"/>
    </row>
    <row r="411">
      <c r="A411" s="7"/>
      <c r="B411" s="7"/>
      <c r="C411" s="7"/>
      <c r="D411" s="7"/>
      <c r="E411" s="21"/>
      <c r="F411" s="7"/>
      <c r="G411" s="7"/>
    </row>
    <row r="412">
      <c r="A412" s="7"/>
      <c r="B412" s="7"/>
      <c r="C412" s="7"/>
      <c r="D412" s="7"/>
      <c r="E412" s="21"/>
      <c r="F412" s="7"/>
      <c r="G412" s="7"/>
    </row>
    <row r="413">
      <c r="A413" s="7"/>
      <c r="B413" s="7"/>
      <c r="C413" s="7"/>
      <c r="D413" s="7"/>
      <c r="E413" s="21"/>
      <c r="F413" s="7"/>
      <c r="G413" s="7"/>
    </row>
    <row r="414">
      <c r="A414" s="7"/>
      <c r="B414" s="7"/>
      <c r="C414" s="7"/>
      <c r="D414" s="7"/>
      <c r="E414" s="21"/>
      <c r="F414" s="7"/>
      <c r="G414" s="7"/>
    </row>
    <row r="415">
      <c r="A415" s="7"/>
      <c r="B415" s="7"/>
      <c r="C415" s="7"/>
      <c r="D415" s="7"/>
      <c r="E415" s="21"/>
      <c r="F415" s="7"/>
      <c r="G415" s="7"/>
    </row>
    <row r="416">
      <c r="A416" s="7"/>
      <c r="B416" s="7"/>
      <c r="C416" s="7"/>
      <c r="D416" s="7"/>
      <c r="E416" s="21"/>
      <c r="F416" s="7"/>
      <c r="G416" s="7"/>
    </row>
    <row r="417">
      <c r="A417" s="7"/>
      <c r="B417" s="7"/>
      <c r="C417" s="7"/>
      <c r="D417" s="7"/>
      <c r="E417" s="21"/>
      <c r="F417" s="7"/>
      <c r="G417" s="7"/>
    </row>
    <row r="418">
      <c r="A418" s="7"/>
      <c r="B418" s="7"/>
      <c r="C418" s="7"/>
      <c r="D418" s="7"/>
      <c r="E418" s="21"/>
      <c r="F418" s="7"/>
      <c r="G418" s="7"/>
    </row>
    <row r="419">
      <c r="A419" s="7"/>
      <c r="B419" s="7"/>
      <c r="C419" s="7"/>
      <c r="D419" s="7"/>
      <c r="E419" s="21"/>
      <c r="F419" s="7"/>
      <c r="G419" s="7"/>
    </row>
    <row r="420">
      <c r="A420" s="7"/>
      <c r="B420" s="7"/>
      <c r="C420" s="7"/>
      <c r="D420" s="7"/>
      <c r="E420" s="21"/>
      <c r="F420" s="7"/>
      <c r="G420" s="7"/>
    </row>
    <row r="421">
      <c r="A421" s="7"/>
      <c r="B421" s="7"/>
      <c r="C421" s="7"/>
      <c r="D421" s="7"/>
      <c r="E421" s="21"/>
      <c r="F421" s="7"/>
      <c r="G421" s="7"/>
    </row>
    <row r="422">
      <c r="A422" s="7"/>
      <c r="B422" s="7"/>
      <c r="C422" s="7"/>
      <c r="D422" s="7"/>
      <c r="E422" s="21"/>
      <c r="F422" s="7"/>
      <c r="G422" s="7"/>
    </row>
    <row r="423">
      <c r="A423" s="7"/>
      <c r="B423" s="7"/>
      <c r="C423" s="7"/>
      <c r="D423" s="7"/>
      <c r="E423" s="21"/>
      <c r="F423" s="7"/>
      <c r="G423" s="7"/>
    </row>
    <row r="424">
      <c r="A424" s="7"/>
      <c r="B424" s="7"/>
      <c r="C424" s="7"/>
      <c r="D424" s="7"/>
      <c r="E424" s="21"/>
      <c r="F424" s="7"/>
      <c r="G424" s="7"/>
    </row>
    <row r="425">
      <c r="A425" s="7"/>
      <c r="B425" s="7"/>
      <c r="C425" s="7"/>
      <c r="D425" s="7"/>
      <c r="E425" s="21"/>
      <c r="F425" s="7"/>
      <c r="G425" s="7"/>
    </row>
    <row r="426">
      <c r="A426" s="7"/>
      <c r="B426" s="7"/>
      <c r="C426" s="7"/>
      <c r="D426" s="7"/>
      <c r="E426" s="21"/>
      <c r="F426" s="7"/>
      <c r="G426" s="7"/>
    </row>
    <row r="427">
      <c r="A427" s="7"/>
      <c r="B427" s="7"/>
      <c r="C427" s="7"/>
      <c r="D427" s="7"/>
      <c r="E427" s="21"/>
      <c r="F427" s="7"/>
      <c r="G427" s="7"/>
    </row>
    <row r="428">
      <c r="A428" s="7"/>
      <c r="B428" s="7"/>
      <c r="C428" s="7"/>
      <c r="D428" s="7"/>
      <c r="E428" s="21"/>
      <c r="F428" s="7"/>
      <c r="G428" s="7"/>
    </row>
    <row r="429">
      <c r="A429" s="7"/>
      <c r="B429" s="7"/>
      <c r="C429" s="7"/>
      <c r="D429" s="7"/>
      <c r="E429" s="21"/>
      <c r="F429" s="7"/>
      <c r="G429" s="7"/>
    </row>
    <row r="430">
      <c r="A430" s="7"/>
      <c r="B430" s="7"/>
      <c r="C430" s="7"/>
      <c r="D430" s="7"/>
      <c r="E430" s="21"/>
      <c r="F430" s="7"/>
      <c r="G430" s="7"/>
    </row>
    <row r="431">
      <c r="A431" s="7"/>
      <c r="B431" s="7"/>
      <c r="C431" s="7"/>
      <c r="D431" s="7"/>
      <c r="E431" s="21"/>
      <c r="F431" s="7"/>
      <c r="G431" s="7"/>
    </row>
    <row r="432">
      <c r="A432" s="7"/>
      <c r="B432" s="7"/>
      <c r="C432" s="7"/>
      <c r="D432" s="7"/>
      <c r="E432" s="21"/>
      <c r="F432" s="7"/>
      <c r="G432" s="7"/>
    </row>
    <row r="433">
      <c r="A433" s="7"/>
      <c r="B433" s="7"/>
      <c r="C433" s="7"/>
      <c r="D433" s="7"/>
      <c r="E433" s="21"/>
      <c r="F433" s="7"/>
      <c r="G433" s="7"/>
    </row>
    <row r="434">
      <c r="A434" s="7"/>
      <c r="B434" s="7"/>
      <c r="C434" s="7"/>
      <c r="D434" s="7"/>
      <c r="E434" s="21"/>
      <c r="F434" s="7"/>
      <c r="G434" s="7"/>
    </row>
    <row r="435">
      <c r="A435" s="7"/>
      <c r="B435" s="7"/>
      <c r="C435" s="7"/>
      <c r="D435" s="7"/>
      <c r="E435" s="21"/>
      <c r="F435" s="7"/>
      <c r="G435" s="7"/>
    </row>
    <row r="436">
      <c r="A436" s="7"/>
      <c r="B436" s="7"/>
      <c r="C436" s="7"/>
      <c r="D436" s="7"/>
      <c r="E436" s="21"/>
      <c r="F436" s="7"/>
      <c r="G436" s="7"/>
    </row>
    <row r="437">
      <c r="A437" s="7"/>
      <c r="B437" s="7"/>
      <c r="C437" s="7"/>
      <c r="D437" s="7"/>
      <c r="E437" s="21"/>
      <c r="F437" s="7"/>
      <c r="G437" s="7"/>
    </row>
    <row r="438">
      <c r="A438" s="7"/>
      <c r="B438" s="7"/>
      <c r="C438" s="7"/>
      <c r="D438" s="7"/>
      <c r="E438" s="21"/>
      <c r="F438" s="7"/>
      <c r="G438" s="7"/>
    </row>
    <row r="439">
      <c r="A439" s="7"/>
      <c r="B439" s="7"/>
      <c r="C439" s="7"/>
      <c r="D439" s="7"/>
      <c r="E439" s="21"/>
      <c r="F439" s="7"/>
      <c r="G439" s="7"/>
    </row>
    <row r="440">
      <c r="A440" s="7"/>
      <c r="B440" s="7"/>
      <c r="C440" s="7"/>
      <c r="D440" s="7"/>
      <c r="E440" s="21"/>
      <c r="F440" s="7"/>
      <c r="G440" s="7"/>
    </row>
    <row r="441">
      <c r="A441" s="7"/>
      <c r="B441" s="7"/>
      <c r="C441" s="7"/>
      <c r="D441" s="7"/>
      <c r="E441" s="21"/>
      <c r="F441" s="7"/>
      <c r="G441" s="7"/>
    </row>
    <row r="442">
      <c r="A442" s="7"/>
      <c r="B442" s="7"/>
      <c r="C442" s="7"/>
      <c r="D442" s="7"/>
      <c r="E442" s="21"/>
      <c r="F442" s="7"/>
      <c r="G442" s="7"/>
    </row>
    <row r="443">
      <c r="A443" s="7"/>
      <c r="B443" s="7"/>
      <c r="C443" s="7"/>
      <c r="D443" s="7"/>
      <c r="E443" s="21"/>
      <c r="F443" s="7"/>
      <c r="G443" s="7"/>
    </row>
    <row r="444">
      <c r="A444" s="7"/>
      <c r="B444" s="7"/>
      <c r="C444" s="7"/>
      <c r="D444" s="7"/>
      <c r="E444" s="21"/>
      <c r="F444" s="7"/>
      <c r="G444" s="7"/>
    </row>
    <row r="445">
      <c r="A445" s="7"/>
      <c r="B445" s="7"/>
      <c r="C445" s="7"/>
      <c r="D445" s="7"/>
      <c r="E445" s="21"/>
      <c r="F445" s="7"/>
      <c r="G445" s="7"/>
    </row>
    <row r="446">
      <c r="A446" s="7"/>
      <c r="B446" s="7"/>
      <c r="C446" s="7"/>
      <c r="D446" s="7"/>
      <c r="E446" s="21"/>
      <c r="F446" s="7"/>
      <c r="G446" s="7"/>
    </row>
    <row r="447">
      <c r="A447" s="7"/>
      <c r="B447" s="7"/>
      <c r="C447" s="7"/>
      <c r="D447" s="7"/>
      <c r="E447" s="21"/>
      <c r="F447" s="7"/>
      <c r="G447" s="7"/>
    </row>
    <row r="448">
      <c r="A448" s="7"/>
      <c r="B448" s="7"/>
      <c r="C448" s="7"/>
      <c r="D448" s="7"/>
      <c r="E448" s="21"/>
      <c r="F448" s="7"/>
      <c r="G448" s="7"/>
    </row>
    <row r="449">
      <c r="A449" s="7"/>
      <c r="B449" s="7"/>
      <c r="C449" s="7"/>
      <c r="D449" s="7"/>
      <c r="E449" s="21"/>
      <c r="F449" s="7"/>
      <c r="G449" s="7"/>
    </row>
    <row r="450">
      <c r="A450" s="7"/>
      <c r="B450" s="7"/>
      <c r="C450" s="7"/>
      <c r="D450" s="7"/>
      <c r="E450" s="21"/>
      <c r="F450" s="7"/>
      <c r="G450" s="7"/>
    </row>
    <row r="451">
      <c r="A451" s="7"/>
      <c r="B451" s="7"/>
      <c r="C451" s="7"/>
      <c r="D451" s="7"/>
      <c r="E451" s="21"/>
      <c r="F451" s="7"/>
      <c r="G451" s="7"/>
    </row>
    <row r="452">
      <c r="A452" s="7"/>
      <c r="B452" s="7"/>
      <c r="C452" s="7"/>
      <c r="D452" s="7"/>
      <c r="E452" s="21"/>
      <c r="F452" s="7"/>
      <c r="G452" s="7"/>
    </row>
    <row r="453">
      <c r="A453" s="7"/>
      <c r="B453" s="7"/>
      <c r="C453" s="7"/>
      <c r="D453" s="7"/>
      <c r="E453" s="21"/>
      <c r="F453" s="7"/>
      <c r="G453" s="7"/>
    </row>
    <row r="454">
      <c r="A454" s="7"/>
      <c r="B454" s="7"/>
      <c r="C454" s="7"/>
      <c r="D454" s="7"/>
      <c r="E454" s="21"/>
      <c r="F454" s="7"/>
      <c r="G454" s="7"/>
    </row>
    <row r="455">
      <c r="A455" s="7"/>
      <c r="B455" s="7"/>
      <c r="C455" s="7"/>
      <c r="D455" s="7"/>
      <c r="E455" s="21"/>
      <c r="F455" s="7"/>
      <c r="G455" s="7"/>
    </row>
    <row r="456">
      <c r="A456" s="7"/>
      <c r="B456" s="7"/>
      <c r="C456" s="7"/>
      <c r="D456" s="7"/>
      <c r="E456" s="21"/>
      <c r="F456" s="7"/>
      <c r="G456" s="7"/>
    </row>
    <row r="457">
      <c r="A457" s="7"/>
      <c r="B457" s="7"/>
      <c r="C457" s="7"/>
      <c r="D457" s="7"/>
      <c r="E457" s="21"/>
      <c r="F457" s="7"/>
      <c r="G457" s="7"/>
    </row>
    <row r="458">
      <c r="A458" s="7"/>
      <c r="B458" s="7"/>
      <c r="C458" s="7"/>
      <c r="D458" s="7"/>
      <c r="E458" s="21"/>
      <c r="F458" s="7"/>
      <c r="G458" s="7"/>
    </row>
    <row r="459">
      <c r="A459" s="7"/>
      <c r="B459" s="7"/>
      <c r="C459" s="7"/>
      <c r="D459" s="7"/>
      <c r="E459" s="21"/>
      <c r="F459" s="7"/>
      <c r="G459" s="7"/>
    </row>
    <row r="460">
      <c r="A460" s="7"/>
      <c r="B460" s="7"/>
      <c r="C460" s="7"/>
      <c r="D460" s="7"/>
      <c r="E460" s="21"/>
      <c r="F460" s="7"/>
      <c r="G460" s="7"/>
    </row>
    <row r="461">
      <c r="A461" s="7"/>
      <c r="B461" s="7"/>
      <c r="C461" s="7"/>
      <c r="D461" s="7"/>
      <c r="E461" s="21"/>
      <c r="F461" s="7"/>
      <c r="G461" s="7"/>
    </row>
    <row r="462">
      <c r="A462" s="7"/>
      <c r="B462" s="7"/>
      <c r="C462" s="7"/>
      <c r="D462" s="7"/>
      <c r="E462" s="21"/>
      <c r="F462" s="7"/>
      <c r="G462" s="7"/>
    </row>
    <row r="463">
      <c r="A463" s="7"/>
      <c r="B463" s="7"/>
      <c r="C463" s="7"/>
      <c r="D463" s="7"/>
      <c r="E463" s="21"/>
      <c r="F463" s="7"/>
      <c r="G463" s="7"/>
    </row>
    <row r="464">
      <c r="A464" s="7"/>
      <c r="B464" s="7"/>
      <c r="C464" s="7"/>
      <c r="D464" s="7"/>
      <c r="E464" s="21"/>
      <c r="F464" s="7"/>
      <c r="G464" s="7"/>
    </row>
    <row r="465">
      <c r="A465" s="7"/>
      <c r="B465" s="7"/>
      <c r="C465" s="7"/>
      <c r="D465" s="7"/>
      <c r="E465" s="21"/>
      <c r="F465" s="7"/>
      <c r="G465" s="7"/>
    </row>
    <row r="466">
      <c r="A466" s="7"/>
      <c r="B466" s="7"/>
      <c r="C466" s="7"/>
      <c r="D466" s="7"/>
      <c r="E466" s="21"/>
      <c r="F466" s="7"/>
      <c r="G466" s="7"/>
    </row>
    <row r="467">
      <c r="A467" s="7"/>
      <c r="B467" s="7"/>
      <c r="C467" s="7"/>
      <c r="D467" s="7"/>
      <c r="E467" s="21"/>
      <c r="F467" s="7"/>
      <c r="G467" s="7"/>
    </row>
    <row r="468">
      <c r="A468" s="7"/>
      <c r="B468" s="7"/>
      <c r="C468" s="7"/>
      <c r="D468" s="7"/>
      <c r="E468" s="21"/>
      <c r="F468" s="7"/>
      <c r="G468" s="7"/>
    </row>
    <row r="469">
      <c r="A469" s="7"/>
      <c r="B469" s="7"/>
      <c r="C469" s="7"/>
      <c r="D469" s="7"/>
      <c r="E469" s="21"/>
      <c r="F469" s="7"/>
      <c r="G469" s="7"/>
    </row>
    <row r="470">
      <c r="A470" s="7"/>
      <c r="B470" s="7"/>
      <c r="C470" s="7"/>
      <c r="D470" s="7"/>
      <c r="E470" s="21"/>
      <c r="F470" s="7"/>
      <c r="G470" s="7"/>
    </row>
    <row r="471">
      <c r="A471" s="7"/>
      <c r="B471" s="7"/>
      <c r="C471" s="7"/>
      <c r="D471" s="7"/>
      <c r="E471" s="21"/>
      <c r="F471" s="7"/>
      <c r="G471" s="7"/>
    </row>
    <row r="472">
      <c r="A472" s="7"/>
      <c r="B472" s="7"/>
      <c r="C472" s="7"/>
      <c r="D472" s="7"/>
      <c r="E472" s="21"/>
      <c r="F472" s="7"/>
      <c r="G472" s="7"/>
    </row>
    <row r="473">
      <c r="A473" s="7"/>
      <c r="B473" s="7"/>
      <c r="C473" s="7"/>
      <c r="D473" s="7"/>
      <c r="E473" s="21"/>
      <c r="F473" s="7"/>
      <c r="G473" s="7"/>
    </row>
    <row r="474">
      <c r="A474" s="7"/>
      <c r="B474" s="7"/>
      <c r="C474" s="7"/>
      <c r="D474" s="7"/>
      <c r="E474" s="21"/>
      <c r="F474" s="7"/>
      <c r="G474" s="7"/>
    </row>
    <row r="475">
      <c r="A475" s="7"/>
      <c r="B475" s="7"/>
      <c r="C475" s="7"/>
      <c r="D475" s="7"/>
      <c r="E475" s="21"/>
      <c r="F475" s="7"/>
      <c r="G475" s="7"/>
    </row>
    <row r="476">
      <c r="A476" s="7"/>
      <c r="B476" s="7"/>
      <c r="C476" s="7"/>
      <c r="D476" s="7"/>
      <c r="E476" s="21"/>
      <c r="F476" s="7"/>
      <c r="G476" s="7"/>
    </row>
    <row r="477">
      <c r="A477" s="7"/>
      <c r="B477" s="7"/>
      <c r="C477" s="7"/>
      <c r="D477" s="7"/>
      <c r="E477" s="21"/>
      <c r="F477" s="7"/>
      <c r="G477" s="7"/>
    </row>
    <row r="478">
      <c r="A478" s="7"/>
      <c r="B478" s="7"/>
      <c r="C478" s="7"/>
      <c r="D478" s="7"/>
      <c r="E478" s="21"/>
      <c r="F478" s="7"/>
      <c r="G478" s="7"/>
    </row>
    <row r="479">
      <c r="A479" s="7"/>
      <c r="B479" s="7"/>
      <c r="C479" s="7"/>
      <c r="D479" s="7"/>
      <c r="E479" s="21"/>
      <c r="F479" s="7"/>
      <c r="G479" s="7"/>
    </row>
    <row r="480">
      <c r="A480" s="7"/>
      <c r="B480" s="7"/>
      <c r="C480" s="7"/>
      <c r="D480" s="7"/>
      <c r="E480" s="21"/>
      <c r="F480" s="7"/>
      <c r="G480" s="7"/>
    </row>
    <row r="481">
      <c r="A481" s="7"/>
      <c r="B481" s="7"/>
      <c r="C481" s="7"/>
      <c r="D481" s="7"/>
      <c r="E481" s="21"/>
      <c r="F481" s="7"/>
      <c r="G481" s="7"/>
    </row>
    <row r="482">
      <c r="A482" s="7"/>
      <c r="B482" s="7"/>
      <c r="C482" s="7"/>
      <c r="D482" s="7"/>
      <c r="E482" s="21"/>
      <c r="F482" s="7"/>
      <c r="G482" s="7"/>
    </row>
    <row r="483">
      <c r="A483" s="7"/>
      <c r="B483" s="7"/>
      <c r="C483" s="7"/>
      <c r="D483" s="7"/>
      <c r="E483" s="21"/>
      <c r="F483" s="7"/>
      <c r="G483" s="7"/>
    </row>
    <row r="484">
      <c r="A484" s="7"/>
      <c r="B484" s="7"/>
      <c r="C484" s="7"/>
      <c r="D484" s="7"/>
      <c r="E484" s="21"/>
      <c r="F484" s="7"/>
      <c r="G484" s="7"/>
    </row>
    <row r="485">
      <c r="A485" s="7"/>
      <c r="B485" s="7"/>
      <c r="C485" s="7"/>
      <c r="D485" s="7"/>
      <c r="E485" s="21"/>
      <c r="F485" s="7"/>
      <c r="G485" s="7"/>
    </row>
    <row r="486">
      <c r="A486" s="7"/>
      <c r="B486" s="7"/>
      <c r="C486" s="7"/>
      <c r="D486" s="7"/>
      <c r="E486" s="21"/>
      <c r="F486" s="7"/>
      <c r="G486" s="7"/>
    </row>
    <row r="487">
      <c r="A487" s="7"/>
      <c r="B487" s="7"/>
      <c r="C487" s="7"/>
      <c r="D487" s="7"/>
      <c r="E487" s="21"/>
      <c r="F487" s="7"/>
      <c r="G487" s="7"/>
    </row>
    <row r="488">
      <c r="A488" s="7"/>
      <c r="B488" s="7"/>
      <c r="C488" s="7"/>
      <c r="D488" s="7"/>
      <c r="E488" s="21"/>
      <c r="F488" s="7"/>
      <c r="G488" s="7"/>
    </row>
    <row r="489">
      <c r="A489" s="7"/>
      <c r="B489" s="7"/>
      <c r="C489" s="7"/>
      <c r="D489" s="7"/>
      <c r="E489" s="21"/>
      <c r="F489" s="7"/>
      <c r="G489" s="7"/>
    </row>
    <row r="490">
      <c r="A490" s="7"/>
      <c r="B490" s="7"/>
      <c r="C490" s="7"/>
      <c r="D490" s="7"/>
      <c r="E490" s="21"/>
      <c r="F490" s="7"/>
      <c r="G490" s="7"/>
    </row>
    <row r="491">
      <c r="A491" s="7"/>
      <c r="B491" s="7"/>
      <c r="C491" s="7"/>
      <c r="D491" s="7"/>
      <c r="E491" s="21"/>
      <c r="F491" s="7"/>
      <c r="G491" s="7"/>
    </row>
    <row r="492">
      <c r="A492" s="7"/>
      <c r="B492" s="7"/>
      <c r="C492" s="7"/>
      <c r="D492" s="7"/>
      <c r="E492" s="21"/>
      <c r="F492" s="7"/>
      <c r="G492" s="7"/>
    </row>
    <row r="493">
      <c r="A493" s="7"/>
      <c r="B493" s="7"/>
      <c r="C493" s="7"/>
      <c r="D493" s="7"/>
      <c r="E493" s="21"/>
      <c r="F493" s="7"/>
      <c r="G493" s="7"/>
    </row>
    <row r="494">
      <c r="A494" s="7"/>
      <c r="B494" s="7"/>
      <c r="C494" s="7"/>
      <c r="D494" s="7"/>
      <c r="E494" s="21"/>
      <c r="F494" s="7"/>
      <c r="G494" s="7"/>
    </row>
    <row r="495">
      <c r="A495" s="7"/>
      <c r="B495" s="7"/>
      <c r="C495" s="7"/>
      <c r="D495" s="7"/>
      <c r="E495" s="21"/>
      <c r="F495" s="7"/>
      <c r="G495" s="7"/>
    </row>
    <row r="496">
      <c r="A496" s="7"/>
      <c r="B496" s="7"/>
      <c r="C496" s="7"/>
      <c r="D496" s="7"/>
      <c r="E496" s="21"/>
      <c r="F496" s="7"/>
      <c r="G496" s="7"/>
    </row>
    <row r="497">
      <c r="A497" s="7"/>
      <c r="B497" s="7"/>
      <c r="C497" s="7"/>
      <c r="D497" s="7"/>
      <c r="E497" s="21"/>
      <c r="F497" s="7"/>
      <c r="G497" s="7"/>
    </row>
    <row r="498">
      <c r="A498" s="7"/>
      <c r="B498" s="7"/>
      <c r="C498" s="7"/>
      <c r="D498" s="7"/>
      <c r="E498" s="21"/>
      <c r="F498" s="7"/>
      <c r="G498" s="7"/>
    </row>
    <row r="499">
      <c r="A499" s="7"/>
      <c r="B499" s="7"/>
      <c r="C499" s="7"/>
      <c r="D499" s="7"/>
      <c r="E499" s="21"/>
      <c r="F499" s="7"/>
      <c r="G499" s="7"/>
    </row>
    <row r="500">
      <c r="A500" s="7"/>
      <c r="B500" s="7"/>
      <c r="C500" s="7"/>
      <c r="D500" s="7"/>
      <c r="E500" s="21"/>
      <c r="F500" s="7"/>
      <c r="G500" s="7"/>
    </row>
    <row r="501">
      <c r="A501" s="7"/>
      <c r="B501" s="7"/>
      <c r="C501" s="7"/>
      <c r="D501" s="7"/>
      <c r="E501" s="21"/>
      <c r="F501" s="7"/>
      <c r="G501" s="7"/>
    </row>
    <row r="502">
      <c r="A502" s="7"/>
      <c r="B502" s="7"/>
      <c r="C502" s="7"/>
      <c r="D502" s="7"/>
      <c r="E502" s="21"/>
      <c r="F502" s="7"/>
      <c r="G502" s="7"/>
    </row>
    <row r="503">
      <c r="A503" s="7"/>
      <c r="B503" s="7"/>
      <c r="C503" s="7"/>
      <c r="D503" s="7"/>
      <c r="E503" s="21"/>
      <c r="F503" s="7"/>
      <c r="G503" s="7"/>
    </row>
    <row r="504">
      <c r="A504" s="7"/>
      <c r="B504" s="7"/>
      <c r="C504" s="7"/>
      <c r="D504" s="7"/>
      <c r="E504" s="21"/>
      <c r="F504" s="7"/>
      <c r="G504" s="7"/>
    </row>
    <row r="505">
      <c r="A505" s="7"/>
      <c r="B505" s="7"/>
      <c r="C505" s="7"/>
      <c r="D505" s="7"/>
      <c r="E505" s="21"/>
      <c r="F505" s="7"/>
      <c r="G505" s="7"/>
    </row>
    <row r="506">
      <c r="A506" s="7"/>
      <c r="B506" s="7"/>
      <c r="C506" s="7"/>
      <c r="D506" s="7"/>
      <c r="E506" s="21"/>
      <c r="F506" s="7"/>
      <c r="G506" s="7"/>
    </row>
    <row r="507">
      <c r="A507" s="7"/>
      <c r="B507" s="7"/>
      <c r="C507" s="7"/>
      <c r="D507" s="7"/>
      <c r="E507" s="21"/>
      <c r="F507" s="7"/>
      <c r="G507" s="7"/>
    </row>
    <row r="508">
      <c r="A508" s="7"/>
      <c r="B508" s="7"/>
      <c r="C508" s="7"/>
      <c r="D508" s="7"/>
      <c r="E508" s="21"/>
      <c r="F508" s="7"/>
      <c r="G508" s="7"/>
    </row>
    <row r="509">
      <c r="A509" s="7"/>
      <c r="B509" s="7"/>
      <c r="C509" s="7"/>
      <c r="D509" s="7"/>
      <c r="E509" s="21"/>
      <c r="F509" s="7"/>
      <c r="G509" s="7"/>
    </row>
    <row r="510">
      <c r="A510" s="7"/>
      <c r="B510" s="7"/>
      <c r="C510" s="7"/>
      <c r="D510" s="7"/>
      <c r="E510" s="21"/>
      <c r="F510" s="7"/>
      <c r="G510" s="7"/>
    </row>
    <row r="511">
      <c r="A511" s="7"/>
      <c r="B511" s="7"/>
      <c r="C511" s="7"/>
      <c r="D511" s="7"/>
      <c r="E511" s="21"/>
      <c r="F511" s="7"/>
      <c r="G511" s="7"/>
    </row>
    <row r="512">
      <c r="A512" s="7"/>
      <c r="B512" s="7"/>
      <c r="C512" s="7"/>
      <c r="D512" s="7"/>
      <c r="E512" s="21"/>
      <c r="F512" s="7"/>
      <c r="G512" s="7"/>
    </row>
    <row r="513">
      <c r="A513" s="7"/>
      <c r="B513" s="7"/>
      <c r="C513" s="7"/>
      <c r="D513" s="7"/>
      <c r="E513" s="21"/>
      <c r="F513" s="7"/>
      <c r="G513" s="7"/>
    </row>
    <row r="514">
      <c r="A514" s="7"/>
      <c r="B514" s="7"/>
      <c r="C514" s="7"/>
      <c r="D514" s="7"/>
      <c r="E514" s="21"/>
      <c r="F514" s="7"/>
      <c r="G514" s="7"/>
    </row>
    <row r="515">
      <c r="A515" s="7"/>
      <c r="B515" s="7"/>
      <c r="C515" s="7"/>
      <c r="D515" s="7"/>
      <c r="E515" s="21"/>
      <c r="F515" s="7"/>
      <c r="G515" s="7"/>
    </row>
    <row r="516">
      <c r="A516" s="7"/>
      <c r="B516" s="7"/>
      <c r="C516" s="7"/>
      <c r="D516" s="7"/>
      <c r="E516" s="21"/>
      <c r="F516" s="7"/>
      <c r="G516" s="7"/>
    </row>
    <row r="517">
      <c r="A517" s="7"/>
      <c r="B517" s="7"/>
      <c r="C517" s="7"/>
      <c r="D517" s="7"/>
      <c r="E517" s="21"/>
      <c r="F517" s="7"/>
      <c r="G517" s="7"/>
    </row>
    <row r="518">
      <c r="A518" s="7"/>
      <c r="B518" s="7"/>
      <c r="C518" s="7"/>
      <c r="D518" s="7"/>
      <c r="E518" s="21"/>
      <c r="F518" s="7"/>
      <c r="G518" s="7"/>
    </row>
    <row r="519">
      <c r="A519" s="7"/>
      <c r="B519" s="7"/>
      <c r="C519" s="7"/>
      <c r="D519" s="7"/>
      <c r="E519" s="21"/>
      <c r="F519" s="7"/>
      <c r="G519" s="7"/>
    </row>
    <row r="520">
      <c r="A520" s="7"/>
      <c r="B520" s="7"/>
      <c r="C520" s="7"/>
      <c r="D520" s="7"/>
      <c r="E520" s="21"/>
      <c r="F520" s="7"/>
      <c r="G520" s="7"/>
    </row>
    <row r="521">
      <c r="A521" s="7"/>
      <c r="B521" s="7"/>
      <c r="C521" s="7"/>
      <c r="D521" s="7"/>
      <c r="E521" s="21"/>
      <c r="F521" s="7"/>
      <c r="G521" s="7"/>
    </row>
    <row r="522">
      <c r="A522" s="7"/>
      <c r="B522" s="7"/>
      <c r="C522" s="7"/>
      <c r="D522" s="7"/>
      <c r="E522" s="21"/>
      <c r="F522" s="7"/>
      <c r="G522" s="7"/>
    </row>
    <row r="523">
      <c r="A523" s="7"/>
      <c r="B523" s="7"/>
      <c r="C523" s="7"/>
      <c r="D523" s="7"/>
      <c r="E523" s="21"/>
      <c r="F523" s="7"/>
      <c r="G523" s="7"/>
    </row>
    <row r="524">
      <c r="A524" s="7"/>
      <c r="B524" s="7"/>
      <c r="C524" s="7"/>
      <c r="D524" s="7"/>
      <c r="E524" s="21"/>
      <c r="F524" s="7"/>
      <c r="G524" s="7"/>
    </row>
    <row r="525">
      <c r="A525" s="7"/>
      <c r="B525" s="7"/>
      <c r="C525" s="7"/>
      <c r="D525" s="7"/>
      <c r="E525" s="21"/>
      <c r="F525" s="7"/>
      <c r="G525" s="7"/>
    </row>
    <row r="526">
      <c r="A526" s="7"/>
      <c r="B526" s="7"/>
      <c r="C526" s="7"/>
      <c r="D526" s="7"/>
      <c r="E526" s="21"/>
      <c r="F526" s="7"/>
      <c r="G526" s="7"/>
    </row>
    <row r="527">
      <c r="A527" s="7"/>
      <c r="B527" s="7"/>
      <c r="C527" s="7"/>
      <c r="D527" s="7"/>
      <c r="E527" s="21"/>
      <c r="F527" s="7"/>
      <c r="G527" s="7"/>
    </row>
    <row r="528">
      <c r="A528" s="7"/>
      <c r="B528" s="7"/>
      <c r="C528" s="7"/>
      <c r="D528" s="7"/>
      <c r="E528" s="21"/>
      <c r="F528" s="7"/>
      <c r="G528" s="7"/>
    </row>
    <row r="529">
      <c r="A529" s="7"/>
      <c r="B529" s="7"/>
      <c r="C529" s="7"/>
      <c r="D529" s="7"/>
      <c r="E529" s="21"/>
      <c r="F529" s="7"/>
      <c r="G529" s="7"/>
    </row>
    <row r="530">
      <c r="A530" s="7"/>
      <c r="B530" s="7"/>
      <c r="C530" s="7"/>
      <c r="D530" s="7"/>
      <c r="E530" s="21"/>
      <c r="F530" s="7"/>
      <c r="G530" s="7"/>
    </row>
    <row r="531">
      <c r="A531" s="7"/>
      <c r="B531" s="7"/>
      <c r="C531" s="7"/>
      <c r="D531" s="7"/>
      <c r="E531" s="21"/>
      <c r="F531" s="7"/>
      <c r="G531" s="7"/>
    </row>
    <row r="532">
      <c r="A532" s="7"/>
      <c r="B532" s="7"/>
      <c r="C532" s="7"/>
      <c r="D532" s="7"/>
      <c r="E532" s="21"/>
      <c r="F532" s="7"/>
      <c r="G532" s="7"/>
    </row>
    <row r="533">
      <c r="A533" s="7"/>
      <c r="B533" s="7"/>
      <c r="C533" s="7"/>
      <c r="D533" s="7"/>
      <c r="E533" s="21"/>
      <c r="F533" s="7"/>
      <c r="G533" s="7"/>
    </row>
    <row r="534">
      <c r="A534" s="7"/>
      <c r="B534" s="7"/>
      <c r="C534" s="7"/>
      <c r="D534" s="7"/>
      <c r="E534" s="21"/>
      <c r="F534" s="7"/>
      <c r="G534" s="7"/>
    </row>
    <row r="535">
      <c r="A535" s="7"/>
      <c r="B535" s="7"/>
      <c r="C535" s="7"/>
      <c r="D535" s="7"/>
      <c r="E535" s="21"/>
      <c r="F535" s="7"/>
      <c r="G535" s="7"/>
    </row>
    <row r="536">
      <c r="A536" s="7"/>
      <c r="B536" s="7"/>
      <c r="C536" s="7"/>
      <c r="D536" s="7"/>
      <c r="E536" s="21"/>
      <c r="F536" s="7"/>
      <c r="G536" s="7"/>
    </row>
    <row r="537">
      <c r="A537" s="7"/>
      <c r="B537" s="7"/>
      <c r="C537" s="7"/>
      <c r="D537" s="7"/>
      <c r="E537" s="21"/>
      <c r="F537" s="7"/>
      <c r="G537" s="7"/>
    </row>
    <row r="538">
      <c r="A538" s="7"/>
      <c r="B538" s="7"/>
      <c r="C538" s="7"/>
      <c r="D538" s="7"/>
      <c r="E538" s="21"/>
      <c r="F538" s="7"/>
      <c r="G538" s="7"/>
    </row>
    <row r="539">
      <c r="A539" s="7"/>
      <c r="B539" s="7"/>
      <c r="C539" s="7"/>
      <c r="D539" s="7"/>
      <c r="E539" s="21"/>
      <c r="F539" s="7"/>
      <c r="G539" s="7"/>
    </row>
    <row r="540">
      <c r="A540" s="7"/>
      <c r="B540" s="7"/>
      <c r="C540" s="7"/>
      <c r="D540" s="7"/>
      <c r="E540" s="21"/>
      <c r="F540" s="7"/>
      <c r="G540" s="7"/>
    </row>
    <row r="541">
      <c r="A541" s="7"/>
      <c r="B541" s="7"/>
      <c r="C541" s="7"/>
      <c r="D541" s="7"/>
      <c r="E541" s="21"/>
      <c r="F541" s="7"/>
      <c r="G541" s="7"/>
    </row>
    <row r="542">
      <c r="A542" s="7"/>
      <c r="B542" s="7"/>
      <c r="C542" s="7"/>
      <c r="D542" s="7"/>
      <c r="E542" s="21"/>
      <c r="F542" s="7"/>
      <c r="G542" s="7"/>
    </row>
    <row r="543">
      <c r="A543" s="7"/>
      <c r="B543" s="7"/>
      <c r="C543" s="7"/>
      <c r="D543" s="7"/>
      <c r="E543" s="21"/>
      <c r="F543" s="7"/>
      <c r="G543" s="7"/>
    </row>
    <row r="544">
      <c r="A544" s="7"/>
      <c r="B544" s="7"/>
      <c r="C544" s="7"/>
      <c r="D544" s="7"/>
      <c r="E544" s="21"/>
      <c r="F544" s="7"/>
      <c r="G544" s="7"/>
    </row>
    <row r="545">
      <c r="A545" s="7"/>
      <c r="B545" s="7"/>
      <c r="C545" s="7"/>
      <c r="D545" s="7"/>
      <c r="E545" s="21"/>
      <c r="F545" s="7"/>
      <c r="G545" s="7"/>
    </row>
    <row r="546">
      <c r="A546" s="7"/>
      <c r="B546" s="7"/>
      <c r="C546" s="7"/>
      <c r="D546" s="7"/>
      <c r="E546" s="21"/>
      <c r="F546" s="7"/>
      <c r="G546" s="7"/>
    </row>
    <row r="547">
      <c r="A547" s="7"/>
      <c r="B547" s="7"/>
      <c r="C547" s="7"/>
      <c r="D547" s="7"/>
      <c r="E547" s="21"/>
      <c r="F547" s="7"/>
      <c r="G547" s="7"/>
    </row>
    <row r="548">
      <c r="A548" s="7"/>
      <c r="B548" s="7"/>
      <c r="C548" s="7"/>
      <c r="D548" s="7"/>
      <c r="E548" s="21"/>
      <c r="F548" s="7"/>
      <c r="G548" s="7"/>
    </row>
    <row r="549">
      <c r="A549" s="7"/>
      <c r="B549" s="7"/>
      <c r="C549" s="7"/>
      <c r="D549" s="7"/>
      <c r="E549" s="21"/>
      <c r="F549" s="7"/>
      <c r="G549" s="7"/>
    </row>
    <row r="550">
      <c r="A550" s="7"/>
      <c r="B550" s="7"/>
      <c r="C550" s="7"/>
      <c r="D550" s="7"/>
      <c r="E550" s="21"/>
      <c r="F550" s="7"/>
      <c r="G550" s="7"/>
    </row>
    <row r="551">
      <c r="A551" s="7"/>
      <c r="B551" s="7"/>
      <c r="C551" s="7"/>
      <c r="D551" s="7"/>
      <c r="E551" s="21"/>
      <c r="F551" s="7"/>
      <c r="G551" s="7"/>
    </row>
    <row r="552">
      <c r="A552" s="7"/>
      <c r="B552" s="7"/>
      <c r="C552" s="7"/>
      <c r="D552" s="7"/>
      <c r="E552" s="21"/>
      <c r="F552" s="7"/>
      <c r="G552" s="7"/>
    </row>
    <row r="553">
      <c r="A553" s="7"/>
      <c r="B553" s="7"/>
      <c r="C553" s="7"/>
      <c r="D553" s="7"/>
      <c r="E553" s="21"/>
      <c r="F553" s="7"/>
      <c r="G553" s="7"/>
    </row>
    <row r="554">
      <c r="A554" s="7"/>
      <c r="B554" s="7"/>
      <c r="C554" s="7"/>
      <c r="D554" s="7"/>
      <c r="E554" s="21"/>
      <c r="F554" s="7"/>
      <c r="G554" s="7"/>
    </row>
    <row r="555">
      <c r="A555" s="7"/>
      <c r="B555" s="7"/>
      <c r="C555" s="7"/>
      <c r="D555" s="7"/>
      <c r="E555" s="21"/>
      <c r="F555" s="7"/>
      <c r="G555" s="7"/>
    </row>
    <row r="556">
      <c r="A556" s="7"/>
      <c r="B556" s="7"/>
      <c r="C556" s="7"/>
      <c r="D556" s="7"/>
      <c r="E556" s="21"/>
      <c r="F556" s="7"/>
      <c r="G556" s="7"/>
    </row>
    <row r="557">
      <c r="A557" s="7"/>
      <c r="B557" s="7"/>
      <c r="C557" s="7"/>
      <c r="D557" s="7"/>
      <c r="E557" s="21"/>
      <c r="F557" s="7"/>
      <c r="G557" s="7"/>
    </row>
    <row r="558">
      <c r="A558" s="7"/>
      <c r="B558" s="7"/>
      <c r="C558" s="7"/>
      <c r="D558" s="7"/>
      <c r="E558" s="21"/>
      <c r="F558" s="7"/>
      <c r="G558" s="7"/>
    </row>
    <row r="559">
      <c r="A559" s="7"/>
      <c r="B559" s="7"/>
      <c r="C559" s="7"/>
      <c r="D559" s="7"/>
      <c r="E559" s="21"/>
      <c r="F559" s="7"/>
      <c r="G559" s="7"/>
    </row>
    <row r="560">
      <c r="A560" s="7"/>
      <c r="B560" s="7"/>
      <c r="C560" s="7"/>
      <c r="D560" s="7"/>
      <c r="E560" s="21"/>
      <c r="F560" s="7"/>
      <c r="G560" s="7"/>
    </row>
    <row r="561">
      <c r="A561" s="7"/>
      <c r="B561" s="7"/>
      <c r="C561" s="7"/>
      <c r="D561" s="7"/>
      <c r="E561" s="21"/>
      <c r="F561" s="7"/>
      <c r="G561" s="7"/>
    </row>
    <row r="562">
      <c r="A562" s="7"/>
      <c r="B562" s="7"/>
      <c r="C562" s="7"/>
      <c r="D562" s="7"/>
      <c r="E562" s="21"/>
      <c r="F562" s="7"/>
      <c r="G562" s="7"/>
    </row>
    <row r="563">
      <c r="A563" s="7"/>
      <c r="B563" s="7"/>
      <c r="C563" s="7"/>
      <c r="D563" s="7"/>
      <c r="E563" s="21"/>
      <c r="F563" s="7"/>
      <c r="G563" s="7"/>
    </row>
    <row r="564">
      <c r="A564" s="7"/>
      <c r="B564" s="7"/>
      <c r="C564" s="7"/>
      <c r="D564" s="7"/>
      <c r="E564" s="21"/>
      <c r="F564" s="7"/>
      <c r="G564" s="7"/>
    </row>
    <row r="565">
      <c r="A565" s="7"/>
      <c r="B565" s="7"/>
      <c r="C565" s="7"/>
      <c r="D565" s="7"/>
      <c r="E565" s="21"/>
      <c r="F565" s="7"/>
      <c r="G565" s="7"/>
    </row>
    <row r="566">
      <c r="A566" s="7"/>
      <c r="B566" s="7"/>
      <c r="C566" s="7"/>
      <c r="D566" s="7"/>
      <c r="E566" s="21"/>
      <c r="F566" s="7"/>
      <c r="G566" s="7"/>
    </row>
    <row r="567">
      <c r="A567" s="7"/>
      <c r="B567" s="7"/>
      <c r="C567" s="7"/>
      <c r="D567" s="7"/>
      <c r="E567" s="21"/>
      <c r="F567" s="7"/>
      <c r="G567" s="7"/>
    </row>
    <row r="568">
      <c r="A568" s="7"/>
      <c r="B568" s="7"/>
      <c r="C568" s="7"/>
      <c r="D568" s="7"/>
      <c r="E568" s="21"/>
      <c r="F568" s="7"/>
      <c r="G568" s="7"/>
    </row>
    <row r="569">
      <c r="A569" s="7"/>
      <c r="B569" s="7"/>
      <c r="C569" s="7"/>
      <c r="D569" s="7"/>
      <c r="E569" s="21"/>
      <c r="F569" s="7"/>
      <c r="G569" s="7"/>
    </row>
    <row r="570">
      <c r="A570" s="7"/>
      <c r="B570" s="7"/>
      <c r="C570" s="7"/>
      <c r="D570" s="7"/>
      <c r="E570" s="21"/>
      <c r="F570" s="7"/>
      <c r="G570" s="7"/>
    </row>
    <row r="571">
      <c r="A571" s="7"/>
      <c r="B571" s="7"/>
      <c r="C571" s="7"/>
      <c r="D571" s="7"/>
      <c r="E571" s="21"/>
      <c r="F571" s="7"/>
      <c r="G571" s="7"/>
    </row>
    <row r="572">
      <c r="A572" s="7"/>
      <c r="B572" s="7"/>
      <c r="C572" s="7"/>
      <c r="D572" s="7"/>
      <c r="E572" s="21"/>
      <c r="F572" s="7"/>
      <c r="G572" s="7"/>
    </row>
    <row r="573">
      <c r="A573" s="7"/>
      <c r="B573" s="7"/>
      <c r="C573" s="7"/>
      <c r="D573" s="7"/>
      <c r="E573" s="21"/>
      <c r="F573" s="7"/>
      <c r="G573" s="7"/>
    </row>
    <row r="574">
      <c r="A574" s="7"/>
      <c r="B574" s="7"/>
      <c r="C574" s="7"/>
      <c r="D574" s="7"/>
      <c r="E574" s="21"/>
      <c r="F574" s="7"/>
      <c r="G574" s="7"/>
    </row>
    <row r="575">
      <c r="A575" s="7"/>
      <c r="B575" s="7"/>
      <c r="C575" s="7"/>
      <c r="D575" s="7"/>
      <c r="E575" s="21"/>
      <c r="F575" s="7"/>
      <c r="G575" s="7"/>
    </row>
    <row r="576">
      <c r="A576" s="7"/>
      <c r="B576" s="7"/>
      <c r="C576" s="7"/>
      <c r="D576" s="7"/>
      <c r="E576" s="21"/>
      <c r="F576" s="7"/>
      <c r="G576" s="7"/>
    </row>
    <row r="577">
      <c r="A577" s="7"/>
      <c r="B577" s="7"/>
      <c r="C577" s="7"/>
      <c r="D577" s="7"/>
      <c r="E577" s="21"/>
      <c r="F577" s="7"/>
      <c r="G577" s="7"/>
    </row>
    <row r="578">
      <c r="A578" s="7"/>
      <c r="B578" s="7"/>
      <c r="C578" s="7"/>
      <c r="D578" s="7"/>
      <c r="E578" s="21"/>
      <c r="F578" s="7"/>
      <c r="G578" s="7"/>
    </row>
    <row r="579">
      <c r="A579" s="7"/>
      <c r="B579" s="7"/>
      <c r="C579" s="7"/>
      <c r="D579" s="7"/>
      <c r="E579" s="21"/>
      <c r="F579" s="7"/>
      <c r="G579" s="7"/>
    </row>
    <row r="580">
      <c r="A580" s="7"/>
      <c r="B580" s="7"/>
      <c r="C580" s="7"/>
      <c r="D580" s="7"/>
      <c r="E580" s="21"/>
      <c r="F580" s="7"/>
      <c r="G580" s="7"/>
    </row>
    <row r="581">
      <c r="A581" s="7"/>
      <c r="B581" s="7"/>
      <c r="C581" s="7"/>
      <c r="D581" s="7"/>
      <c r="E581" s="21"/>
      <c r="F581" s="7"/>
      <c r="G581" s="7"/>
    </row>
    <row r="582">
      <c r="A582" s="7"/>
      <c r="B582" s="7"/>
      <c r="C582" s="7"/>
      <c r="D582" s="7"/>
      <c r="E582" s="21"/>
      <c r="F582" s="7"/>
      <c r="G582" s="7"/>
    </row>
    <row r="583">
      <c r="A583" s="7"/>
      <c r="B583" s="7"/>
      <c r="C583" s="7"/>
      <c r="D583" s="7"/>
      <c r="E583" s="21"/>
      <c r="F583" s="7"/>
      <c r="G583" s="7"/>
    </row>
    <row r="584">
      <c r="A584" s="7"/>
      <c r="B584" s="7"/>
      <c r="C584" s="7"/>
      <c r="D584" s="7"/>
      <c r="E584" s="21"/>
      <c r="F584" s="7"/>
      <c r="G584" s="7"/>
    </row>
    <row r="585">
      <c r="A585" s="7"/>
      <c r="B585" s="7"/>
      <c r="C585" s="7"/>
      <c r="D585" s="7"/>
      <c r="E585" s="21"/>
      <c r="F585" s="7"/>
      <c r="G585" s="7"/>
    </row>
    <row r="586">
      <c r="A586" s="7"/>
      <c r="B586" s="7"/>
      <c r="C586" s="7"/>
      <c r="D586" s="7"/>
      <c r="E586" s="21"/>
      <c r="F586" s="7"/>
      <c r="G586" s="7"/>
    </row>
    <row r="587">
      <c r="A587" s="7"/>
      <c r="B587" s="7"/>
      <c r="C587" s="7"/>
      <c r="D587" s="7"/>
      <c r="E587" s="21"/>
      <c r="F587" s="7"/>
      <c r="G587" s="7"/>
    </row>
    <row r="588">
      <c r="A588" s="7"/>
      <c r="B588" s="7"/>
      <c r="C588" s="7"/>
      <c r="D588" s="7"/>
      <c r="E588" s="21"/>
      <c r="F588" s="7"/>
      <c r="G588" s="7"/>
    </row>
    <row r="589">
      <c r="A589" s="7"/>
      <c r="B589" s="7"/>
      <c r="C589" s="7"/>
      <c r="D589" s="7"/>
      <c r="E589" s="21"/>
      <c r="F589" s="7"/>
      <c r="G589" s="7"/>
    </row>
    <row r="590">
      <c r="A590" s="7"/>
      <c r="B590" s="7"/>
      <c r="C590" s="7"/>
      <c r="D590" s="7"/>
      <c r="E590" s="21"/>
      <c r="F590" s="7"/>
      <c r="G590" s="7"/>
    </row>
    <row r="591">
      <c r="A591" s="7"/>
      <c r="B591" s="7"/>
      <c r="C591" s="7"/>
      <c r="D591" s="7"/>
      <c r="E591" s="21"/>
      <c r="F591" s="7"/>
      <c r="G591" s="7"/>
    </row>
    <row r="592">
      <c r="A592" s="7"/>
      <c r="B592" s="7"/>
      <c r="C592" s="7"/>
      <c r="D592" s="7"/>
      <c r="E592" s="21"/>
      <c r="F592" s="7"/>
      <c r="G592" s="7"/>
    </row>
    <row r="593">
      <c r="A593" s="7"/>
      <c r="B593" s="7"/>
      <c r="C593" s="7"/>
      <c r="D593" s="7"/>
      <c r="E593" s="21"/>
      <c r="F593" s="7"/>
      <c r="G593" s="7"/>
    </row>
    <row r="594">
      <c r="A594" s="7"/>
      <c r="B594" s="7"/>
      <c r="C594" s="7"/>
      <c r="D594" s="7"/>
      <c r="E594" s="21"/>
      <c r="F594" s="7"/>
      <c r="G594" s="7"/>
    </row>
    <row r="595">
      <c r="A595" s="7"/>
      <c r="B595" s="7"/>
      <c r="C595" s="7"/>
      <c r="D595" s="7"/>
      <c r="E595" s="21"/>
      <c r="F595" s="7"/>
      <c r="G595" s="7"/>
    </row>
    <row r="596">
      <c r="A596" s="7"/>
      <c r="B596" s="7"/>
      <c r="C596" s="7"/>
      <c r="D596" s="7"/>
      <c r="E596" s="21"/>
      <c r="F596" s="7"/>
      <c r="G596" s="7"/>
    </row>
    <row r="597">
      <c r="A597" s="7"/>
      <c r="B597" s="7"/>
      <c r="C597" s="7"/>
      <c r="D597" s="7"/>
      <c r="E597" s="21"/>
      <c r="F597" s="7"/>
      <c r="G597" s="7"/>
    </row>
    <row r="598">
      <c r="A598" s="7"/>
      <c r="B598" s="7"/>
      <c r="C598" s="7"/>
      <c r="D598" s="7"/>
      <c r="E598" s="21"/>
      <c r="F598" s="7"/>
      <c r="G598" s="7"/>
    </row>
    <row r="599">
      <c r="A599" s="7"/>
      <c r="B599" s="7"/>
      <c r="C599" s="7"/>
      <c r="D599" s="7"/>
      <c r="E599" s="21"/>
      <c r="F599" s="7"/>
      <c r="G599" s="7"/>
    </row>
    <row r="600">
      <c r="A600" s="7"/>
      <c r="B600" s="7"/>
      <c r="C600" s="7"/>
      <c r="D600" s="7"/>
      <c r="E600" s="21"/>
      <c r="F600" s="7"/>
      <c r="G600" s="7"/>
    </row>
    <row r="601">
      <c r="A601" s="7"/>
      <c r="B601" s="7"/>
      <c r="C601" s="7"/>
      <c r="D601" s="7"/>
      <c r="E601" s="21"/>
      <c r="F601" s="7"/>
      <c r="G601" s="7"/>
    </row>
    <row r="602">
      <c r="A602" s="7"/>
      <c r="B602" s="7"/>
      <c r="C602" s="7"/>
      <c r="D602" s="7"/>
      <c r="E602" s="21"/>
      <c r="F602" s="7"/>
      <c r="G602" s="7"/>
    </row>
    <row r="603">
      <c r="A603" s="7"/>
      <c r="B603" s="7"/>
      <c r="C603" s="7"/>
      <c r="D603" s="7"/>
      <c r="E603" s="21"/>
      <c r="F603" s="7"/>
      <c r="G603" s="7"/>
    </row>
    <row r="604">
      <c r="A604" s="7"/>
      <c r="B604" s="7"/>
      <c r="C604" s="7"/>
      <c r="D604" s="7"/>
      <c r="E604" s="21"/>
      <c r="F604" s="7"/>
      <c r="G604" s="7"/>
    </row>
    <row r="605">
      <c r="A605" s="7"/>
      <c r="B605" s="7"/>
      <c r="C605" s="7"/>
      <c r="D605" s="7"/>
      <c r="E605" s="21"/>
      <c r="F605" s="7"/>
      <c r="G605" s="7"/>
    </row>
    <row r="606">
      <c r="A606" s="7"/>
      <c r="B606" s="7"/>
      <c r="C606" s="7"/>
      <c r="D606" s="7"/>
      <c r="E606" s="21"/>
      <c r="F606" s="7"/>
      <c r="G606" s="7"/>
    </row>
    <row r="607">
      <c r="A607" s="7"/>
      <c r="B607" s="7"/>
      <c r="C607" s="7"/>
      <c r="D607" s="7"/>
      <c r="E607" s="21"/>
      <c r="F607" s="7"/>
      <c r="G607" s="7"/>
    </row>
    <row r="608">
      <c r="A608" s="7"/>
      <c r="B608" s="7"/>
      <c r="C608" s="7"/>
      <c r="D608" s="7"/>
      <c r="E608" s="21"/>
      <c r="F608" s="7"/>
      <c r="G608" s="7"/>
    </row>
    <row r="609">
      <c r="A609" s="7"/>
      <c r="B609" s="7"/>
      <c r="C609" s="7"/>
      <c r="D609" s="7"/>
      <c r="E609" s="21"/>
      <c r="F609" s="7"/>
      <c r="G609" s="7"/>
    </row>
    <row r="610">
      <c r="A610" s="7"/>
      <c r="B610" s="7"/>
      <c r="C610" s="7"/>
      <c r="D610" s="7"/>
      <c r="E610" s="21"/>
      <c r="F610" s="7"/>
      <c r="G610" s="7"/>
    </row>
    <row r="611">
      <c r="A611" s="7"/>
      <c r="B611" s="7"/>
      <c r="C611" s="7"/>
      <c r="D611" s="7"/>
      <c r="E611" s="21"/>
      <c r="F611" s="7"/>
      <c r="G611" s="7"/>
    </row>
    <row r="612">
      <c r="A612" s="7"/>
      <c r="B612" s="7"/>
      <c r="C612" s="7"/>
      <c r="D612" s="7"/>
      <c r="E612" s="21"/>
      <c r="F612" s="7"/>
      <c r="G612" s="7"/>
    </row>
    <row r="613">
      <c r="A613" s="7"/>
      <c r="B613" s="7"/>
      <c r="C613" s="7"/>
      <c r="D613" s="7"/>
      <c r="E613" s="21"/>
      <c r="F613" s="7"/>
      <c r="G613" s="7"/>
    </row>
    <row r="614">
      <c r="A614" s="7"/>
      <c r="B614" s="7"/>
      <c r="C614" s="7"/>
      <c r="D614" s="7"/>
      <c r="E614" s="21"/>
      <c r="F614" s="7"/>
      <c r="G614" s="7"/>
    </row>
    <row r="615">
      <c r="A615" s="7"/>
      <c r="B615" s="7"/>
      <c r="C615" s="7"/>
      <c r="D615" s="7"/>
      <c r="E615" s="21"/>
      <c r="F615" s="7"/>
      <c r="G615" s="7"/>
    </row>
    <row r="616">
      <c r="A616" s="7"/>
      <c r="B616" s="7"/>
      <c r="C616" s="7"/>
      <c r="D616" s="7"/>
      <c r="E616" s="21"/>
      <c r="F616" s="7"/>
      <c r="G616" s="7"/>
    </row>
    <row r="617">
      <c r="A617" s="7"/>
      <c r="B617" s="7"/>
      <c r="C617" s="7"/>
      <c r="D617" s="7"/>
      <c r="E617" s="21"/>
      <c r="F617" s="7"/>
      <c r="G617" s="7"/>
    </row>
    <row r="618">
      <c r="A618" s="7"/>
      <c r="B618" s="7"/>
      <c r="C618" s="7"/>
      <c r="D618" s="7"/>
      <c r="E618" s="21"/>
      <c r="F618" s="7"/>
      <c r="G618" s="7"/>
    </row>
    <row r="619">
      <c r="A619" s="7"/>
      <c r="B619" s="7"/>
      <c r="C619" s="7"/>
      <c r="D619" s="7"/>
      <c r="E619" s="21"/>
      <c r="F619" s="7"/>
      <c r="G619" s="7"/>
    </row>
    <row r="620">
      <c r="A620" s="7"/>
      <c r="B620" s="7"/>
      <c r="C620" s="7"/>
      <c r="D620" s="7"/>
      <c r="E620" s="21"/>
      <c r="F620" s="7"/>
      <c r="G620" s="7"/>
    </row>
    <row r="621">
      <c r="A621" s="7"/>
      <c r="B621" s="7"/>
      <c r="C621" s="7"/>
      <c r="D621" s="7"/>
      <c r="E621" s="21"/>
      <c r="F621" s="7"/>
      <c r="G621" s="7"/>
    </row>
    <row r="622">
      <c r="A622" s="7"/>
      <c r="B622" s="7"/>
      <c r="C622" s="7"/>
      <c r="D622" s="7"/>
      <c r="E622" s="21"/>
      <c r="F622" s="7"/>
      <c r="G622" s="7"/>
    </row>
    <row r="623">
      <c r="A623" s="7"/>
      <c r="B623" s="7"/>
      <c r="C623" s="7"/>
      <c r="D623" s="7"/>
      <c r="E623" s="21"/>
      <c r="F623" s="7"/>
      <c r="G623" s="7"/>
    </row>
    <row r="624">
      <c r="A624" s="7"/>
      <c r="B624" s="7"/>
      <c r="C624" s="7"/>
      <c r="D624" s="7"/>
      <c r="E624" s="21"/>
      <c r="F624" s="7"/>
      <c r="G624" s="7"/>
    </row>
    <row r="625">
      <c r="A625" s="7"/>
      <c r="B625" s="7"/>
      <c r="C625" s="7"/>
      <c r="D625" s="7"/>
      <c r="E625" s="21"/>
      <c r="F625" s="7"/>
      <c r="G625" s="7"/>
    </row>
    <row r="626">
      <c r="A626" s="7"/>
      <c r="B626" s="7"/>
      <c r="C626" s="7"/>
      <c r="D626" s="7"/>
      <c r="E626" s="21"/>
      <c r="F626" s="7"/>
      <c r="G626" s="7"/>
    </row>
    <row r="627">
      <c r="A627" s="7"/>
      <c r="B627" s="7"/>
      <c r="C627" s="7"/>
      <c r="D627" s="7"/>
      <c r="E627" s="21"/>
      <c r="F627" s="7"/>
      <c r="G627" s="7"/>
    </row>
    <row r="628">
      <c r="A628" s="7"/>
      <c r="B628" s="7"/>
      <c r="C628" s="7"/>
      <c r="D628" s="7"/>
      <c r="E628" s="21"/>
      <c r="F628" s="7"/>
      <c r="G628" s="7"/>
    </row>
    <row r="629">
      <c r="A629" s="7"/>
      <c r="B629" s="7"/>
      <c r="C629" s="7"/>
      <c r="D629" s="7"/>
      <c r="E629" s="21"/>
      <c r="F629" s="7"/>
      <c r="G629" s="7"/>
    </row>
    <row r="630">
      <c r="A630" s="7"/>
      <c r="B630" s="7"/>
      <c r="C630" s="7"/>
      <c r="D630" s="7"/>
      <c r="E630" s="21"/>
      <c r="F630" s="7"/>
      <c r="G630" s="7"/>
    </row>
    <row r="631">
      <c r="A631" s="7"/>
      <c r="B631" s="7"/>
      <c r="C631" s="7"/>
      <c r="D631" s="7"/>
      <c r="E631" s="21"/>
      <c r="F631" s="7"/>
      <c r="G631" s="7"/>
    </row>
    <row r="632">
      <c r="A632" s="7"/>
      <c r="B632" s="7"/>
      <c r="C632" s="7"/>
      <c r="D632" s="7"/>
      <c r="E632" s="21"/>
      <c r="F632" s="7"/>
      <c r="G632" s="7"/>
    </row>
    <row r="633">
      <c r="A633" s="7"/>
      <c r="B633" s="7"/>
      <c r="C633" s="7"/>
      <c r="D633" s="7"/>
      <c r="E633" s="21"/>
      <c r="F633" s="7"/>
      <c r="G633" s="7"/>
    </row>
    <row r="634">
      <c r="A634" s="7"/>
      <c r="B634" s="7"/>
      <c r="C634" s="7"/>
      <c r="D634" s="7"/>
      <c r="E634" s="21"/>
      <c r="F634" s="7"/>
      <c r="G634" s="7"/>
    </row>
    <row r="635">
      <c r="A635" s="7"/>
      <c r="B635" s="7"/>
      <c r="C635" s="7"/>
      <c r="D635" s="7"/>
      <c r="E635" s="21"/>
      <c r="F635" s="7"/>
      <c r="G635" s="7"/>
    </row>
    <row r="636">
      <c r="A636" s="7"/>
      <c r="B636" s="7"/>
      <c r="C636" s="7"/>
      <c r="D636" s="7"/>
      <c r="E636" s="21"/>
      <c r="F636" s="7"/>
      <c r="G636" s="7"/>
    </row>
    <row r="637">
      <c r="A637" s="7"/>
      <c r="B637" s="7"/>
      <c r="C637" s="7"/>
      <c r="D637" s="7"/>
      <c r="E637" s="21"/>
      <c r="F637" s="7"/>
      <c r="G637" s="7"/>
    </row>
    <row r="638">
      <c r="A638" s="7"/>
      <c r="B638" s="7"/>
      <c r="C638" s="7"/>
      <c r="D638" s="7"/>
      <c r="E638" s="21"/>
      <c r="F638" s="7"/>
      <c r="G638" s="7"/>
    </row>
    <row r="639">
      <c r="A639" s="7"/>
      <c r="B639" s="7"/>
      <c r="C639" s="7"/>
      <c r="D639" s="7"/>
      <c r="E639" s="21"/>
      <c r="F639" s="7"/>
      <c r="G639" s="7"/>
    </row>
    <row r="640">
      <c r="A640" s="7"/>
      <c r="B640" s="7"/>
      <c r="C640" s="7"/>
      <c r="D640" s="7"/>
      <c r="E640" s="21"/>
      <c r="F640" s="7"/>
      <c r="G640" s="7"/>
    </row>
    <row r="641">
      <c r="A641" s="7"/>
      <c r="B641" s="7"/>
      <c r="C641" s="7"/>
      <c r="D641" s="7"/>
      <c r="E641" s="21"/>
      <c r="F641" s="7"/>
      <c r="G641" s="7"/>
    </row>
    <row r="642">
      <c r="A642" s="7"/>
      <c r="B642" s="7"/>
      <c r="C642" s="7"/>
      <c r="D642" s="7"/>
      <c r="E642" s="21"/>
      <c r="F642" s="7"/>
      <c r="G642" s="7"/>
    </row>
    <row r="643">
      <c r="A643" s="7"/>
      <c r="B643" s="7"/>
      <c r="C643" s="7"/>
      <c r="D643" s="7"/>
      <c r="E643" s="21"/>
      <c r="F643" s="7"/>
      <c r="G643" s="7"/>
    </row>
    <row r="644">
      <c r="A644" s="7"/>
      <c r="B644" s="7"/>
      <c r="C644" s="7"/>
      <c r="D644" s="7"/>
      <c r="E644" s="21"/>
      <c r="F644" s="7"/>
      <c r="G644" s="7"/>
    </row>
    <row r="645">
      <c r="A645" s="7"/>
      <c r="B645" s="7"/>
      <c r="C645" s="7"/>
      <c r="D645" s="7"/>
      <c r="E645" s="21"/>
      <c r="F645" s="7"/>
      <c r="G645" s="7"/>
    </row>
    <row r="646">
      <c r="A646" s="7"/>
      <c r="B646" s="7"/>
      <c r="C646" s="7"/>
      <c r="D646" s="7"/>
      <c r="E646" s="21"/>
      <c r="F646" s="7"/>
      <c r="G646" s="7"/>
    </row>
    <row r="647">
      <c r="A647" s="7"/>
      <c r="B647" s="7"/>
      <c r="C647" s="7"/>
      <c r="D647" s="7"/>
      <c r="E647" s="21"/>
      <c r="F647" s="7"/>
      <c r="G647" s="7"/>
    </row>
    <row r="648">
      <c r="A648" s="7"/>
      <c r="B648" s="7"/>
      <c r="C648" s="7"/>
      <c r="D648" s="7"/>
      <c r="E648" s="21"/>
      <c r="F648" s="7"/>
      <c r="G648" s="7"/>
    </row>
    <row r="649">
      <c r="A649" s="7"/>
      <c r="B649" s="7"/>
      <c r="C649" s="7"/>
      <c r="D649" s="7"/>
      <c r="E649" s="21"/>
      <c r="F649" s="7"/>
      <c r="G649" s="7"/>
    </row>
    <row r="650">
      <c r="A650" s="7"/>
      <c r="B650" s="7"/>
      <c r="C650" s="7"/>
      <c r="D650" s="7"/>
      <c r="E650" s="21"/>
      <c r="F650" s="7"/>
      <c r="G650" s="7"/>
    </row>
    <row r="651">
      <c r="A651" s="7"/>
      <c r="B651" s="7"/>
      <c r="C651" s="7"/>
      <c r="D651" s="7"/>
      <c r="E651" s="21"/>
      <c r="F651" s="7"/>
      <c r="G651" s="7"/>
    </row>
    <row r="652">
      <c r="A652" s="7"/>
      <c r="B652" s="7"/>
      <c r="C652" s="7"/>
      <c r="D652" s="7"/>
      <c r="E652" s="21"/>
      <c r="F652" s="7"/>
      <c r="G652" s="7"/>
    </row>
    <row r="653">
      <c r="A653" s="7"/>
      <c r="B653" s="7"/>
      <c r="C653" s="7"/>
      <c r="D653" s="7"/>
      <c r="E653" s="21"/>
      <c r="F653" s="7"/>
      <c r="G653" s="7"/>
    </row>
    <row r="654">
      <c r="A654" s="7"/>
      <c r="B654" s="7"/>
      <c r="C654" s="7"/>
      <c r="D654" s="7"/>
      <c r="E654" s="21"/>
      <c r="F654" s="7"/>
      <c r="G654" s="7"/>
    </row>
    <row r="655">
      <c r="A655" s="7"/>
      <c r="B655" s="7"/>
      <c r="C655" s="7"/>
      <c r="D655" s="7"/>
      <c r="E655" s="21"/>
      <c r="F655" s="7"/>
      <c r="G655" s="7"/>
    </row>
    <row r="656">
      <c r="A656" s="7"/>
      <c r="B656" s="7"/>
      <c r="C656" s="7"/>
      <c r="D656" s="7"/>
      <c r="E656" s="21"/>
      <c r="F656" s="7"/>
      <c r="G656" s="7"/>
    </row>
    <row r="657">
      <c r="A657" s="7"/>
      <c r="B657" s="7"/>
      <c r="C657" s="7"/>
      <c r="D657" s="7"/>
      <c r="E657" s="21"/>
      <c r="F657" s="7"/>
      <c r="G657" s="7"/>
    </row>
    <row r="658">
      <c r="A658" s="7"/>
      <c r="B658" s="7"/>
      <c r="C658" s="7"/>
      <c r="D658" s="7"/>
      <c r="E658" s="21"/>
      <c r="F658" s="7"/>
      <c r="G658" s="7"/>
    </row>
    <row r="659">
      <c r="A659" s="7"/>
      <c r="B659" s="7"/>
      <c r="C659" s="7"/>
      <c r="D659" s="7"/>
      <c r="E659" s="21"/>
      <c r="F659" s="7"/>
      <c r="G659" s="7"/>
    </row>
    <row r="660">
      <c r="A660" s="7"/>
      <c r="B660" s="7"/>
      <c r="C660" s="7"/>
      <c r="D660" s="7"/>
      <c r="E660" s="21"/>
      <c r="F660" s="7"/>
      <c r="G660" s="7"/>
    </row>
    <row r="661">
      <c r="A661" s="7"/>
      <c r="B661" s="7"/>
      <c r="C661" s="7"/>
      <c r="D661" s="7"/>
      <c r="E661" s="21"/>
      <c r="F661" s="7"/>
      <c r="G661" s="7"/>
    </row>
    <row r="662">
      <c r="A662" s="7"/>
      <c r="B662" s="7"/>
      <c r="C662" s="7"/>
      <c r="D662" s="7"/>
      <c r="E662" s="21"/>
      <c r="F662" s="7"/>
      <c r="G662" s="7"/>
    </row>
    <row r="663">
      <c r="A663" s="7"/>
      <c r="B663" s="7"/>
      <c r="C663" s="7"/>
      <c r="D663" s="7"/>
      <c r="E663" s="21"/>
      <c r="F663" s="7"/>
      <c r="G663" s="7"/>
    </row>
    <row r="664">
      <c r="A664" s="7"/>
      <c r="B664" s="7"/>
      <c r="C664" s="7"/>
      <c r="D664" s="7"/>
      <c r="E664" s="21"/>
      <c r="F664" s="7"/>
      <c r="G664" s="7"/>
    </row>
    <row r="665">
      <c r="A665" s="7"/>
      <c r="B665" s="7"/>
      <c r="C665" s="7"/>
      <c r="D665" s="7"/>
      <c r="E665" s="21"/>
      <c r="F665" s="7"/>
      <c r="G665" s="7"/>
    </row>
    <row r="666">
      <c r="A666" s="7"/>
      <c r="B666" s="7"/>
      <c r="C666" s="7"/>
      <c r="D666" s="7"/>
      <c r="E666" s="21"/>
      <c r="F666" s="7"/>
      <c r="G666" s="7"/>
    </row>
    <row r="667">
      <c r="A667" s="7"/>
      <c r="B667" s="7"/>
      <c r="C667" s="7"/>
      <c r="D667" s="7"/>
      <c r="E667" s="21"/>
      <c r="F667" s="7"/>
      <c r="G667" s="7"/>
    </row>
    <row r="668">
      <c r="A668" s="7"/>
      <c r="B668" s="7"/>
      <c r="C668" s="7"/>
      <c r="D668" s="7"/>
      <c r="E668" s="21"/>
      <c r="F668" s="7"/>
      <c r="G668" s="7"/>
    </row>
    <row r="669">
      <c r="A669" s="7"/>
      <c r="B669" s="7"/>
      <c r="C669" s="7"/>
      <c r="D669" s="7"/>
      <c r="E669" s="21"/>
      <c r="F669" s="7"/>
      <c r="G669" s="7"/>
    </row>
    <row r="670">
      <c r="A670" s="7"/>
      <c r="B670" s="7"/>
      <c r="C670" s="7"/>
      <c r="D670" s="7"/>
      <c r="E670" s="21"/>
      <c r="F670" s="7"/>
      <c r="G670" s="7"/>
    </row>
    <row r="671">
      <c r="A671" s="7"/>
      <c r="B671" s="7"/>
      <c r="C671" s="7"/>
      <c r="D671" s="7"/>
      <c r="E671" s="21"/>
      <c r="F671" s="7"/>
      <c r="G671" s="7"/>
    </row>
    <row r="672">
      <c r="A672" s="7"/>
      <c r="B672" s="7"/>
      <c r="C672" s="7"/>
      <c r="D672" s="7"/>
      <c r="E672" s="21"/>
      <c r="F672" s="7"/>
      <c r="G672" s="7"/>
    </row>
    <row r="673">
      <c r="A673" s="7"/>
      <c r="B673" s="7"/>
      <c r="C673" s="7"/>
      <c r="D673" s="7"/>
      <c r="E673" s="21"/>
      <c r="F673" s="7"/>
      <c r="G673" s="7"/>
    </row>
    <row r="674">
      <c r="A674" s="7"/>
      <c r="B674" s="7"/>
      <c r="C674" s="7"/>
      <c r="D674" s="7"/>
      <c r="E674" s="21"/>
      <c r="F674" s="7"/>
      <c r="G674" s="7"/>
    </row>
    <row r="675">
      <c r="A675" s="7"/>
      <c r="B675" s="7"/>
      <c r="C675" s="7"/>
      <c r="D675" s="7"/>
      <c r="E675" s="21"/>
      <c r="F675" s="7"/>
      <c r="G675" s="7"/>
    </row>
    <row r="676">
      <c r="A676" s="7"/>
      <c r="B676" s="7"/>
      <c r="C676" s="7"/>
      <c r="D676" s="7"/>
      <c r="E676" s="21"/>
      <c r="F676" s="7"/>
      <c r="G676" s="7"/>
    </row>
    <row r="677">
      <c r="A677" s="7"/>
      <c r="B677" s="7"/>
      <c r="C677" s="7"/>
      <c r="D677" s="7"/>
      <c r="E677" s="21"/>
      <c r="F677" s="7"/>
      <c r="G677" s="7"/>
    </row>
    <row r="678">
      <c r="A678" s="7"/>
      <c r="B678" s="7"/>
      <c r="C678" s="7"/>
      <c r="D678" s="7"/>
      <c r="E678" s="21"/>
      <c r="F678" s="7"/>
      <c r="G678" s="7"/>
    </row>
    <row r="679">
      <c r="A679" s="7"/>
      <c r="B679" s="7"/>
      <c r="C679" s="7"/>
      <c r="D679" s="7"/>
      <c r="E679" s="21"/>
      <c r="F679" s="7"/>
      <c r="G679" s="7"/>
    </row>
    <row r="680">
      <c r="A680" s="7"/>
      <c r="B680" s="7"/>
      <c r="C680" s="7"/>
      <c r="D680" s="7"/>
      <c r="E680" s="21"/>
      <c r="F680" s="7"/>
      <c r="G680" s="7"/>
    </row>
    <row r="681">
      <c r="A681" s="7"/>
      <c r="B681" s="7"/>
      <c r="C681" s="7"/>
      <c r="D681" s="7"/>
      <c r="E681" s="21"/>
      <c r="F681" s="7"/>
      <c r="G681" s="7"/>
    </row>
    <row r="682">
      <c r="A682" s="7"/>
      <c r="B682" s="7"/>
      <c r="C682" s="7"/>
      <c r="D682" s="7"/>
      <c r="E682" s="21"/>
      <c r="F682" s="7"/>
      <c r="G682" s="7"/>
    </row>
    <row r="683">
      <c r="A683" s="7"/>
      <c r="B683" s="7"/>
      <c r="C683" s="7"/>
      <c r="D683" s="7"/>
      <c r="E683" s="21"/>
      <c r="F683" s="7"/>
      <c r="G683" s="7"/>
    </row>
    <row r="684">
      <c r="A684" s="7"/>
      <c r="B684" s="7"/>
      <c r="C684" s="7"/>
      <c r="D684" s="7"/>
      <c r="E684" s="21"/>
      <c r="F684" s="7"/>
      <c r="G684" s="7"/>
    </row>
    <row r="685">
      <c r="A685" s="7"/>
      <c r="B685" s="7"/>
      <c r="C685" s="7"/>
      <c r="D685" s="7"/>
      <c r="E685" s="21"/>
      <c r="F685" s="7"/>
      <c r="G685" s="7"/>
    </row>
    <row r="686">
      <c r="A686" s="7"/>
      <c r="B686" s="7"/>
      <c r="C686" s="7"/>
      <c r="D686" s="7"/>
      <c r="E686" s="21"/>
      <c r="F686" s="7"/>
      <c r="G686" s="7"/>
    </row>
    <row r="687">
      <c r="A687" s="7"/>
      <c r="B687" s="7"/>
      <c r="C687" s="7"/>
      <c r="D687" s="7"/>
      <c r="E687" s="21"/>
      <c r="F687" s="7"/>
      <c r="G687" s="7"/>
    </row>
    <row r="688">
      <c r="A688" s="7"/>
      <c r="B688" s="7"/>
      <c r="C688" s="7"/>
      <c r="D688" s="7"/>
      <c r="E688" s="21"/>
      <c r="F688" s="7"/>
      <c r="G688" s="7"/>
    </row>
    <row r="689">
      <c r="A689" s="7"/>
      <c r="B689" s="7"/>
      <c r="C689" s="7"/>
      <c r="D689" s="7"/>
      <c r="E689" s="21"/>
      <c r="F689" s="7"/>
      <c r="G689" s="7"/>
    </row>
    <row r="690">
      <c r="A690" s="7"/>
      <c r="B690" s="7"/>
      <c r="C690" s="7"/>
      <c r="D690" s="7"/>
      <c r="E690" s="21"/>
      <c r="F690" s="7"/>
      <c r="G690" s="7"/>
    </row>
    <row r="691">
      <c r="A691" s="7"/>
      <c r="B691" s="7"/>
      <c r="C691" s="7"/>
      <c r="D691" s="7"/>
      <c r="E691" s="21"/>
      <c r="F691" s="7"/>
      <c r="G691" s="7"/>
    </row>
    <row r="692">
      <c r="A692" s="7"/>
      <c r="B692" s="7"/>
      <c r="C692" s="7"/>
      <c r="D692" s="7"/>
      <c r="E692" s="21"/>
      <c r="F692" s="7"/>
      <c r="G692" s="7"/>
    </row>
    <row r="693">
      <c r="A693" s="7"/>
      <c r="B693" s="7"/>
      <c r="C693" s="7"/>
      <c r="D693" s="7"/>
      <c r="E693" s="21"/>
      <c r="F693" s="7"/>
      <c r="G693" s="7"/>
    </row>
    <row r="694">
      <c r="A694" s="7"/>
      <c r="B694" s="7"/>
      <c r="C694" s="7"/>
      <c r="D694" s="7"/>
      <c r="E694" s="21"/>
      <c r="F694" s="7"/>
      <c r="G694" s="7"/>
    </row>
    <row r="695">
      <c r="A695" s="7"/>
      <c r="B695" s="7"/>
      <c r="C695" s="7"/>
      <c r="D695" s="7"/>
      <c r="E695" s="21"/>
      <c r="F695" s="7"/>
      <c r="G695" s="7"/>
    </row>
    <row r="696">
      <c r="A696" s="7"/>
      <c r="B696" s="7"/>
      <c r="C696" s="7"/>
      <c r="D696" s="7"/>
      <c r="E696" s="21"/>
      <c r="F696" s="7"/>
      <c r="G696" s="7"/>
    </row>
    <row r="697">
      <c r="A697" s="7"/>
      <c r="B697" s="7"/>
      <c r="C697" s="7"/>
      <c r="D697" s="7"/>
      <c r="E697" s="21"/>
      <c r="F697" s="7"/>
      <c r="G697" s="7"/>
    </row>
    <row r="698">
      <c r="A698" s="7"/>
      <c r="B698" s="7"/>
      <c r="C698" s="7"/>
      <c r="D698" s="7"/>
      <c r="E698" s="21"/>
      <c r="F698" s="7"/>
      <c r="G698" s="7"/>
    </row>
    <row r="699">
      <c r="A699" s="7"/>
      <c r="B699" s="7"/>
      <c r="C699" s="7"/>
      <c r="D699" s="7"/>
      <c r="E699" s="21"/>
      <c r="F699" s="7"/>
      <c r="G699" s="7"/>
    </row>
    <row r="700">
      <c r="A700" s="7"/>
      <c r="B700" s="7"/>
      <c r="C700" s="7"/>
      <c r="D700" s="7"/>
      <c r="E700" s="21"/>
      <c r="F700" s="7"/>
      <c r="G700" s="7"/>
    </row>
    <row r="701">
      <c r="A701" s="7"/>
      <c r="B701" s="7"/>
      <c r="C701" s="7"/>
      <c r="D701" s="7"/>
      <c r="E701" s="21"/>
      <c r="F701" s="7"/>
      <c r="G701" s="7"/>
    </row>
    <row r="702">
      <c r="A702" s="7"/>
      <c r="B702" s="7"/>
      <c r="C702" s="7"/>
      <c r="D702" s="7"/>
      <c r="E702" s="21"/>
      <c r="F702" s="7"/>
      <c r="G702" s="7"/>
    </row>
    <row r="703">
      <c r="A703" s="7"/>
      <c r="B703" s="7"/>
      <c r="C703" s="7"/>
      <c r="D703" s="7"/>
      <c r="E703" s="21"/>
      <c r="F703" s="7"/>
      <c r="G703" s="7"/>
    </row>
    <row r="704">
      <c r="A704" s="7"/>
      <c r="B704" s="7"/>
      <c r="C704" s="7"/>
      <c r="D704" s="7"/>
      <c r="E704" s="21"/>
      <c r="F704" s="7"/>
      <c r="G704" s="7"/>
    </row>
    <row r="705">
      <c r="A705" s="7"/>
      <c r="B705" s="7"/>
      <c r="C705" s="7"/>
      <c r="D705" s="7"/>
      <c r="E705" s="21"/>
      <c r="F705" s="7"/>
      <c r="G705" s="7"/>
    </row>
    <row r="706">
      <c r="A706" s="7"/>
      <c r="B706" s="7"/>
      <c r="C706" s="7"/>
      <c r="D706" s="7"/>
      <c r="E706" s="21"/>
      <c r="F706" s="7"/>
      <c r="G706" s="7"/>
    </row>
    <row r="707">
      <c r="A707" s="7"/>
      <c r="B707" s="7"/>
      <c r="C707" s="7"/>
      <c r="D707" s="7"/>
      <c r="E707" s="21"/>
      <c r="F707" s="7"/>
      <c r="G707" s="7"/>
    </row>
    <row r="708">
      <c r="A708" s="7"/>
      <c r="B708" s="7"/>
      <c r="C708" s="7"/>
      <c r="D708" s="7"/>
      <c r="E708" s="21"/>
      <c r="F708" s="7"/>
      <c r="G708" s="7"/>
    </row>
    <row r="709">
      <c r="A709" s="7"/>
      <c r="B709" s="7"/>
      <c r="C709" s="7"/>
      <c r="D709" s="7"/>
      <c r="E709" s="21"/>
      <c r="F709" s="7"/>
      <c r="G709" s="7"/>
    </row>
    <row r="710">
      <c r="A710" s="7"/>
      <c r="B710" s="7"/>
      <c r="C710" s="7"/>
      <c r="D710" s="7"/>
      <c r="E710" s="21"/>
      <c r="F710" s="7"/>
      <c r="G710" s="7"/>
    </row>
    <row r="711">
      <c r="A711" s="7"/>
      <c r="B711" s="7"/>
      <c r="C711" s="7"/>
      <c r="D711" s="7"/>
      <c r="E711" s="21"/>
      <c r="F711" s="7"/>
      <c r="G711" s="7"/>
    </row>
    <row r="712">
      <c r="A712" s="7"/>
      <c r="B712" s="7"/>
      <c r="C712" s="7"/>
      <c r="D712" s="7"/>
      <c r="E712" s="21"/>
      <c r="F712" s="7"/>
      <c r="G712" s="7"/>
    </row>
    <row r="713">
      <c r="A713" s="7"/>
      <c r="B713" s="7"/>
      <c r="C713" s="7"/>
      <c r="D713" s="7"/>
      <c r="E713" s="21"/>
      <c r="F713" s="7"/>
      <c r="G713" s="7"/>
    </row>
    <row r="714">
      <c r="A714" s="7"/>
      <c r="B714" s="7"/>
      <c r="C714" s="7"/>
      <c r="D714" s="7"/>
      <c r="E714" s="21"/>
      <c r="F714" s="7"/>
      <c r="G714" s="7"/>
    </row>
    <row r="715">
      <c r="A715" s="7"/>
      <c r="B715" s="7"/>
      <c r="C715" s="7"/>
      <c r="D715" s="7"/>
      <c r="E715" s="21"/>
      <c r="F715" s="7"/>
      <c r="G715" s="7"/>
    </row>
    <row r="716">
      <c r="A716" s="7"/>
      <c r="B716" s="7"/>
      <c r="C716" s="7"/>
      <c r="D716" s="7"/>
      <c r="E716" s="21"/>
      <c r="F716" s="7"/>
      <c r="G716" s="7"/>
    </row>
    <row r="717">
      <c r="A717" s="7"/>
      <c r="B717" s="7"/>
      <c r="C717" s="7"/>
      <c r="D717" s="7"/>
      <c r="E717" s="21"/>
      <c r="F717" s="7"/>
      <c r="G717" s="7"/>
    </row>
    <row r="718">
      <c r="A718" s="7"/>
      <c r="B718" s="7"/>
      <c r="C718" s="7"/>
      <c r="D718" s="7"/>
      <c r="E718" s="21"/>
      <c r="F718" s="7"/>
      <c r="G718" s="7"/>
    </row>
    <row r="719">
      <c r="A719" s="7"/>
      <c r="B719" s="7"/>
      <c r="C719" s="7"/>
      <c r="D719" s="7"/>
      <c r="E719" s="21"/>
      <c r="F719" s="7"/>
      <c r="G719" s="7"/>
    </row>
    <row r="720">
      <c r="A720" s="7"/>
      <c r="B720" s="7"/>
      <c r="C720" s="7"/>
      <c r="D720" s="7"/>
      <c r="E720" s="21"/>
      <c r="F720" s="7"/>
      <c r="G720" s="7"/>
    </row>
    <row r="721">
      <c r="A721" s="7"/>
      <c r="B721" s="7"/>
      <c r="C721" s="7"/>
      <c r="D721" s="7"/>
      <c r="E721" s="21"/>
      <c r="F721" s="7"/>
      <c r="G721" s="7"/>
    </row>
    <row r="722">
      <c r="A722" s="7"/>
      <c r="B722" s="7"/>
      <c r="C722" s="7"/>
      <c r="D722" s="7"/>
      <c r="E722" s="21"/>
      <c r="F722" s="7"/>
      <c r="G722" s="7"/>
    </row>
    <row r="723">
      <c r="A723" s="7"/>
      <c r="B723" s="7"/>
      <c r="C723" s="7"/>
      <c r="D723" s="7"/>
      <c r="E723" s="21"/>
      <c r="F723" s="7"/>
      <c r="G723" s="7"/>
    </row>
    <row r="724">
      <c r="A724" s="7"/>
      <c r="B724" s="7"/>
      <c r="C724" s="7"/>
      <c r="D724" s="7"/>
      <c r="E724" s="21"/>
      <c r="F724" s="7"/>
      <c r="G724" s="7"/>
    </row>
    <row r="725">
      <c r="A725" s="7"/>
      <c r="B725" s="7"/>
      <c r="C725" s="7"/>
      <c r="D725" s="7"/>
      <c r="E725" s="21"/>
      <c r="F725" s="7"/>
      <c r="G725" s="7"/>
    </row>
    <row r="726">
      <c r="A726" s="7"/>
      <c r="B726" s="7"/>
      <c r="C726" s="7"/>
      <c r="D726" s="7"/>
      <c r="E726" s="21"/>
      <c r="F726" s="7"/>
      <c r="G726" s="7"/>
    </row>
    <row r="727">
      <c r="A727" s="7"/>
      <c r="B727" s="7"/>
      <c r="C727" s="7"/>
      <c r="D727" s="7"/>
      <c r="E727" s="21"/>
      <c r="F727" s="7"/>
      <c r="G727" s="7"/>
    </row>
    <row r="728">
      <c r="A728" s="7"/>
      <c r="B728" s="7"/>
      <c r="C728" s="7"/>
      <c r="D728" s="7"/>
      <c r="E728" s="21"/>
      <c r="F728" s="7"/>
      <c r="G728" s="7"/>
    </row>
    <row r="729">
      <c r="A729" s="7"/>
      <c r="B729" s="7"/>
      <c r="C729" s="7"/>
      <c r="D729" s="7"/>
      <c r="E729" s="21"/>
      <c r="F729" s="7"/>
      <c r="G729" s="7"/>
    </row>
    <row r="730">
      <c r="A730" s="7"/>
      <c r="B730" s="7"/>
      <c r="C730" s="7"/>
      <c r="D730" s="7"/>
      <c r="E730" s="21"/>
      <c r="F730" s="7"/>
      <c r="G730" s="7"/>
    </row>
    <row r="731">
      <c r="A731" s="7"/>
      <c r="B731" s="7"/>
      <c r="C731" s="7"/>
      <c r="D731" s="7"/>
      <c r="E731" s="21"/>
      <c r="F731" s="7"/>
      <c r="G731" s="7"/>
    </row>
    <row r="732">
      <c r="A732" s="7"/>
      <c r="B732" s="7"/>
      <c r="C732" s="7"/>
      <c r="D732" s="7"/>
      <c r="E732" s="21"/>
      <c r="F732" s="7"/>
      <c r="G732" s="7"/>
    </row>
    <row r="733">
      <c r="A733" s="7"/>
      <c r="B733" s="7"/>
      <c r="C733" s="7"/>
      <c r="D733" s="7"/>
      <c r="E733" s="21"/>
      <c r="F733" s="7"/>
      <c r="G733" s="7"/>
    </row>
    <row r="734">
      <c r="A734" s="7"/>
      <c r="B734" s="7"/>
      <c r="C734" s="7"/>
      <c r="D734" s="7"/>
      <c r="E734" s="21"/>
      <c r="F734" s="7"/>
      <c r="G734" s="7"/>
    </row>
    <row r="735">
      <c r="A735" s="7"/>
      <c r="B735" s="7"/>
      <c r="C735" s="7"/>
      <c r="D735" s="7"/>
      <c r="E735" s="21"/>
      <c r="F735" s="7"/>
      <c r="G735" s="7"/>
    </row>
    <row r="736">
      <c r="A736" s="7"/>
      <c r="B736" s="7"/>
      <c r="C736" s="7"/>
      <c r="D736" s="7"/>
      <c r="E736" s="21"/>
      <c r="F736" s="7"/>
      <c r="G736" s="7"/>
    </row>
    <row r="737">
      <c r="A737" s="7"/>
      <c r="B737" s="7"/>
      <c r="C737" s="7"/>
      <c r="D737" s="7"/>
      <c r="E737" s="21"/>
      <c r="F737" s="7"/>
      <c r="G737" s="7"/>
    </row>
    <row r="738">
      <c r="A738" s="7"/>
      <c r="B738" s="7"/>
      <c r="C738" s="7"/>
      <c r="D738" s="7"/>
      <c r="E738" s="21"/>
      <c r="F738" s="7"/>
      <c r="G738" s="7"/>
    </row>
    <row r="739">
      <c r="A739" s="7"/>
      <c r="B739" s="7"/>
      <c r="C739" s="7"/>
      <c r="D739" s="7"/>
      <c r="E739" s="21"/>
      <c r="F739" s="7"/>
      <c r="G739" s="7"/>
    </row>
    <row r="740">
      <c r="A740" s="7"/>
      <c r="B740" s="7"/>
      <c r="C740" s="7"/>
      <c r="D740" s="7"/>
      <c r="E740" s="21"/>
      <c r="F740" s="7"/>
      <c r="G740" s="7"/>
    </row>
    <row r="741">
      <c r="A741" s="7"/>
      <c r="B741" s="7"/>
      <c r="C741" s="7"/>
      <c r="D741" s="7"/>
      <c r="E741" s="21"/>
      <c r="F741" s="7"/>
      <c r="G741" s="7"/>
    </row>
    <row r="742">
      <c r="A742" s="7"/>
      <c r="B742" s="7"/>
      <c r="C742" s="7"/>
      <c r="D742" s="7"/>
      <c r="E742" s="21"/>
      <c r="F742" s="7"/>
      <c r="G742" s="7"/>
    </row>
    <row r="743">
      <c r="A743" s="7"/>
      <c r="B743" s="7"/>
      <c r="C743" s="7"/>
      <c r="D743" s="7"/>
      <c r="E743" s="21"/>
      <c r="F743" s="7"/>
      <c r="G743" s="7"/>
    </row>
    <row r="744">
      <c r="A744" s="7"/>
      <c r="B744" s="7"/>
      <c r="C744" s="7"/>
      <c r="D744" s="7"/>
      <c r="E744" s="21"/>
      <c r="F744" s="7"/>
      <c r="G744" s="7"/>
    </row>
    <row r="745">
      <c r="A745" s="7"/>
      <c r="B745" s="7"/>
      <c r="C745" s="7"/>
      <c r="D745" s="7"/>
      <c r="E745" s="21"/>
      <c r="F745" s="7"/>
      <c r="G745" s="7"/>
    </row>
    <row r="746">
      <c r="A746" s="7"/>
      <c r="B746" s="7"/>
      <c r="C746" s="7"/>
      <c r="D746" s="7"/>
      <c r="E746" s="21"/>
      <c r="F746" s="7"/>
      <c r="G746" s="7"/>
    </row>
    <row r="747">
      <c r="A747" s="7"/>
      <c r="B747" s="7"/>
      <c r="C747" s="7"/>
      <c r="D747" s="7"/>
      <c r="E747" s="21"/>
      <c r="F747" s="7"/>
      <c r="G747" s="7"/>
    </row>
    <row r="748">
      <c r="A748" s="7"/>
      <c r="B748" s="7"/>
      <c r="C748" s="7"/>
      <c r="D748" s="7"/>
      <c r="E748" s="21"/>
      <c r="F748" s="7"/>
      <c r="G748" s="7"/>
    </row>
    <row r="749">
      <c r="A749" s="7"/>
      <c r="B749" s="7"/>
      <c r="C749" s="7"/>
      <c r="D749" s="7"/>
      <c r="E749" s="21"/>
      <c r="F749" s="7"/>
      <c r="G749" s="7"/>
    </row>
    <row r="750">
      <c r="A750" s="7"/>
      <c r="B750" s="7"/>
      <c r="C750" s="7"/>
      <c r="D750" s="7"/>
      <c r="E750" s="21"/>
      <c r="F750" s="7"/>
      <c r="G750" s="7"/>
    </row>
    <row r="751">
      <c r="A751" s="7"/>
      <c r="B751" s="7"/>
      <c r="C751" s="7"/>
      <c r="D751" s="7"/>
      <c r="E751" s="21"/>
      <c r="F751" s="7"/>
      <c r="G751" s="7"/>
    </row>
    <row r="752">
      <c r="A752" s="7"/>
      <c r="B752" s="7"/>
      <c r="C752" s="7"/>
      <c r="D752" s="7"/>
      <c r="E752" s="21"/>
      <c r="F752" s="7"/>
      <c r="G752" s="7"/>
    </row>
    <row r="753">
      <c r="A753" s="7"/>
      <c r="B753" s="7"/>
      <c r="C753" s="7"/>
      <c r="D753" s="7"/>
      <c r="E753" s="21"/>
      <c r="F753" s="7"/>
      <c r="G753" s="7"/>
    </row>
    <row r="754">
      <c r="A754" s="7"/>
      <c r="B754" s="7"/>
      <c r="C754" s="7"/>
      <c r="D754" s="7"/>
      <c r="E754" s="21"/>
      <c r="F754" s="7"/>
      <c r="G754" s="7"/>
    </row>
    <row r="755">
      <c r="A755" s="7"/>
      <c r="B755" s="7"/>
      <c r="C755" s="7"/>
      <c r="D755" s="7"/>
      <c r="E755" s="21"/>
      <c r="F755" s="7"/>
      <c r="G755" s="7"/>
    </row>
    <row r="756">
      <c r="A756" s="7"/>
      <c r="B756" s="7"/>
      <c r="C756" s="7"/>
      <c r="D756" s="7"/>
      <c r="E756" s="21"/>
      <c r="F756" s="7"/>
      <c r="G756" s="7"/>
    </row>
    <row r="757">
      <c r="A757" s="7"/>
      <c r="B757" s="7"/>
      <c r="C757" s="7"/>
      <c r="D757" s="7"/>
      <c r="E757" s="21"/>
      <c r="F757" s="7"/>
      <c r="G757" s="7"/>
    </row>
    <row r="758">
      <c r="A758" s="7"/>
      <c r="B758" s="7"/>
      <c r="C758" s="7"/>
      <c r="D758" s="7"/>
      <c r="E758" s="21"/>
      <c r="F758" s="7"/>
      <c r="G758" s="7"/>
    </row>
    <row r="759">
      <c r="A759" s="7"/>
      <c r="B759" s="7"/>
      <c r="C759" s="7"/>
      <c r="D759" s="7"/>
      <c r="E759" s="21"/>
      <c r="F759" s="7"/>
      <c r="G759" s="7"/>
    </row>
    <row r="760">
      <c r="A760" s="7"/>
      <c r="B760" s="7"/>
      <c r="C760" s="7"/>
      <c r="D760" s="7"/>
      <c r="E760" s="21"/>
      <c r="F760" s="7"/>
      <c r="G760" s="7"/>
    </row>
    <row r="761">
      <c r="A761" s="7"/>
      <c r="B761" s="7"/>
      <c r="C761" s="7"/>
      <c r="D761" s="7"/>
      <c r="E761" s="21"/>
      <c r="F761" s="7"/>
      <c r="G761" s="7"/>
    </row>
    <row r="762">
      <c r="A762" s="7"/>
      <c r="B762" s="7"/>
      <c r="C762" s="7"/>
      <c r="D762" s="7"/>
      <c r="E762" s="21"/>
      <c r="F762" s="7"/>
      <c r="G762" s="7"/>
    </row>
    <row r="763">
      <c r="A763" s="7"/>
      <c r="B763" s="7"/>
      <c r="C763" s="7"/>
      <c r="D763" s="7"/>
      <c r="E763" s="21"/>
      <c r="F763" s="7"/>
      <c r="G763" s="7"/>
    </row>
    <row r="764">
      <c r="A764" s="7"/>
      <c r="B764" s="7"/>
      <c r="C764" s="7"/>
      <c r="D764" s="7"/>
      <c r="E764" s="21"/>
      <c r="F764" s="7"/>
      <c r="G764" s="7"/>
    </row>
    <row r="765">
      <c r="A765" s="7"/>
      <c r="B765" s="7"/>
      <c r="C765" s="7"/>
      <c r="D765" s="7"/>
      <c r="E765" s="21"/>
      <c r="F765" s="7"/>
      <c r="G765" s="7"/>
    </row>
    <row r="766">
      <c r="A766" s="7"/>
      <c r="B766" s="7"/>
      <c r="C766" s="7"/>
      <c r="D766" s="7"/>
      <c r="E766" s="21"/>
      <c r="F766" s="7"/>
      <c r="G766" s="7"/>
    </row>
    <row r="767">
      <c r="A767" s="7"/>
      <c r="B767" s="7"/>
      <c r="C767" s="7"/>
      <c r="D767" s="7"/>
      <c r="E767" s="21"/>
      <c r="F767" s="7"/>
      <c r="G767" s="7"/>
    </row>
    <row r="768">
      <c r="A768" s="7"/>
      <c r="B768" s="7"/>
      <c r="C768" s="7"/>
      <c r="D768" s="7"/>
      <c r="E768" s="21"/>
      <c r="F768" s="7"/>
      <c r="G768" s="7"/>
    </row>
    <row r="769">
      <c r="A769" s="7"/>
      <c r="B769" s="7"/>
      <c r="C769" s="7"/>
      <c r="D769" s="7"/>
      <c r="E769" s="21"/>
      <c r="F769" s="7"/>
      <c r="G769" s="7"/>
    </row>
    <row r="770">
      <c r="A770" s="7"/>
      <c r="B770" s="7"/>
      <c r="C770" s="7"/>
      <c r="D770" s="7"/>
      <c r="E770" s="21"/>
      <c r="F770" s="7"/>
      <c r="G770" s="7"/>
    </row>
    <row r="771">
      <c r="A771" s="7"/>
      <c r="B771" s="7"/>
      <c r="C771" s="7"/>
      <c r="D771" s="7"/>
      <c r="E771" s="21"/>
      <c r="F771" s="7"/>
      <c r="G771" s="7"/>
    </row>
    <row r="772">
      <c r="A772" s="7"/>
      <c r="B772" s="7"/>
      <c r="C772" s="7"/>
      <c r="D772" s="7"/>
      <c r="E772" s="21"/>
      <c r="F772" s="7"/>
      <c r="G772" s="7"/>
    </row>
    <row r="773">
      <c r="A773" s="7"/>
      <c r="B773" s="7"/>
      <c r="C773" s="7"/>
      <c r="D773" s="7"/>
      <c r="E773" s="21"/>
      <c r="F773" s="7"/>
      <c r="G773" s="7"/>
    </row>
    <row r="774">
      <c r="A774" s="7"/>
      <c r="B774" s="7"/>
      <c r="C774" s="7"/>
      <c r="D774" s="7"/>
      <c r="E774" s="21"/>
      <c r="F774" s="7"/>
      <c r="G774" s="7"/>
    </row>
    <row r="775">
      <c r="A775" s="7"/>
      <c r="B775" s="7"/>
      <c r="C775" s="7"/>
      <c r="D775" s="7"/>
      <c r="E775" s="21"/>
      <c r="F775" s="7"/>
      <c r="G775" s="7"/>
    </row>
    <row r="776">
      <c r="A776" s="7"/>
      <c r="B776" s="7"/>
      <c r="C776" s="7"/>
      <c r="D776" s="7"/>
      <c r="E776" s="21"/>
      <c r="F776" s="7"/>
      <c r="G776" s="7"/>
    </row>
    <row r="777">
      <c r="A777" s="7"/>
      <c r="B777" s="7"/>
      <c r="C777" s="7"/>
      <c r="D777" s="7"/>
      <c r="E777" s="21"/>
      <c r="F777" s="7"/>
      <c r="G777" s="7"/>
    </row>
    <row r="778">
      <c r="A778" s="7"/>
      <c r="B778" s="7"/>
      <c r="C778" s="7"/>
      <c r="D778" s="7"/>
      <c r="E778" s="21"/>
      <c r="F778" s="7"/>
      <c r="G778" s="7"/>
    </row>
    <row r="779">
      <c r="A779" s="7"/>
      <c r="B779" s="7"/>
      <c r="C779" s="7"/>
      <c r="D779" s="7"/>
      <c r="E779" s="21"/>
      <c r="F779" s="7"/>
      <c r="G779" s="7"/>
    </row>
    <row r="780">
      <c r="A780" s="7"/>
      <c r="B780" s="7"/>
      <c r="C780" s="7"/>
      <c r="D780" s="7"/>
      <c r="E780" s="21"/>
      <c r="F780" s="7"/>
      <c r="G780" s="7"/>
    </row>
    <row r="781">
      <c r="A781" s="7"/>
      <c r="B781" s="7"/>
      <c r="C781" s="7"/>
      <c r="D781" s="7"/>
      <c r="E781" s="21"/>
      <c r="F781" s="7"/>
      <c r="G781" s="7"/>
    </row>
    <row r="782">
      <c r="A782" s="7"/>
      <c r="B782" s="7"/>
      <c r="C782" s="7"/>
      <c r="D782" s="7"/>
      <c r="E782" s="21"/>
      <c r="F782" s="7"/>
      <c r="G782" s="7"/>
    </row>
    <row r="783">
      <c r="A783" s="7"/>
      <c r="B783" s="7"/>
      <c r="C783" s="7"/>
      <c r="D783" s="7"/>
      <c r="E783" s="21"/>
      <c r="F783" s="7"/>
      <c r="G783" s="7"/>
    </row>
    <row r="784">
      <c r="A784" s="7"/>
      <c r="B784" s="7"/>
      <c r="C784" s="7"/>
      <c r="D784" s="7"/>
      <c r="E784" s="21"/>
      <c r="F784" s="7"/>
      <c r="G784" s="7"/>
    </row>
    <row r="785">
      <c r="A785" s="7"/>
      <c r="B785" s="7"/>
      <c r="C785" s="7"/>
      <c r="D785" s="7"/>
      <c r="E785" s="21"/>
      <c r="F785" s="7"/>
      <c r="G785" s="7"/>
    </row>
    <row r="786">
      <c r="A786" s="7"/>
      <c r="B786" s="7"/>
      <c r="C786" s="7"/>
      <c r="D786" s="7"/>
      <c r="E786" s="21"/>
      <c r="F786" s="7"/>
      <c r="G786" s="7"/>
    </row>
    <row r="787">
      <c r="A787" s="7"/>
      <c r="B787" s="7"/>
      <c r="C787" s="7"/>
      <c r="D787" s="7"/>
      <c r="E787" s="21"/>
      <c r="F787" s="7"/>
      <c r="G787" s="7"/>
    </row>
    <row r="788">
      <c r="A788" s="7"/>
      <c r="B788" s="7"/>
      <c r="C788" s="7"/>
      <c r="D788" s="7"/>
      <c r="E788" s="21"/>
      <c r="F788" s="7"/>
      <c r="G788" s="7"/>
    </row>
    <row r="789">
      <c r="A789" s="7"/>
      <c r="B789" s="7"/>
      <c r="C789" s="7"/>
      <c r="D789" s="7"/>
      <c r="E789" s="21"/>
      <c r="F789" s="7"/>
      <c r="G789" s="7"/>
    </row>
    <row r="790">
      <c r="A790" s="7"/>
      <c r="B790" s="7"/>
      <c r="C790" s="7"/>
      <c r="D790" s="7"/>
      <c r="E790" s="21"/>
      <c r="F790" s="7"/>
      <c r="G790" s="7"/>
    </row>
    <row r="791">
      <c r="A791" s="7"/>
      <c r="B791" s="7"/>
      <c r="C791" s="7"/>
      <c r="D791" s="7"/>
      <c r="E791" s="21"/>
      <c r="F791" s="7"/>
      <c r="G791" s="7"/>
    </row>
    <row r="792">
      <c r="A792" s="7"/>
      <c r="B792" s="7"/>
      <c r="C792" s="7"/>
      <c r="D792" s="7"/>
      <c r="E792" s="21"/>
      <c r="F792" s="7"/>
      <c r="G792" s="7"/>
    </row>
    <row r="793">
      <c r="A793" s="7"/>
      <c r="B793" s="7"/>
      <c r="C793" s="7"/>
      <c r="D793" s="7"/>
      <c r="E793" s="21"/>
      <c r="F793" s="7"/>
      <c r="G793" s="7"/>
    </row>
    <row r="794">
      <c r="A794" s="7"/>
      <c r="B794" s="7"/>
      <c r="C794" s="7"/>
      <c r="D794" s="7"/>
      <c r="E794" s="21"/>
      <c r="F794" s="7"/>
      <c r="G794" s="7"/>
    </row>
    <row r="795">
      <c r="A795" s="7"/>
      <c r="B795" s="7"/>
      <c r="C795" s="7"/>
      <c r="D795" s="7"/>
      <c r="E795" s="21"/>
      <c r="F795" s="7"/>
      <c r="G795" s="7"/>
    </row>
    <row r="796">
      <c r="A796" s="7"/>
      <c r="B796" s="7"/>
      <c r="C796" s="7"/>
      <c r="D796" s="7"/>
      <c r="E796" s="21"/>
      <c r="F796" s="7"/>
      <c r="G796" s="7"/>
    </row>
    <row r="797">
      <c r="A797" s="7"/>
      <c r="B797" s="7"/>
      <c r="C797" s="7"/>
      <c r="D797" s="7"/>
      <c r="E797" s="21"/>
      <c r="F797" s="7"/>
      <c r="G797" s="7"/>
    </row>
    <row r="798">
      <c r="A798" s="7"/>
      <c r="B798" s="7"/>
      <c r="C798" s="7"/>
      <c r="D798" s="7"/>
      <c r="E798" s="21"/>
      <c r="F798" s="7"/>
      <c r="G798" s="7"/>
    </row>
    <row r="799">
      <c r="A799" s="7"/>
      <c r="B799" s="7"/>
      <c r="C799" s="7"/>
      <c r="D799" s="7"/>
      <c r="E799" s="21"/>
      <c r="F799" s="7"/>
      <c r="G799" s="7"/>
    </row>
    <row r="800">
      <c r="A800" s="7"/>
      <c r="B800" s="7"/>
      <c r="C800" s="7"/>
      <c r="D800" s="7"/>
      <c r="E800" s="21"/>
      <c r="F800" s="7"/>
      <c r="G800" s="7"/>
    </row>
    <row r="801">
      <c r="A801" s="7"/>
      <c r="B801" s="7"/>
      <c r="C801" s="7"/>
      <c r="D801" s="7"/>
      <c r="E801" s="21"/>
      <c r="F801" s="7"/>
      <c r="G801" s="7"/>
    </row>
    <row r="802">
      <c r="A802" s="7"/>
      <c r="B802" s="7"/>
      <c r="C802" s="7"/>
      <c r="D802" s="7"/>
      <c r="E802" s="21"/>
      <c r="F802" s="7"/>
      <c r="G802" s="7"/>
    </row>
    <row r="803">
      <c r="A803" s="7"/>
      <c r="B803" s="7"/>
      <c r="C803" s="7"/>
      <c r="D803" s="7"/>
      <c r="E803" s="21"/>
      <c r="F803" s="7"/>
      <c r="G803" s="7"/>
    </row>
    <row r="804">
      <c r="A804" s="7"/>
      <c r="B804" s="7"/>
      <c r="C804" s="7"/>
      <c r="D804" s="7"/>
      <c r="E804" s="21"/>
      <c r="F804" s="7"/>
      <c r="G804" s="7"/>
    </row>
    <row r="805">
      <c r="A805" s="7"/>
      <c r="B805" s="7"/>
      <c r="C805" s="7"/>
      <c r="D805" s="7"/>
      <c r="E805" s="21"/>
      <c r="F805" s="7"/>
      <c r="G805" s="7"/>
    </row>
    <row r="806">
      <c r="A806" s="7"/>
      <c r="B806" s="7"/>
      <c r="C806" s="7"/>
      <c r="D806" s="7"/>
      <c r="E806" s="21"/>
      <c r="F806" s="7"/>
      <c r="G806" s="7"/>
    </row>
    <row r="807">
      <c r="A807" s="7"/>
      <c r="B807" s="7"/>
      <c r="C807" s="7"/>
      <c r="D807" s="7"/>
      <c r="E807" s="21"/>
      <c r="F807" s="7"/>
      <c r="G807" s="7"/>
    </row>
    <row r="808">
      <c r="A808" s="7"/>
      <c r="B808" s="7"/>
      <c r="C808" s="7"/>
      <c r="D808" s="7"/>
      <c r="E808" s="21"/>
      <c r="F808" s="7"/>
      <c r="G808" s="7"/>
    </row>
    <row r="809">
      <c r="A809" s="7"/>
      <c r="B809" s="7"/>
      <c r="C809" s="7"/>
      <c r="D809" s="7"/>
      <c r="E809" s="21"/>
      <c r="F809" s="7"/>
      <c r="G809" s="7"/>
    </row>
    <row r="810">
      <c r="A810" s="7"/>
      <c r="B810" s="7"/>
      <c r="C810" s="7"/>
      <c r="D810" s="7"/>
      <c r="E810" s="21"/>
      <c r="F810" s="7"/>
      <c r="G810" s="7"/>
    </row>
    <row r="811">
      <c r="A811" s="7"/>
      <c r="B811" s="7"/>
      <c r="C811" s="7"/>
      <c r="D811" s="7"/>
      <c r="E811" s="21"/>
      <c r="F811" s="7"/>
      <c r="G811" s="7"/>
    </row>
    <row r="812">
      <c r="A812" s="7"/>
      <c r="B812" s="7"/>
      <c r="C812" s="7"/>
      <c r="D812" s="7"/>
      <c r="E812" s="21"/>
      <c r="F812" s="7"/>
      <c r="G812" s="7"/>
    </row>
    <row r="813">
      <c r="A813" s="7"/>
      <c r="B813" s="7"/>
      <c r="C813" s="7"/>
      <c r="D813" s="7"/>
      <c r="E813" s="21"/>
      <c r="F813" s="7"/>
      <c r="G813" s="7"/>
    </row>
    <row r="814">
      <c r="A814" s="7"/>
      <c r="B814" s="7"/>
      <c r="C814" s="7"/>
      <c r="D814" s="7"/>
      <c r="E814" s="21"/>
      <c r="F814" s="7"/>
      <c r="G814" s="7"/>
    </row>
    <row r="815">
      <c r="A815" s="7"/>
      <c r="B815" s="7"/>
      <c r="C815" s="7"/>
      <c r="D815" s="7"/>
      <c r="E815" s="21"/>
      <c r="F815" s="7"/>
      <c r="G815" s="7"/>
    </row>
    <row r="816">
      <c r="A816" s="7"/>
      <c r="B816" s="7"/>
      <c r="C816" s="7"/>
      <c r="D816" s="7"/>
      <c r="E816" s="21"/>
      <c r="F816" s="7"/>
      <c r="G816" s="7"/>
    </row>
    <row r="817">
      <c r="A817" s="7"/>
      <c r="B817" s="7"/>
      <c r="C817" s="7"/>
      <c r="D817" s="7"/>
      <c r="E817" s="21"/>
      <c r="F817" s="7"/>
      <c r="G817" s="7"/>
    </row>
    <row r="818">
      <c r="A818" s="7"/>
      <c r="B818" s="7"/>
      <c r="C818" s="7"/>
      <c r="D818" s="7"/>
      <c r="E818" s="21"/>
      <c r="F818" s="7"/>
      <c r="G818" s="7"/>
    </row>
    <row r="819">
      <c r="A819" s="7"/>
      <c r="B819" s="7"/>
      <c r="C819" s="7"/>
      <c r="D819" s="7"/>
      <c r="E819" s="21"/>
      <c r="F819" s="7"/>
      <c r="G819" s="7"/>
    </row>
    <row r="820">
      <c r="A820" s="7"/>
      <c r="B820" s="7"/>
      <c r="C820" s="7"/>
      <c r="D820" s="7"/>
      <c r="E820" s="21"/>
      <c r="F820" s="7"/>
      <c r="G820" s="7"/>
    </row>
    <row r="821">
      <c r="A821" s="7"/>
      <c r="B821" s="7"/>
      <c r="C821" s="7"/>
      <c r="D821" s="7"/>
      <c r="E821" s="21"/>
      <c r="F821" s="7"/>
      <c r="G821" s="7"/>
    </row>
    <row r="822">
      <c r="A822" s="7"/>
      <c r="B822" s="7"/>
      <c r="C822" s="7"/>
      <c r="D822" s="7"/>
      <c r="E822" s="21"/>
      <c r="F822" s="7"/>
      <c r="G822" s="7"/>
    </row>
    <row r="823">
      <c r="A823" s="7"/>
      <c r="B823" s="7"/>
      <c r="C823" s="7"/>
      <c r="D823" s="7"/>
      <c r="E823" s="21"/>
      <c r="F823" s="7"/>
      <c r="G823" s="7"/>
    </row>
    <row r="824">
      <c r="A824" s="7"/>
      <c r="B824" s="7"/>
      <c r="C824" s="7"/>
      <c r="D824" s="7"/>
      <c r="E824" s="21"/>
      <c r="F824" s="7"/>
      <c r="G824" s="7"/>
    </row>
    <row r="825">
      <c r="A825" s="7"/>
      <c r="B825" s="7"/>
      <c r="C825" s="7"/>
      <c r="D825" s="7"/>
      <c r="E825" s="21"/>
      <c r="F825" s="7"/>
      <c r="G825" s="7"/>
    </row>
    <row r="826">
      <c r="A826" s="7"/>
      <c r="B826" s="7"/>
      <c r="C826" s="7"/>
      <c r="D826" s="7"/>
      <c r="E826" s="21"/>
      <c r="F826" s="7"/>
      <c r="G826" s="7"/>
    </row>
    <row r="827">
      <c r="A827" s="7"/>
      <c r="B827" s="7"/>
      <c r="C827" s="7"/>
      <c r="D827" s="7"/>
      <c r="E827" s="21"/>
      <c r="F827" s="7"/>
      <c r="G827" s="7"/>
    </row>
    <row r="828">
      <c r="A828" s="7"/>
      <c r="B828" s="7"/>
      <c r="C828" s="7"/>
      <c r="D828" s="7"/>
      <c r="E828" s="21"/>
      <c r="F828" s="7"/>
      <c r="G828" s="7"/>
    </row>
    <row r="829">
      <c r="A829" s="7"/>
      <c r="B829" s="7"/>
      <c r="C829" s="7"/>
      <c r="D829" s="7"/>
      <c r="E829" s="21"/>
      <c r="F829" s="7"/>
      <c r="G829" s="7"/>
    </row>
    <row r="830">
      <c r="A830" s="7"/>
      <c r="B830" s="7"/>
      <c r="C830" s="7"/>
      <c r="D830" s="7"/>
      <c r="E830" s="21"/>
      <c r="F830" s="7"/>
      <c r="G830" s="7"/>
    </row>
    <row r="831">
      <c r="A831" s="7"/>
      <c r="B831" s="7"/>
      <c r="C831" s="7"/>
      <c r="D831" s="7"/>
      <c r="E831" s="21"/>
      <c r="F831" s="7"/>
      <c r="G831" s="7"/>
    </row>
    <row r="832">
      <c r="A832" s="7"/>
      <c r="B832" s="7"/>
      <c r="C832" s="7"/>
      <c r="D832" s="7"/>
      <c r="E832" s="21"/>
      <c r="F832" s="7"/>
      <c r="G832" s="7"/>
    </row>
    <row r="833">
      <c r="A833" s="7"/>
      <c r="B833" s="7"/>
      <c r="C833" s="7"/>
      <c r="D833" s="7"/>
      <c r="E833" s="21"/>
      <c r="F833" s="7"/>
      <c r="G833" s="7"/>
    </row>
    <row r="834">
      <c r="A834" s="7"/>
      <c r="B834" s="7"/>
      <c r="C834" s="7"/>
      <c r="D834" s="7"/>
      <c r="E834" s="21"/>
      <c r="F834" s="7"/>
      <c r="G834" s="7"/>
    </row>
    <row r="835">
      <c r="A835" s="7"/>
      <c r="B835" s="7"/>
      <c r="C835" s="7"/>
      <c r="D835" s="7"/>
      <c r="E835" s="21"/>
      <c r="F835" s="7"/>
      <c r="G835" s="7"/>
    </row>
    <row r="836">
      <c r="A836" s="7"/>
      <c r="B836" s="7"/>
      <c r="C836" s="7"/>
      <c r="D836" s="7"/>
      <c r="E836" s="21"/>
      <c r="F836" s="7"/>
      <c r="G836" s="7"/>
    </row>
    <row r="837">
      <c r="A837" s="7"/>
      <c r="B837" s="7"/>
      <c r="C837" s="7"/>
      <c r="D837" s="7"/>
      <c r="E837" s="21"/>
      <c r="F837" s="7"/>
      <c r="G837" s="7"/>
    </row>
    <row r="838">
      <c r="A838" s="7"/>
      <c r="B838" s="7"/>
      <c r="C838" s="7"/>
      <c r="D838" s="7"/>
      <c r="E838" s="21"/>
      <c r="F838" s="7"/>
      <c r="G838" s="7"/>
    </row>
    <row r="839">
      <c r="A839" s="7"/>
      <c r="B839" s="7"/>
      <c r="C839" s="7"/>
      <c r="D839" s="7"/>
      <c r="E839" s="21"/>
      <c r="F839" s="7"/>
      <c r="G839" s="7"/>
    </row>
    <row r="840">
      <c r="A840" s="7"/>
      <c r="B840" s="7"/>
      <c r="C840" s="7"/>
      <c r="D840" s="7"/>
      <c r="E840" s="21"/>
      <c r="F840" s="7"/>
      <c r="G840" s="7"/>
    </row>
    <row r="841">
      <c r="A841" s="7"/>
      <c r="B841" s="7"/>
      <c r="C841" s="7"/>
      <c r="D841" s="7"/>
      <c r="E841" s="21"/>
      <c r="F841" s="7"/>
      <c r="G841" s="7"/>
    </row>
    <row r="842">
      <c r="A842" s="7"/>
      <c r="B842" s="7"/>
      <c r="C842" s="7"/>
      <c r="D842" s="7"/>
      <c r="E842" s="21"/>
      <c r="F842" s="7"/>
      <c r="G842" s="7"/>
    </row>
    <row r="843">
      <c r="A843" s="7"/>
      <c r="B843" s="7"/>
      <c r="C843" s="7"/>
      <c r="D843" s="7"/>
      <c r="E843" s="21"/>
      <c r="F843" s="7"/>
      <c r="G843" s="7"/>
    </row>
    <row r="844">
      <c r="A844" s="7"/>
      <c r="B844" s="7"/>
      <c r="C844" s="7"/>
      <c r="D844" s="7"/>
      <c r="E844" s="21"/>
      <c r="F844" s="7"/>
      <c r="G844" s="7"/>
    </row>
    <row r="845">
      <c r="A845" s="7"/>
      <c r="B845" s="7"/>
      <c r="C845" s="7"/>
      <c r="D845" s="7"/>
      <c r="E845" s="21"/>
      <c r="F845" s="7"/>
      <c r="G845" s="7"/>
    </row>
    <row r="846">
      <c r="A846" s="7"/>
      <c r="B846" s="7"/>
      <c r="C846" s="7"/>
      <c r="D846" s="7"/>
      <c r="E846" s="21"/>
      <c r="F846" s="7"/>
      <c r="G846" s="7"/>
    </row>
    <row r="847">
      <c r="A847" s="7"/>
      <c r="B847" s="7"/>
      <c r="C847" s="7"/>
      <c r="D847" s="7"/>
      <c r="E847" s="21"/>
      <c r="F847" s="7"/>
      <c r="G847" s="7"/>
    </row>
    <row r="848">
      <c r="A848" s="7"/>
      <c r="B848" s="7"/>
      <c r="C848" s="7"/>
      <c r="D848" s="7"/>
      <c r="E848" s="21"/>
      <c r="F848" s="7"/>
      <c r="G848" s="7"/>
    </row>
    <row r="849">
      <c r="A849" s="7"/>
      <c r="B849" s="7"/>
      <c r="C849" s="7"/>
      <c r="D849" s="7"/>
      <c r="E849" s="21"/>
      <c r="F849" s="7"/>
      <c r="G849" s="7"/>
    </row>
    <row r="850">
      <c r="A850" s="7"/>
      <c r="B850" s="7"/>
      <c r="C850" s="7"/>
      <c r="D850" s="7"/>
      <c r="E850" s="21"/>
      <c r="F850" s="7"/>
      <c r="G850" s="7"/>
    </row>
    <row r="851">
      <c r="A851" s="7"/>
      <c r="B851" s="7"/>
      <c r="C851" s="7"/>
      <c r="D851" s="7"/>
      <c r="E851" s="21"/>
      <c r="F851" s="7"/>
      <c r="G851" s="7"/>
    </row>
    <row r="852">
      <c r="A852" s="7"/>
      <c r="B852" s="7"/>
      <c r="C852" s="7"/>
      <c r="D852" s="7"/>
      <c r="E852" s="21"/>
      <c r="F852" s="7"/>
      <c r="G852" s="7"/>
    </row>
    <row r="853">
      <c r="A853" s="7"/>
      <c r="B853" s="7"/>
      <c r="C853" s="7"/>
      <c r="D853" s="7"/>
      <c r="E853" s="21"/>
      <c r="F853" s="7"/>
      <c r="G853" s="7"/>
    </row>
    <row r="854">
      <c r="A854" s="7"/>
      <c r="B854" s="7"/>
      <c r="C854" s="7"/>
      <c r="D854" s="7"/>
      <c r="E854" s="21"/>
      <c r="F854" s="7"/>
      <c r="G854" s="7"/>
    </row>
    <row r="855">
      <c r="A855" s="7"/>
      <c r="B855" s="7"/>
      <c r="C855" s="7"/>
      <c r="D855" s="7"/>
      <c r="E855" s="21"/>
      <c r="F855" s="7"/>
      <c r="G855" s="7"/>
    </row>
    <row r="856">
      <c r="A856" s="7"/>
      <c r="B856" s="7"/>
      <c r="C856" s="7"/>
      <c r="D856" s="7"/>
      <c r="E856" s="21"/>
      <c r="F856" s="7"/>
      <c r="G856" s="7"/>
    </row>
    <row r="857">
      <c r="A857" s="7"/>
      <c r="B857" s="7"/>
      <c r="C857" s="7"/>
      <c r="D857" s="7"/>
      <c r="E857" s="21"/>
      <c r="F857" s="7"/>
      <c r="G857" s="7"/>
    </row>
    <row r="858">
      <c r="A858" s="7"/>
      <c r="B858" s="7"/>
      <c r="C858" s="7"/>
      <c r="D858" s="7"/>
      <c r="E858" s="21"/>
      <c r="F858" s="7"/>
      <c r="G858" s="7"/>
    </row>
    <row r="859">
      <c r="A859" s="7"/>
      <c r="B859" s="7"/>
      <c r="C859" s="7"/>
      <c r="D859" s="7"/>
      <c r="E859" s="21"/>
      <c r="F859" s="7"/>
      <c r="G859" s="7"/>
    </row>
    <row r="860">
      <c r="A860" s="7"/>
      <c r="B860" s="7"/>
      <c r="C860" s="7"/>
      <c r="D860" s="7"/>
      <c r="E860" s="21"/>
      <c r="F860" s="7"/>
      <c r="G860" s="7"/>
    </row>
    <row r="861">
      <c r="A861" s="7"/>
      <c r="B861" s="7"/>
      <c r="C861" s="7"/>
      <c r="D861" s="7"/>
      <c r="E861" s="21"/>
      <c r="F861" s="7"/>
      <c r="G861" s="7"/>
    </row>
    <row r="862">
      <c r="A862" s="7"/>
      <c r="B862" s="7"/>
      <c r="C862" s="7"/>
      <c r="D862" s="7"/>
      <c r="E862" s="21"/>
      <c r="F862" s="7"/>
      <c r="G862" s="7"/>
    </row>
    <row r="863">
      <c r="A863" s="7"/>
      <c r="B863" s="7"/>
      <c r="C863" s="7"/>
      <c r="D863" s="7"/>
      <c r="E863" s="21"/>
      <c r="F863" s="7"/>
      <c r="G863" s="7"/>
    </row>
    <row r="864">
      <c r="A864" s="7"/>
      <c r="B864" s="7"/>
      <c r="C864" s="7"/>
      <c r="D864" s="7"/>
      <c r="E864" s="21"/>
      <c r="F864" s="7"/>
      <c r="G864" s="7"/>
    </row>
    <row r="865">
      <c r="A865" s="7"/>
      <c r="B865" s="7"/>
      <c r="C865" s="7"/>
      <c r="D865" s="7"/>
      <c r="E865" s="21"/>
      <c r="F865" s="7"/>
      <c r="G865" s="7"/>
    </row>
    <row r="866">
      <c r="A866" s="7"/>
      <c r="B866" s="7"/>
      <c r="C866" s="7"/>
      <c r="D866" s="7"/>
      <c r="E866" s="21"/>
      <c r="F866" s="7"/>
      <c r="G866" s="7"/>
    </row>
    <row r="867">
      <c r="A867" s="7"/>
      <c r="B867" s="7"/>
      <c r="C867" s="7"/>
      <c r="D867" s="7"/>
      <c r="E867" s="21"/>
      <c r="F867" s="7"/>
      <c r="G867" s="7"/>
    </row>
    <row r="868">
      <c r="A868" s="7"/>
      <c r="B868" s="7"/>
      <c r="C868" s="7"/>
      <c r="D868" s="7"/>
      <c r="E868" s="21"/>
      <c r="F868" s="7"/>
      <c r="G868" s="7"/>
    </row>
    <row r="869">
      <c r="A869" s="7"/>
      <c r="B869" s="7"/>
      <c r="C869" s="7"/>
      <c r="D869" s="7"/>
      <c r="E869" s="21"/>
      <c r="F869" s="7"/>
      <c r="G869" s="7"/>
    </row>
    <row r="870">
      <c r="A870" s="7"/>
      <c r="B870" s="7"/>
      <c r="C870" s="7"/>
      <c r="D870" s="7"/>
      <c r="E870" s="21"/>
      <c r="F870" s="7"/>
      <c r="G870" s="7"/>
    </row>
    <row r="871">
      <c r="A871" s="7"/>
      <c r="B871" s="7"/>
      <c r="C871" s="7"/>
      <c r="D871" s="7"/>
      <c r="E871" s="21"/>
      <c r="F871" s="7"/>
      <c r="G871" s="7"/>
    </row>
    <row r="872">
      <c r="A872" s="7"/>
      <c r="B872" s="7"/>
      <c r="C872" s="7"/>
      <c r="D872" s="7"/>
      <c r="E872" s="21"/>
      <c r="F872" s="7"/>
      <c r="G872" s="7"/>
    </row>
    <row r="873">
      <c r="A873" s="7"/>
      <c r="B873" s="7"/>
      <c r="C873" s="7"/>
      <c r="D873" s="7"/>
      <c r="E873" s="21"/>
      <c r="F873" s="7"/>
      <c r="G873" s="7"/>
    </row>
    <row r="874">
      <c r="A874" s="7"/>
      <c r="B874" s="7"/>
      <c r="C874" s="7"/>
      <c r="D874" s="7"/>
      <c r="E874" s="21"/>
      <c r="F874" s="7"/>
      <c r="G874" s="7"/>
    </row>
    <row r="875">
      <c r="A875" s="7"/>
      <c r="B875" s="7"/>
      <c r="C875" s="7"/>
      <c r="D875" s="7"/>
      <c r="E875" s="21"/>
      <c r="F875" s="7"/>
      <c r="G875" s="7"/>
    </row>
    <row r="876">
      <c r="A876" s="7"/>
      <c r="B876" s="7"/>
      <c r="C876" s="7"/>
      <c r="D876" s="7"/>
      <c r="E876" s="21"/>
      <c r="F876" s="7"/>
      <c r="G876" s="7"/>
    </row>
    <row r="877">
      <c r="A877" s="7"/>
      <c r="B877" s="7"/>
      <c r="C877" s="7"/>
      <c r="D877" s="7"/>
      <c r="E877" s="21"/>
      <c r="F877" s="7"/>
      <c r="G877" s="7"/>
    </row>
    <row r="878">
      <c r="A878" s="7"/>
      <c r="B878" s="7"/>
      <c r="C878" s="7"/>
      <c r="D878" s="7"/>
      <c r="E878" s="21"/>
      <c r="F878" s="7"/>
      <c r="G878" s="7"/>
    </row>
    <row r="879">
      <c r="A879" s="7"/>
      <c r="B879" s="7"/>
      <c r="C879" s="7"/>
      <c r="D879" s="7"/>
      <c r="E879" s="21"/>
      <c r="F879" s="7"/>
      <c r="G879" s="7"/>
    </row>
    <row r="880">
      <c r="A880" s="7"/>
      <c r="B880" s="7"/>
      <c r="C880" s="7"/>
      <c r="D880" s="7"/>
      <c r="E880" s="21"/>
      <c r="F880" s="7"/>
      <c r="G880" s="7"/>
    </row>
    <row r="881">
      <c r="A881" s="7"/>
      <c r="B881" s="7"/>
      <c r="C881" s="7"/>
      <c r="D881" s="7"/>
      <c r="E881" s="21"/>
      <c r="F881" s="7"/>
      <c r="G881" s="7"/>
    </row>
    <row r="882">
      <c r="A882" s="7"/>
      <c r="B882" s="7"/>
      <c r="C882" s="7"/>
      <c r="D882" s="7"/>
      <c r="E882" s="21"/>
      <c r="F882" s="7"/>
      <c r="G882" s="7"/>
    </row>
    <row r="883">
      <c r="A883" s="7"/>
      <c r="B883" s="7"/>
      <c r="C883" s="7"/>
      <c r="D883" s="7"/>
      <c r="E883" s="21"/>
      <c r="F883" s="7"/>
      <c r="G883" s="7"/>
    </row>
    <row r="884">
      <c r="A884" s="7"/>
      <c r="B884" s="7"/>
      <c r="C884" s="7"/>
      <c r="D884" s="7"/>
      <c r="E884" s="21"/>
      <c r="F884" s="7"/>
      <c r="G884" s="7"/>
    </row>
    <row r="885">
      <c r="A885" s="7"/>
      <c r="B885" s="7"/>
      <c r="C885" s="7"/>
      <c r="D885" s="7"/>
      <c r="E885" s="21"/>
      <c r="F885" s="7"/>
      <c r="G885" s="7"/>
    </row>
    <row r="886">
      <c r="A886" s="7"/>
      <c r="B886" s="7"/>
      <c r="C886" s="7"/>
      <c r="D886" s="7"/>
      <c r="E886" s="21"/>
      <c r="F886" s="7"/>
      <c r="G886" s="7"/>
    </row>
    <row r="887">
      <c r="A887" s="7"/>
      <c r="B887" s="7"/>
      <c r="C887" s="7"/>
      <c r="D887" s="7"/>
      <c r="E887" s="21"/>
      <c r="F887" s="7"/>
      <c r="G887" s="7"/>
    </row>
    <row r="888">
      <c r="A888" s="7"/>
      <c r="B888" s="7"/>
      <c r="C888" s="7"/>
      <c r="D888" s="7"/>
      <c r="E888" s="21"/>
      <c r="F888" s="7"/>
      <c r="G888" s="7"/>
    </row>
    <row r="889">
      <c r="A889" s="7"/>
      <c r="B889" s="7"/>
      <c r="C889" s="7"/>
      <c r="D889" s="7"/>
      <c r="E889" s="21"/>
      <c r="F889" s="7"/>
      <c r="G889" s="7"/>
    </row>
    <row r="890">
      <c r="A890" s="7"/>
      <c r="B890" s="7"/>
      <c r="C890" s="7"/>
      <c r="D890" s="7"/>
      <c r="E890" s="21"/>
      <c r="F890" s="7"/>
      <c r="G890" s="7"/>
    </row>
    <row r="891">
      <c r="A891" s="7"/>
      <c r="B891" s="7"/>
      <c r="C891" s="7"/>
      <c r="D891" s="7"/>
      <c r="E891" s="21"/>
      <c r="F891" s="7"/>
      <c r="G891" s="7"/>
    </row>
    <row r="892">
      <c r="A892" s="7"/>
      <c r="B892" s="7"/>
      <c r="C892" s="7"/>
      <c r="D892" s="7"/>
      <c r="E892" s="21"/>
      <c r="F892" s="7"/>
      <c r="G892" s="7"/>
    </row>
    <row r="893">
      <c r="A893" s="7"/>
      <c r="B893" s="7"/>
      <c r="C893" s="7"/>
      <c r="D893" s="7"/>
      <c r="E893" s="21"/>
      <c r="F893" s="7"/>
      <c r="G893" s="7"/>
    </row>
    <row r="894">
      <c r="A894" s="7"/>
      <c r="B894" s="7"/>
      <c r="C894" s="7"/>
      <c r="D894" s="7"/>
      <c r="E894" s="21"/>
      <c r="F894" s="7"/>
      <c r="G894" s="7"/>
    </row>
    <row r="895">
      <c r="A895" s="7"/>
      <c r="B895" s="7"/>
      <c r="C895" s="7"/>
      <c r="D895" s="7"/>
      <c r="E895" s="21"/>
      <c r="F895" s="7"/>
      <c r="G895" s="7"/>
    </row>
    <row r="896">
      <c r="A896" s="7"/>
      <c r="B896" s="7"/>
      <c r="C896" s="7"/>
      <c r="D896" s="7"/>
      <c r="E896" s="21"/>
      <c r="F896" s="7"/>
      <c r="G896" s="7"/>
    </row>
    <row r="897">
      <c r="A897" s="7"/>
      <c r="B897" s="7"/>
      <c r="C897" s="7"/>
      <c r="D897" s="7"/>
      <c r="E897" s="21"/>
      <c r="F897" s="7"/>
      <c r="G897" s="7"/>
    </row>
    <row r="898">
      <c r="A898" s="7"/>
      <c r="B898" s="7"/>
      <c r="C898" s="7"/>
      <c r="D898" s="7"/>
      <c r="E898" s="21"/>
      <c r="F898" s="7"/>
      <c r="G898" s="7"/>
    </row>
    <row r="899">
      <c r="A899" s="7"/>
      <c r="B899" s="7"/>
      <c r="C899" s="7"/>
      <c r="D899" s="7"/>
      <c r="E899" s="21"/>
      <c r="F899" s="7"/>
      <c r="G899" s="7"/>
    </row>
    <row r="900">
      <c r="A900" s="7"/>
      <c r="B900" s="7"/>
      <c r="C900" s="7"/>
      <c r="D900" s="7"/>
      <c r="E900" s="21"/>
      <c r="F900" s="7"/>
      <c r="G900" s="7"/>
    </row>
    <row r="901">
      <c r="A901" s="7"/>
      <c r="B901" s="7"/>
      <c r="C901" s="7"/>
      <c r="D901" s="7"/>
      <c r="E901" s="21"/>
      <c r="F901" s="7"/>
      <c r="G901" s="7"/>
    </row>
    <row r="902">
      <c r="A902" s="7"/>
      <c r="B902" s="7"/>
      <c r="C902" s="7"/>
      <c r="D902" s="7"/>
      <c r="E902" s="21"/>
      <c r="F902" s="7"/>
      <c r="G902" s="7"/>
    </row>
    <row r="903">
      <c r="A903" s="7"/>
      <c r="B903" s="7"/>
      <c r="C903" s="7"/>
      <c r="D903" s="7"/>
      <c r="E903" s="21"/>
      <c r="F903" s="7"/>
      <c r="G903" s="7"/>
    </row>
    <row r="904">
      <c r="A904" s="7"/>
      <c r="B904" s="7"/>
      <c r="C904" s="7"/>
      <c r="D904" s="7"/>
      <c r="E904" s="21"/>
      <c r="F904" s="7"/>
      <c r="G904" s="7"/>
    </row>
    <row r="905">
      <c r="A905" s="7"/>
      <c r="B905" s="7"/>
      <c r="C905" s="7"/>
      <c r="D905" s="7"/>
      <c r="E905" s="21"/>
      <c r="F905" s="7"/>
      <c r="G905" s="7"/>
    </row>
    <row r="906">
      <c r="A906" s="7"/>
      <c r="B906" s="7"/>
      <c r="C906" s="7"/>
      <c r="D906" s="7"/>
      <c r="E906" s="21"/>
      <c r="F906" s="7"/>
      <c r="G906" s="7"/>
    </row>
    <row r="907">
      <c r="A907" s="7"/>
      <c r="B907" s="7"/>
      <c r="C907" s="7"/>
      <c r="D907" s="7"/>
      <c r="E907" s="21"/>
      <c r="F907" s="7"/>
      <c r="G907" s="7"/>
    </row>
    <row r="908">
      <c r="A908" s="7"/>
      <c r="B908" s="7"/>
      <c r="C908" s="7"/>
      <c r="D908" s="7"/>
      <c r="E908" s="21"/>
      <c r="F908" s="7"/>
      <c r="G908" s="7"/>
    </row>
    <row r="909">
      <c r="A909" s="7"/>
      <c r="B909" s="7"/>
      <c r="C909" s="7"/>
      <c r="D909" s="7"/>
      <c r="E909" s="21"/>
      <c r="F909" s="7"/>
      <c r="G909" s="7"/>
    </row>
    <row r="910">
      <c r="A910" s="7"/>
      <c r="B910" s="7"/>
      <c r="C910" s="7"/>
      <c r="D910" s="7"/>
      <c r="E910" s="21"/>
      <c r="F910" s="7"/>
      <c r="G910" s="7"/>
    </row>
    <row r="911">
      <c r="A911" s="7"/>
      <c r="B911" s="7"/>
      <c r="C911" s="7"/>
      <c r="D911" s="7"/>
      <c r="E911" s="21"/>
      <c r="F911" s="7"/>
      <c r="G911" s="7"/>
    </row>
    <row r="912">
      <c r="A912" s="7"/>
      <c r="B912" s="7"/>
      <c r="C912" s="7"/>
      <c r="D912" s="7"/>
      <c r="E912" s="21"/>
      <c r="F912" s="7"/>
      <c r="G912" s="7"/>
    </row>
    <row r="913">
      <c r="A913" s="7"/>
      <c r="B913" s="7"/>
      <c r="C913" s="7"/>
      <c r="D913" s="7"/>
      <c r="E913" s="21"/>
      <c r="F913" s="7"/>
      <c r="G913" s="7"/>
    </row>
    <row r="914">
      <c r="A914" s="7"/>
      <c r="B914" s="7"/>
      <c r="C914" s="7"/>
      <c r="D914" s="7"/>
      <c r="E914" s="21"/>
      <c r="F914" s="7"/>
      <c r="G914" s="7"/>
    </row>
    <row r="915">
      <c r="A915" s="7"/>
      <c r="B915" s="7"/>
      <c r="C915" s="7"/>
      <c r="D915" s="7"/>
      <c r="E915" s="21"/>
      <c r="F915" s="7"/>
      <c r="G915" s="7"/>
    </row>
    <row r="916">
      <c r="A916" s="7"/>
      <c r="B916" s="7"/>
      <c r="C916" s="7"/>
      <c r="D916" s="7"/>
      <c r="E916" s="21"/>
      <c r="F916" s="7"/>
      <c r="G916" s="7"/>
    </row>
    <row r="917">
      <c r="A917" s="7"/>
      <c r="B917" s="7"/>
      <c r="C917" s="7"/>
      <c r="D917" s="7"/>
      <c r="E917" s="21"/>
      <c r="F917" s="7"/>
      <c r="G917" s="7"/>
    </row>
    <row r="918">
      <c r="A918" s="7"/>
      <c r="B918" s="7"/>
      <c r="C918" s="7"/>
      <c r="D918" s="7"/>
      <c r="E918" s="21"/>
      <c r="F918" s="7"/>
      <c r="G918" s="7"/>
    </row>
    <row r="919">
      <c r="A919" s="7"/>
      <c r="B919" s="7"/>
      <c r="C919" s="7"/>
      <c r="D919" s="7"/>
      <c r="E919" s="21"/>
      <c r="F919" s="7"/>
      <c r="G919" s="7"/>
    </row>
    <row r="920">
      <c r="A920" s="7"/>
      <c r="B920" s="7"/>
      <c r="C920" s="7"/>
      <c r="D920" s="7"/>
      <c r="E920" s="21"/>
      <c r="F920" s="7"/>
      <c r="G920" s="7"/>
    </row>
    <row r="921">
      <c r="A921" s="7"/>
      <c r="B921" s="7"/>
      <c r="C921" s="7"/>
      <c r="D921" s="7"/>
      <c r="E921" s="21"/>
      <c r="F921" s="7"/>
      <c r="G921" s="7"/>
    </row>
    <row r="922">
      <c r="A922" s="7"/>
      <c r="B922" s="7"/>
      <c r="C922" s="7"/>
      <c r="D922" s="7"/>
      <c r="E922" s="21"/>
      <c r="F922" s="7"/>
      <c r="G922" s="7"/>
    </row>
    <row r="923">
      <c r="A923" s="7"/>
      <c r="B923" s="7"/>
      <c r="C923" s="7"/>
      <c r="D923" s="7"/>
      <c r="E923" s="21"/>
      <c r="F923" s="7"/>
      <c r="G923" s="7"/>
    </row>
    <row r="924">
      <c r="A924" s="7"/>
      <c r="B924" s="7"/>
      <c r="C924" s="7"/>
      <c r="D924" s="7"/>
      <c r="E924" s="21"/>
      <c r="F924" s="7"/>
      <c r="G924" s="7"/>
    </row>
    <row r="925">
      <c r="A925" s="7"/>
      <c r="B925" s="7"/>
      <c r="C925" s="7"/>
      <c r="D925" s="7"/>
      <c r="E925" s="21"/>
      <c r="F925" s="7"/>
      <c r="G925" s="7"/>
    </row>
    <row r="926">
      <c r="A926" s="7"/>
      <c r="B926" s="7"/>
      <c r="C926" s="7"/>
      <c r="D926" s="7"/>
      <c r="E926" s="21"/>
      <c r="F926" s="7"/>
      <c r="G926" s="7"/>
    </row>
    <row r="927">
      <c r="A927" s="7"/>
      <c r="B927" s="7"/>
      <c r="C927" s="7"/>
      <c r="D927" s="7"/>
      <c r="E927" s="21"/>
      <c r="F927" s="7"/>
      <c r="G927" s="7"/>
    </row>
    <row r="928">
      <c r="A928" s="7"/>
      <c r="B928" s="7"/>
      <c r="C928" s="7"/>
      <c r="D928" s="7"/>
      <c r="E928" s="21"/>
      <c r="F928" s="7"/>
      <c r="G928" s="7"/>
    </row>
    <row r="929">
      <c r="A929" s="7"/>
      <c r="B929" s="7"/>
      <c r="C929" s="7"/>
      <c r="D929" s="7"/>
      <c r="E929" s="21"/>
      <c r="F929" s="7"/>
      <c r="G929" s="7"/>
    </row>
    <row r="930">
      <c r="A930" s="7"/>
      <c r="B930" s="7"/>
      <c r="C930" s="7"/>
      <c r="D930" s="7"/>
      <c r="E930" s="21"/>
      <c r="F930" s="7"/>
      <c r="G930" s="7"/>
    </row>
    <row r="931">
      <c r="A931" s="7"/>
      <c r="B931" s="7"/>
      <c r="C931" s="7"/>
      <c r="D931" s="7"/>
      <c r="E931" s="21"/>
      <c r="F931" s="7"/>
      <c r="G931" s="7"/>
    </row>
    <row r="932">
      <c r="A932" s="7"/>
      <c r="B932" s="7"/>
      <c r="C932" s="7"/>
      <c r="D932" s="7"/>
      <c r="E932" s="21"/>
      <c r="F932" s="7"/>
      <c r="G932" s="7"/>
    </row>
    <row r="933">
      <c r="A933" s="7"/>
      <c r="B933" s="7"/>
      <c r="C933" s="7"/>
      <c r="D933" s="7"/>
      <c r="E933" s="21"/>
      <c r="F933" s="7"/>
      <c r="G933" s="7"/>
    </row>
    <row r="934">
      <c r="A934" s="7"/>
      <c r="B934" s="7"/>
      <c r="C934" s="7"/>
      <c r="D934" s="7"/>
      <c r="E934" s="21"/>
      <c r="F934" s="7"/>
      <c r="G934" s="7"/>
    </row>
    <row r="935">
      <c r="A935" s="7"/>
      <c r="B935" s="7"/>
      <c r="C935" s="7"/>
      <c r="D935" s="7"/>
      <c r="E935" s="21"/>
      <c r="F935" s="7"/>
      <c r="G935" s="7"/>
    </row>
    <row r="936">
      <c r="A936" s="7"/>
      <c r="B936" s="7"/>
      <c r="C936" s="7"/>
      <c r="D936" s="7"/>
      <c r="E936" s="21"/>
      <c r="F936" s="7"/>
      <c r="G936" s="7"/>
    </row>
    <row r="937">
      <c r="A937" s="7"/>
      <c r="B937" s="7"/>
      <c r="C937" s="7"/>
      <c r="D937" s="7"/>
      <c r="E937" s="21"/>
      <c r="F937" s="7"/>
      <c r="G937" s="7"/>
    </row>
    <row r="938">
      <c r="A938" s="7"/>
      <c r="B938" s="7"/>
      <c r="C938" s="7"/>
      <c r="D938" s="7"/>
      <c r="E938" s="21"/>
      <c r="F938" s="7"/>
      <c r="G938" s="7"/>
    </row>
    <row r="939">
      <c r="A939" s="7"/>
      <c r="B939" s="7"/>
      <c r="C939" s="7"/>
      <c r="D939" s="7"/>
      <c r="E939" s="21"/>
      <c r="F939" s="7"/>
      <c r="G939" s="7"/>
    </row>
    <row r="940">
      <c r="A940" s="7"/>
      <c r="B940" s="7"/>
      <c r="C940" s="7"/>
      <c r="D940" s="7"/>
      <c r="E940" s="21"/>
      <c r="F940" s="7"/>
      <c r="G940" s="7"/>
    </row>
    <row r="941">
      <c r="A941" s="7"/>
      <c r="B941" s="7"/>
      <c r="C941" s="7"/>
      <c r="D941" s="7"/>
      <c r="E941" s="21"/>
      <c r="F941" s="7"/>
      <c r="G941" s="7"/>
    </row>
    <row r="942">
      <c r="A942" s="7"/>
      <c r="B942" s="7"/>
      <c r="C942" s="7"/>
      <c r="D942" s="7"/>
      <c r="E942" s="21"/>
      <c r="F942" s="7"/>
      <c r="G942" s="7"/>
    </row>
    <row r="943">
      <c r="A943" s="7"/>
      <c r="B943" s="7"/>
      <c r="C943" s="7"/>
      <c r="D943" s="7"/>
      <c r="E943" s="21"/>
      <c r="F943" s="7"/>
      <c r="G943" s="7"/>
    </row>
    <row r="944">
      <c r="A944" s="7"/>
      <c r="B944" s="7"/>
      <c r="C944" s="7"/>
      <c r="D944" s="7"/>
      <c r="E944" s="21"/>
      <c r="F944" s="7"/>
      <c r="G944" s="7"/>
    </row>
    <row r="945">
      <c r="A945" s="7"/>
      <c r="B945" s="7"/>
      <c r="C945" s="7"/>
      <c r="D945" s="7"/>
      <c r="E945" s="21"/>
      <c r="F945" s="7"/>
      <c r="G945" s="7"/>
    </row>
    <row r="946">
      <c r="A946" s="7"/>
      <c r="B946" s="7"/>
      <c r="C946" s="7"/>
      <c r="D946" s="7"/>
      <c r="E946" s="21"/>
      <c r="F946" s="7"/>
      <c r="G946" s="7"/>
    </row>
    <row r="947">
      <c r="A947" s="7"/>
      <c r="B947" s="7"/>
      <c r="C947" s="7"/>
      <c r="D947" s="7"/>
      <c r="E947" s="21"/>
      <c r="F947" s="7"/>
      <c r="G947" s="7"/>
    </row>
    <row r="948">
      <c r="A948" s="7"/>
      <c r="B948" s="7"/>
      <c r="C948" s="7"/>
      <c r="D948" s="7"/>
      <c r="E948" s="21"/>
      <c r="F948" s="7"/>
      <c r="G948" s="7"/>
    </row>
    <row r="949">
      <c r="A949" s="7"/>
      <c r="B949" s="7"/>
      <c r="C949" s="7"/>
      <c r="D949" s="7"/>
      <c r="E949" s="21"/>
      <c r="F949" s="7"/>
      <c r="G949" s="7"/>
    </row>
    <row r="950">
      <c r="A950" s="7"/>
      <c r="B950" s="7"/>
      <c r="C950" s="7"/>
      <c r="D950" s="7"/>
      <c r="E950" s="21"/>
      <c r="F950" s="7"/>
      <c r="G950" s="7"/>
    </row>
    <row r="951">
      <c r="A951" s="7"/>
      <c r="B951" s="7"/>
      <c r="C951" s="7"/>
      <c r="D951" s="7"/>
      <c r="E951" s="21"/>
      <c r="F951" s="7"/>
      <c r="G951" s="7"/>
    </row>
    <row r="952">
      <c r="A952" s="7"/>
      <c r="B952" s="7"/>
      <c r="C952" s="7"/>
      <c r="D952" s="7"/>
      <c r="E952" s="21"/>
      <c r="F952" s="7"/>
      <c r="G952" s="7"/>
    </row>
    <row r="953">
      <c r="A953" s="7"/>
      <c r="B953" s="7"/>
      <c r="C953" s="7"/>
      <c r="D953" s="7"/>
      <c r="E953" s="21"/>
      <c r="F953" s="7"/>
      <c r="G953" s="7"/>
    </row>
    <row r="954">
      <c r="A954" s="7"/>
      <c r="B954" s="7"/>
      <c r="C954" s="7"/>
      <c r="D954" s="7"/>
      <c r="E954" s="21"/>
      <c r="F954" s="7"/>
      <c r="G954" s="7"/>
    </row>
    <row r="955">
      <c r="A955" s="7"/>
      <c r="B955" s="7"/>
      <c r="C955" s="7"/>
      <c r="D955" s="7"/>
      <c r="E955" s="21"/>
      <c r="F955" s="7"/>
      <c r="G955" s="7"/>
    </row>
    <row r="956">
      <c r="A956" s="7"/>
      <c r="B956" s="7"/>
      <c r="C956" s="7"/>
      <c r="D956" s="7"/>
      <c r="E956" s="21"/>
      <c r="F956" s="7"/>
      <c r="G956" s="7"/>
    </row>
    <row r="957">
      <c r="A957" s="7"/>
      <c r="B957" s="7"/>
      <c r="C957" s="7"/>
      <c r="D957" s="7"/>
      <c r="E957" s="21"/>
      <c r="F957" s="7"/>
      <c r="G957" s="7"/>
    </row>
    <row r="958">
      <c r="A958" s="7"/>
      <c r="B958" s="7"/>
      <c r="C958" s="7"/>
      <c r="D958" s="7"/>
      <c r="E958" s="21"/>
      <c r="F958" s="7"/>
      <c r="G958" s="7"/>
    </row>
    <row r="959">
      <c r="A959" s="7"/>
      <c r="B959" s="7"/>
      <c r="C959" s="7"/>
      <c r="D959" s="7"/>
      <c r="E959" s="21"/>
      <c r="F959" s="7"/>
      <c r="G959" s="7"/>
    </row>
    <row r="960">
      <c r="A960" s="7"/>
      <c r="B960" s="7"/>
      <c r="C960" s="7"/>
      <c r="D960" s="7"/>
      <c r="E960" s="21"/>
      <c r="F960" s="7"/>
      <c r="G960" s="7"/>
    </row>
    <row r="961">
      <c r="A961" s="7"/>
      <c r="B961" s="7"/>
      <c r="C961" s="7"/>
      <c r="D961" s="7"/>
      <c r="E961" s="21"/>
      <c r="F961" s="7"/>
      <c r="G961" s="7"/>
    </row>
    <row r="962">
      <c r="A962" s="7"/>
      <c r="B962" s="7"/>
      <c r="C962" s="7"/>
      <c r="D962" s="7"/>
      <c r="E962" s="21"/>
      <c r="F962" s="7"/>
      <c r="G962" s="7"/>
    </row>
    <row r="963">
      <c r="A963" s="7"/>
      <c r="B963" s="7"/>
      <c r="C963" s="7"/>
      <c r="D963" s="7"/>
      <c r="E963" s="21"/>
      <c r="F963" s="7"/>
      <c r="G963" s="7"/>
    </row>
    <row r="964">
      <c r="A964" s="7"/>
      <c r="B964" s="7"/>
      <c r="C964" s="7"/>
      <c r="D964" s="7"/>
      <c r="E964" s="21"/>
      <c r="F964" s="7"/>
      <c r="G964" s="7"/>
    </row>
    <row r="965">
      <c r="A965" s="7"/>
      <c r="B965" s="7"/>
      <c r="C965" s="7"/>
      <c r="D965" s="7"/>
      <c r="E965" s="21"/>
      <c r="F965" s="7"/>
      <c r="G965" s="7"/>
    </row>
    <row r="966">
      <c r="A966" s="7"/>
      <c r="B966" s="7"/>
      <c r="C966" s="7"/>
      <c r="D966" s="7"/>
      <c r="E966" s="21"/>
      <c r="F966" s="7"/>
      <c r="G966" s="7"/>
    </row>
    <row r="967">
      <c r="A967" s="7"/>
      <c r="B967" s="7"/>
      <c r="C967" s="7"/>
      <c r="D967" s="7"/>
      <c r="E967" s="21"/>
      <c r="F967" s="7"/>
      <c r="G967" s="7"/>
    </row>
    <row r="968">
      <c r="A968" s="7"/>
      <c r="B968" s="7"/>
      <c r="C968" s="7"/>
      <c r="D968" s="7"/>
      <c r="E968" s="21"/>
      <c r="F968" s="7"/>
      <c r="G968" s="7"/>
    </row>
    <row r="969">
      <c r="A969" s="7"/>
      <c r="B969" s="7"/>
      <c r="C969" s="7"/>
      <c r="D969" s="7"/>
      <c r="E969" s="21"/>
      <c r="F969" s="7"/>
      <c r="G969" s="7"/>
    </row>
    <row r="970">
      <c r="A970" s="7"/>
      <c r="B970" s="7"/>
      <c r="C970" s="7"/>
      <c r="D970" s="7"/>
      <c r="E970" s="21"/>
      <c r="F970" s="7"/>
      <c r="G970" s="7"/>
    </row>
    <row r="971">
      <c r="A971" s="7"/>
      <c r="B971" s="7"/>
      <c r="C971" s="7"/>
      <c r="D971" s="7"/>
      <c r="E971" s="21"/>
      <c r="F971" s="7"/>
      <c r="G971" s="7"/>
    </row>
    <row r="972">
      <c r="A972" s="7"/>
      <c r="B972" s="7"/>
      <c r="C972" s="7"/>
      <c r="D972" s="7"/>
      <c r="E972" s="21"/>
      <c r="F972" s="7"/>
      <c r="G972" s="7"/>
    </row>
    <row r="973">
      <c r="A973" s="7"/>
      <c r="B973" s="7"/>
      <c r="C973" s="7"/>
      <c r="D973" s="7"/>
      <c r="E973" s="21"/>
      <c r="F973" s="7"/>
      <c r="G973" s="7"/>
    </row>
    <row r="974">
      <c r="A974" s="7"/>
      <c r="B974" s="7"/>
      <c r="C974" s="7"/>
      <c r="D974" s="7"/>
      <c r="E974" s="21"/>
      <c r="F974" s="7"/>
      <c r="G974" s="7"/>
    </row>
    <row r="975">
      <c r="A975" s="7"/>
      <c r="B975" s="7"/>
      <c r="C975" s="7"/>
      <c r="D975" s="7"/>
      <c r="E975" s="21"/>
      <c r="F975" s="7"/>
      <c r="G975" s="7"/>
    </row>
    <row r="976">
      <c r="A976" s="7"/>
      <c r="B976" s="7"/>
      <c r="C976" s="7"/>
      <c r="D976" s="7"/>
      <c r="E976" s="21"/>
      <c r="F976" s="7"/>
      <c r="G976" s="7"/>
    </row>
    <row r="977">
      <c r="A977" s="7"/>
      <c r="B977" s="7"/>
      <c r="C977" s="7"/>
      <c r="D977" s="7"/>
      <c r="E977" s="21"/>
      <c r="F977" s="7"/>
      <c r="G977" s="7"/>
    </row>
    <row r="978">
      <c r="A978" s="7"/>
      <c r="B978" s="7"/>
      <c r="C978" s="7"/>
      <c r="D978" s="7"/>
      <c r="E978" s="21"/>
      <c r="F978" s="7"/>
      <c r="G978" s="7"/>
    </row>
    <row r="979">
      <c r="A979" s="7"/>
      <c r="B979" s="7"/>
      <c r="C979" s="7"/>
      <c r="D979" s="7"/>
      <c r="E979" s="21"/>
      <c r="F979" s="7"/>
      <c r="G979" s="7"/>
    </row>
    <row r="980">
      <c r="A980" s="7"/>
      <c r="B980" s="7"/>
      <c r="C980" s="7"/>
      <c r="D980" s="7"/>
      <c r="E980" s="21"/>
      <c r="F980" s="7"/>
      <c r="G980" s="7"/>
    </row>
    <row r="981">
      <c r="A981" s="7"/>
      <c r="B981" s="7"/>
      <c r="C981" s="7"/>
      <c r="D981" s="7"/>
      <c r="E981" s="21"/>
      <c r="F981" s="7"/>
      <c r="G981" s="7"/>
    </row>
    <row r="982">
      <c r="A982" s="7"/>
      <c r="B982" s="7"/>
      <c r="C982" s="7"/>
      <c r="D982" s="7"/>
      <c r="E982" s="21"/>
      <c r="F982" s="7"/>
      <c r="G982" s="7"/>
    </row>
    <row r="983">
      <c r="A983" s="7"/>
      <c r="B983" s="7"/>
      <c r="C983" s="7"/>
      <c r="D983" s="7"/>
      <c r="E983" s="21"/>
      <c r="F983" s="7"/>
      <c r="G983" s="7"/>
    </row>
    <row r="984">
      <c r="A984" s="7"/>
      <c r="B984" s="7"/>
      <c r="C984" s="7"/>
      <c r="D984" s="7"/>
      <c r="E984" s="21"/>
      <c r="F984" s="7"/>
      <c r="G984" s="7"/>
    </row>
    <row r="985">
      <c r="A985" s="7"/>
      <c r="B985" s="7"/>
      <c r="C985" s="7"/>
      <c r="D985" s="7"/>
      <c r="E985" s="21"/>
      <c r="F985" s="7"/>
      <c r="G985" s="7"/>
    </row>
    <row r="986">
      <c r="A986" s="7"/>
      <c r="B986" s="7"/>
      <c r="C986" s="7"/>
      <c r="D986" s="7"/>
      <c r="E986" s="21"/>
      <c r="F986" s="7"/>
      <c r="G986" s="7"/>
    </row>
    <row r="987">
      <c r="A987" s="7"/>
      <c r="B987" s="7"/>
      <c r="C987" s="7"/>
      <c r="D987" s="7"/>
      <c r="E987" s="21"/>
      <c r="F987" s="7"/>
      <c r="G987" s="7"/>
    </row>
    <row r="988">
      <c r="A988" s="7"/>
      <c r="B988" s="7"/>
      <c r="C988" s="7"/>
      <c r="D988" s="7"/>
      <c r="E988" s="21"/>
      <c r="F988" s="7"/>
      <c r="G988" s="7"/>
    </row>
    <row r="989">
      <c r="A989" s="7"/>
      <c r="B989" s="7"/>
      <c r="C989" s="7"/>
      <c r="D989" s="7"/>
      <c r="E989" s="21"/>
      <c r="F989" s="7"/>
      <c r="G989" s="7"/>
    </row>
    <row r="990">
      <c r="A990" s="7"/>
      <c r="B990" s="7"/>
      <c r="C990" s="7"/>
      <c r="D990" s="7"/>
      <c r="E990" s="21"/>
      <c r="F990" s="7"/>
      <c r="G990" s="7"/>
    </row>
    <row r="991">
      <c r="A991" s="7"/>
      <c r="B991" s="7"/>
      <c r="C991" s="7"/>
      <c r="D991" s="7"/>
      <c r="E991" s="21"/>
      <c r="F991" s="7"/>
      <c r="G991" s="7"/>
    </row>
    <row r="992">
      <c r="A992" s="7"/>
      <c r="B992" s="7"/>
      <c r="C992" s="7"/>
      <c r="D992" s="7"/>
      <c r="E992" s="21"/>
      <c r="F992" s="7"/>
      <c r="G992" s="7"/>
    </row>
    <row r="993">
      <c r="A993" s="7"/>
      <c r="B993" s="7"/>
      <c r="C993" s="7"/>
      <c r="D993" s="7"/>
      <c r="E993" s="21"/>
      <c r="F993" s="7"/>
      <c r="G993" s="7"/>
    </row>
    <row r="994">
      <c r="A994" s="7"/>
      <c r="B994" s="7"/>
      <c r="C994" s="7"/>
      <c r="D994" s="7"/>
      <c r="E994" s="21"/>
      <c r="F994" s="7"/>
      <c r="G994" s="7"/>
    </row>
    <row r="995">
      <c r="A995" s="7"/>
      <c r="B995" s="7"/>
      <c r="C995" s="7"/>
      <c r="D995" s="7"/>
      <c r="E995" s="21"/>
      <c r="F995" s="7"/>
      <c r="G995" s="7"/>
    </row>
    <row r="996">
      <c r="A996" s="7"/>
      <c r="B996" s="7"/>
      <c r="C996" s="7"/>
      <c r="D996" s="7"/>
      <c r="E996" s="21"/>
      <c r="F996" s="7"/>
      <c r="G996" s="7"/>
    </row>
    <row r="997">
      <c r="A997" s="7"/>
      <c r="B997" s="7"/>
      <c r="C997" s="7"/>
      <c r="D997" s="7"/>
      <c r="E997" s="21"/>
      <c r="F997" s="7"/>
      <c r="G997" s="7"/>
    </row>
    <row r="998">
      <c r="A998" s="7"/>
      <c r="B998" s="7"/>
      <c r="C998" s="7"/>
      <c r="D998" s="7"/>
      <c r="E998" s="21"/>
      <c r="F998" s="7"/>
      <c r="G998" s="7"/>
    </row>
    <row r="999">
      <c r="A999" s="7"/>
      <c r="B999" s="7"/>
      <c r="C999" s="7"/>
      <c r="D999" s="7"/>
      <c r="E999" s="21"/>
      <c r="F999" s="7"/>
      <c r="G999" s="7"/>
    </row>
    <row r="1000">
      <c r="A1000" s="7"/>
      <c r="B1000" s="7"/>
      <c r="C1000" s="7"/>
      <c r="D1000" s="7"/>
      <c r="E1000" s="21"/>
      <c r="F1000" s="7"/>
      <c r="G1000" s="7"/>
    </row>
    <row r="1001">
      <c r="A1001" s="7"/>
      <c r="B1001" s="7"/>
      <c r="C1001" s="7"/>
      <c r="D1001" s="7"/>
      <c r="E1001" s="21"/>
      <c r="F1001" s="7"/>
      <c r="G1001" s="7"/>
    </row>
    <row r="1002">
      <c r="A1002" s="7"/>
      <c r="B1002" s="7"/>
      <c r="C1002" s="7"/>
      <c r="D1002" s="7"/>
      <c r="E1002" s="21"/>
      <c r="F1002" s="7"/>
      <c r="G1002" s="7"/>
    </row>
    <row r="1003">
      <c r="A1003" s="7"/>
      <c r="B1003" s="7"/>
      <c r="C1003" s="7"/>
      <c r="D1003" s="7"/>
      <c r="E1003" s="21"/>
      <c r="F1003" s="7"/>
      <c r="G1003" s="7"/>
    </row>
    <row r="1004">
      <c r="A1004" s="7"/>
      <c r="B1004" s="7"/>
      <c r="C1004" s="7"/>
      <c r="D1004" s="7"/>
      <c r="E1004" s="21"/>
      <c r="F1004" s="7"/>
      <c r="G1004" s="7"/>
    </row>
    <row r="1005">
      <c r="A1005" s="7"/>
      <c r="B1005" s="7"/>
      <c r="C1005" s="7"/>
      <c r="D1005" s="7"/>
      <c r="E1005" s="21"/>
      <c r="F1005" s="7"/>
      <c r="G1005" s="7"/>
    </row>
    <row r="1006">
      <c r="A1006" s="7"/>
      <c r="B1006" s="7"/>
      <c r="C1006" s="7"/>
      <c r="D1006" s="7"/>
      <c r="E1006" s="21"/>
      <c r="F1006" s="7"/>
      <c r="G1006" s="7"/>
    </row>
    <row r="1007">
      <c r="A1007" s="7"/>
      <c r="B1007" s="7"/>
      <c r="C1007" s="7"/>
      <c r="D1007" s="7"/>
      <c r="E1007" s="21"/>
      <c r="F1007" s="7"/>
      <c r="G1007" s="7"/>
    </row>
    <row r="1008">
      <c r="A1008" s="7"/>
      <c r="B1008" s="7"/>
      <c r="C1008" s="7"/>
      <c r="D1008" s="7"/>
      <c r="E1008" s="21"/>
      <c r="F1008" s="7"/>
      <c r="G1008" s="7"/>
    </row>
    <row r="1009">
      <c r="A1009" s="7"/>
      <c r="B1009" s="7"/>
      <c r="C1009" s="7"/>
      <c r="D1009" s="7"/>
      <c r="E1009" s="21"/>
      <c r="F1009" s="7"/>
      <c r="G1009" s="7"/>
    </row>
    <row r="1010">
      <c r="A1010" s="7"/>
      <c r="B1010" s="7"/>
      <c r="C1010" s="7"/>
      <c r="D1010" s="7"/>
      <c r="E1010" s="21"/>
      <c r="F1010" s="7"/>
      <c r="G1010" s="7"/>
    </row>
    <row r="1011">
      <c r="A1011" s="7"/>
      <c r="B1011" s="7"/>
      <c r="C1011" s="7"/>
      <c r="D1011" s="7"/>
      <c r="E1011" s="21"/>
      <c r="F1011" s="7"/>
      <c r="G1011" s="7"/>
    </row>
    <row r="1012">
      <c r="A1012" s="7"/>
      <c r="B1012" s="7"/>
      <c r="C1012" s="7"/>
      <c r="D1012" s="7"/>
      <c r="E1012" s="21"/>
      <c r="F1012" s="7"/>
      <c r="G1012" s="7"/>
    </row>
    <row r="1013">
      <c r="A1013" s="7"/>
      <c r="B1013" s="7"/>
      <c r="C1013" s="7"/>
      <c r="D1013" s="7"/>
      <c r="E1013" s="21"/>
      <c r="F1013" s="7"/>
      <c r="G1013" s="7"/>
    </row>
    <row r="1014">
      <c r="A1014" s="7"/>
      <c r="B1014" s="7"/>
      <c r="C1014" s="7"/>
      <c r="D1014" s="7"/>
      <c r="E1014" s="21"/>
      <c r="F1014" s="7"/>
      <c r="G1014" s="7"/>
    </row>
    <row r="1015">
      <c r="A1015" s="7"/>
      <c r="B1015" s="7"/>
      <c r="C1015" s="7"/>
      <c r="D1015" s="7"/>
      <c r="E1015" s="21"/>
      <c r="F1015" s="7"/>
      <c r="G1015" s="7"/>
    </row>
    <row r="1016">
      <c r="A1016" s="7"/>
      <c r="B1016" s="7"/>
      <c r="C1016" s="7"/>
      <c r="D1016" s="7"/>
      <c r="E1016" s="21"/>
      <c r="F1016" s="7"/>
      <c r="G1016" s="7"/>
    </row>
    <row r="1017">
      <c r="A1017" s="7"/>
      <c r="B1017" s="7"/>
      <c r="C1017" s="7"/>
      <c r="D1017" s="7"/>
      <c r="E1017" s="21"/>
      <c r="F1017" s="7"/>
      <c r="G1017" s="7"/>
    </row>
    <row r="1018">
      <c r="A1018" s="7"/>
      <c r="B1018" s="7"/>
      <c r="C1018" s="7"/>
      <c r="D1018" s="7"/>
      <c r="E1018" s="21"/>
      <c r="F1018" s="7"/>
      <c r="G1018" s="7"/>
    </row>
    <row r="1019">
      <c r="A1019" s="7"/>
      <c r="B1019" s="7"/>
      <c r="C1019" s="7"/>
      <c r="D1019" s="7"/>
      <c r="E1019" s="21"/>
      <c r="F1019" s="7"/>
      <c r="G1019" s="7"/>
    </row>
    <row r="1020">
      <c r="A1020" s="7"/>
      <c r="B1020" s="7"/>
      <c r="C1020" s="7"/>
      <c r="D1020" s="7"/>
      <c r="E1020" s="21"/>
      <c r="F1020" s="7"/>
      <c r="G1020" s="7"/>
    </row>
  </sheetData>
  <autoFilter ref="$A$1:$G$20"/>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7.63"/>
    <col customWidth="1" min="3" max="3" width="40.88"/>
    <col customWidth="1" min="4" max="4" width="29.25"/>
    <col customWidth="1" min="5" max="5" width="14.38"/>
    <col customWidth="1" min="6" max="6" width="18.38"/>
    <col customWidth="1" min="7" max="7" width="27.13"/>
    <col customWidth="1" min="8" max="8" width="29.88"/>
    <col customWidth="1" min="9" max="9" width="49.75"/>
  </cols>
  <sheetData>
    <row r="1">
      <c r="A1" s="2" t="s">
        <v>2</v>
      </c>
      <c r="B1" s="1" t="s">
        <v>6</v>
      </c>
      <c r="C1" s="2" t="s">
        <v>3</v>
      </c>
      <c r="D1" s="2" t="s">
        <v>4</v>
      </c>
      <c r="E1" s="5" t="s">
        <v>7</v>
      </c>
      <c r="F1" s="1" t="s">
        <v>15</v>
      </c>
      <c r="G1" s="1" t="s">
        <v>17</v>
      </c>
      <c r="H1" s="1" t="s">
        <v>18</v>
      </c>
      <c r="I1" s="1" t="s">
        <v>21</v>
      </c>
    </row>
    <row r="2">
      <c r="A2" s="11" t="s">
        <v>23</v>
      </c>
      <c r="B2" s="12" t="s">
        <v>26</v>
      </c>
      <c r="C2" s="14" t="s">
        <v>35</v>
      </c>
      <c r="D2" s="14" t="s">
        <v>39</v>
      </c>
      <c r="E2" s="14" t="s">
        <v>42</v>
      </c>
      <c r="G2" s="16"/>
      <c r="H2" s="16"/>
      <c r="I2" s="14"/>
    </row>
    <row r="3">
      <c r="A3" s="11" t="s">
        <v>23</v>
      </c>
      <c r="B3" s="18" t="s">
        <v>50</v>
      </c>
      <c r="C3" s="13" t="s">
        <v>51</v>
      </c>
      <c r="D3" s="21" t="s">
        <v>54</v>
      </c>
      <c r="E3" s="14" t="s">
        <v>58</v>
      </c>
      <c r="G3" s="16"/>
      <c r="H3" s="16"/>
      <c r="I3" s="14"/>
    </row>
    <row r="4">
      <c r="A4" s="7" t="s">
        <v>23</v>
      </c>
      <c r="B4" s="7" t="s">
        <v>66</v>
      </c>
      <c r="C4" s="7" t="s">
        <v>63</v>
      </c>
      <c r="D4" s="7" t="s">
        <v>71</v>
      </c>
      <c r="E4" s="25" t="s">
        <v>73</v>
      </c>
      <c r="F4" s="7"/>
      <c r="G4" s="7"/>
      <c r="H4" s="7"/>
      <c r="I4" s="7"/>
    </row>
    <row r="5">
      <c r="A5" s="7" t="s">
        <v>23</v>
      </c>
      <c r="B5" s="7" t="s">
        <v>55</v>
      </c>
      <c r="C5" s="7" t="s">
        <v>61</v>
      </c>
      <c r="D5" s="7" t="s">
        <v>98</v>
      </c>
      <c r="E5" s="26" t="s">
        <v>108</v>
      </c>
      <c r="F5" s="7"/>
      <c r="G5" s="7"/>
      <c r="H5" s="7"/>
      <c r="I5" s="7"/>
    </row>
    <row r="6">
      <c r="A6" s="27" t="s">
        <v>23</v>
      </c>
      <c r="B6" s="27" t="s">
        <v>130</v>
      </c>
      <c r="C6" s="27" t="s">
        <v>136</v>
      </c>
      <c r="D6" s="27" t="s">
        <v>138</v>
      </c>
      <c r="E6" s="28" t="s">
        <v>141</v>
      </c>
      <c r="F6" s="27" t="s">
        <v>152</v>
      </c>
      <c r="G6" s="29" t="s">
        <v>157</v>
      </c>
      <c r="H6" s="29" t="s">
        <v>159</v>
      </c>
      <c r="I6" s="29" t="s">
        <v>163</v>
      </c>
    </row>
    <row r="7">
      <c r="A7" s="7" t="s">
        <v>23</v>
      </c>
      <c r="B7" s="7" t="s">
        <v>165</v>
      </c>
      <c r="C7" s="7" t="s">
        <v>95</v>
      </c>
      <c r="D7" s="7" t="s">
        <v>170</v>
      </c>
      <c r="E7" s="26" t="s">
        <v>171</v>
      </c>
      <c r="F7" s="7"/>
      <c r="G7" s="7"/>
      <c r="H7" s="7"/>
      <c r="I7" s="7"/>
    </row>
    <row r="8">
      <c r="A8" s="7" t="s">
        <v>23</v>
      </c>
      <c r="B8" s="7" t="s">
        <v>175</v>
      </c>
      <c r="C8" s="7" t="s">
        <v>105</v>
      </c>
      <c r="D8" s="7" t="s">
        <v>177</v>
      </c>
      <c r="E8" s="26" t="s">
        <v>179</v>
      </c>
      <c r="F8" s="7"/>
      <c r="G8" s="7"/>
      <c r="H8" s="7"/>
      <c r="I8" s="7"/>
    </row>
    <row r="9">
      <c r="A9" s="7" t="s">
        <v>23</v>
      </c>
      <c r="B9" s="7" t="s">
        <v>187</v>
      </c>
      <c r="C9" s="7" t="s">
        <v>118</v>
      </c>
      <c r="D9" s="7" t="s">
        <v>191</v>
      </c>
      <c r="E9" s="26" t="s">
        <v>193</v>
      </c>
      <c r="F9" s="7"/>
      <c r="G9" s="7"/>
      <c r="H9" s="7"/>
      <c r="I9" s="7"/>
    </row>
    <row r="10">
      <c r="A10" s="7" t="s">
        <v>23</v>
      </c>
      <c r="B10" s="7" t="s">
        <v>116</v>
      </c>
      <c r="C10" s="7" t="s">
        <v>119</v>
      </c>
      <c r="D10" s="7" t="s">
        <v>184</v>
      </c>
      <c r="E10" s="26" t="s">
        <v>195</v>
      </c>
      <c r="F10" s="7"/>
      <c r="G10" s="7"/>
      <c r="H10" s="7"/>
      <c r="I10" s="7"/>
    </row>
    <row r="11">
      <c r="A11" s="30" t="s">
        <v>23</v>
      </c>
      <c r="B11" s="12" t="s">
        <v>201</v>
      </c>
      <c r="C11" s="14" t="s">
        <v>204</v>
      </c>
      <c r="D11" s="14" t="s">
        <v>206</v>
      </c>
      <c r="E11" s="14" t="s">
        <v>208</v>
      </c>
      <c r="G11" s="16"/>
      <c r="H11" s="16"/>
      <c r="I11" s="14"/>
    </row>
    <row r="12">
      <c r="A12" s="7" t="s">
        <v>23</v>
      </c>
      <c r="B12" s="7" t="s">
        <v>59</v>
      </c>
      <c r="C12" s="7" t="s">
        <v>225</v>
      </c>
      <c r="D12" s="7" t="s">
        <v>227</v>
      </c>
      <c r="E12" s="26" t="s">
        <v>67</v>
      </c>
      <c r="F12" s="7"/>
      <c r="G12" s="7"/>
      <c r="H12" s="7"/>
      <c r="I12" s="7"/>
    </row>
    <row r="13">
      <c r="A13" s="7" t="s">
        <v>23</v>
      </c>
      <c r="B13" s="7" t="s">
        <v>231</v>
      </c>
      <c r="C13" s="7" t="s">
        <v>148</v>
      </c>
      <c r="D13" s="7" t="s">
        <v>234</v>
      </c>
      <c r="E13" s="26" t="s">
        <v>235</v>
      </c>
      <c r="F13" s="7"/>
      <c r="G13" s="7"/>
      <c r="H13" s="7"/>
      <c r="I13" s="7"/>
    </row>
    <row r="14">
      <c r="A14" s="30" t="s">
        <v>23</v>
      </c>
      <c r="B14" s="12" t="s">
        <v>239</v>
      </c>
      <c r="C14" s="14" t="s">
        <v>240</v>
      </c>
      <c r="D14" s="14" t="s">
        <v>242</v>
      </c>
      <c r="E14" s="14" t="s">
        <v>243</v>
      </c>
      <c r="G14" s="16"/>
      <c r="H14" s="16"/>
      <c r="I14" s="14"/>
    </row>
    <row r="15">
      <c r="A15" s="7" t="s">
        <v>23</v>
      </c>
      <c r="B15" s="7" t="s">
        <v>245</v>
      </c>
      <c r="C15" s="7" t="s">
        <v>164</v>
      </c>
      <c r="D15" s="7" t="s">
        <v>248</v>
      </c>
      <c r="E15" s="26" t="s">
        <v>250</v>
      </c>
      <c r="F15" s="7"/>
      <c r="G15" s="7"/>
      <c r="H15" s="7"/>
      <c r="I15" s="7"/>
    </row>
    <row r="16">
      <c r="A16" s="30" t="s">
        <v>23</v>
      </c>
      <c r="B16" s="12" t="s">
        <v>251</v>
      </c>
      <c r="C16" s="14" t="s">
        <v>253</v>
      </c>
      <c r="D16" s="14" t="s">
        <v>254</v>
      </c>
      <c r="E16" s="14" t="s">
        <v>256</v>
      </c>
      <c r="G16" s="16"/>
      <c r="H16" s="16"/>
      <c r="I16" s="14"/>
    </row>
    <row r="17">
      <c r="A17" s="30" t="s">
        <v>23</v>
      </c>
      <c r="B17" s="12" t="s">
        <v>257</v>
      </c>
      <c r="C17" s="14" t="s">
        <v>258</v>
      </c>
      <c r="D17" s="14" t="s">
        <v>259</v>
      </c>
      <c r="E17" s="14" t="s">
        <v>260</v>
      </c>
      <c r="G17" s="16"/>
      <c r="H17" s="16"/>
      <c r="I17" s="14"/>
    </row>
    <row r="18">
      <c r="A18" s="30" t="s">
        <v>23</v>
      </c>
      <c r="B18" s="12" t="s">
        <v>262</v>
      </c>
      <c r="C18" s="14" t="s">
        <v>263</v>
      </c>
      <c r="D18" s="14" t="s">
        <v>265</v>
      </c>
      <c r="E18" s="14" t="s">
        <v>266</v>
      </c>
      <c r="G18" s="16"/>
      <c r="H18" s="16"/>
      <c r="I18" s="14"/>
    </row>
    <row r="19" ht="16.5" customHeight="1">
      <c r="A19" s="7" t="s">
        <v>23</v>
      </c>
      <c r="B19" s="7" t="s">
        <v>269</v>
      </c>
      <c r="C19" s="7" t="s">
        <v>200</v>
      </c>
      <c r="D19" s="7" t="s">
        <v>270</v>
      </c>
      <c r="E19" s="26" t="s">
        <v>271</v>
      </c>
      <c r="F19" s="7"/>
      <c r="G19" s="7"/>
      <c r="H19" s="7"/>
      <c r="I19" s="7"/>
    </row>
    <row r="20">
      <c r="A20" s="7" t="s">
        <v>23</v>
      </c>
      <c r="B20" s="7" t="s">
        <v>272</v>
      </c>
      <c r="C20" s="7" t="s">
        <v>219</v>
      </c>
      <c r="D20" s="7" t="s">
        <v>274</v>
      </c>
      <c r="E20" s="26" t="s">
        <v>275</v>
      </c>
      <c r="F20" s="7"/>
      <c r="G20" s="7"/>
      <c r="H20" s="7"/>
      <c r="I20" s="7"/>
    </row>
    <row r="21">
      <c r="A21" s="30" t="s">
        <v>23</v>
      </c>
      <c r="B21" s="12" t="s">
        <v>277</v>
      </c>
      <c r="C21" s="14" t="s">
        <v>278</v>
      </c>
      <c r="D21" s="14" t="s">
        <v>279</v>
      </c>
      <c r="E21" s="14" t="s">
        <v>280</v>
      </c>
      <c r="G21" s="16"/>
      <c r="H21" s="16"/>
      <c r="I21" s="14"/>
    </row>
    <row r="22">
      <c r="A22" s="7" t="s">
        <v>23</v>
      </c>
      <c r="B22" s="18" t="s">
        <v>232</v>
      </c>
      <c r="C22" s="7" t="s">
        <v>229</v>
      </c>
      <c r="D22" s="7" t="s">
        <v>282</v>
      </c>
      <c r="E22" s="26" t="s">
        <v>283</v>
      </c>
      <c r="F22" s="7"/>
      <c r="G22" s="7"/>
      <c r="H22" s="7"/>
      <c r="I22" s="7"/>
    </row>
    <row r="23">
      <c r="A23" s="7" t="s">
        <v>23</v>
      </c>
      <c r="B23" s="7" t="s">
        <v>285</v>
      </c>
      <c r="C23" s="7" t="s">
        <v>287</v>
      </c>
      <c r="D23" s="7" t="s">
        <v>288</v>
      </c>
      <c r="E23" s="26" t="s">
        <v>289</v>
      </c>
      <c r="F23" s="7"/>
      <c r="G23" s="7"/>
      <c r="H23" s="7"/>
      <c r="I23" s="7"/>
    </row>
    <row r="24">
      <c r="A24" s="7" t="s">
        <v>23</v>
      </c>
      <c r="B24" s="7" t="s">
        <v>291</v>
      </c>
      <c r="C24" s="7" t="s">
        <v>237</v>
      </c>
      <c r="D24" s="7" t="s">
        <v>293</v>
      </c>
      <c r="E24" s="26" t="s">
        <v>294</v>
      </c>
      <c r="F24" s="7"/>
      <c r="G24" s="7"/>
      <c r="H24" s="7"/>
      <c r="I24" s="7"/>
    </row>
    <row r="25">
      <c r="A25" s="7" t="s">
        <v>23</v>
      </c>
      <c r="B25" s="7" t="s">
        <v>296</v>
      </c>
      <c r="C25" s="7" t="s">
        <v>249</v>
      </c>
      <c r="D25" s="7" t="s">
        <v>297</v>
      </c>
      <c r="E25" s="26" t="s">
        <v>298</v>
      </c>
      <c r="F25" s="7"/>
      <c r="G25" s="7"/>
      <c r="H25" s="7"/>
      <c r="I25" s="7"/>
    </row>
    <row r="26">
      <c r="A26" s="30" t="s">
        <v>23</v>
      </c>
      <c r="B26" s="12" t="s">
        <v>302</v>
      </c>
      <c r="C26" s="14" t="s">
        <v>303</v>
      </c>
      <c r="D26" s="14" t="s">
        <v>304</v>
      </c>
      <c r="E26" s="14" t="s">
        <v>306</v>
      </c>
      <c r="G26" s="16"/>
      <c r="H26" s="16"/>
      <c r="I26" s="14"/>
    </row>
    <row r="27">
      <c r="A27" s="7" t="s">
        <v>23</v>
      </c>
      <c r="B27" s="7" t="s">
        <v>221</v>
      </c>
      <c r="C27" s="7" t="s">
        <v>224</v>
      </c>
      <c r="D27" s="7" t="s">
        <v>309</v>
      </c>
      <c r="E27" s="26" t="s">
        <v>310</v>
      </c>
      <c r="F27" s="7"/>
      <c r="G27" s="7"/>
      <c r="H27" s="7"/>
      <c r="I27" s="7"/>
    </row>
    <row r="28">
      <c r="A28" s="7" t="s">
        <v>23</v>
      </c>
      <c r="B28" s="7" t="s">
        <v>314</v>
      </c>
      <c r="C28" s="7" t="s">
        <v>295</v>
      </c>
      <c r="D28" s="7" t="s">
        <v>315</v>
      </c>
      <c r="E28" s="26" t="s">
        <v>317</v>
      </c>
      <c r="F28" s="7"/>
      <c r="G28" s="7"/>
      <c r="H28" s="7"/>
      <c r="I28" s="7"/>
    </row>
    <row r="29">
      <c r="A29" s="30" t="s">
        <v>23</v>
      </c>
      <c r="B29" s="12" t="s">
        <v>319</v>
      </c>
      <c r="C29" s="14" t="s">
        <v>320</v>
      </c>
      <c r="D29" s="14" t="s">
        <v>321</v>
      </c>
      <c r="E29" s="14" t="s">
        <v>322</v>
      </c>
      <c r="G29" s="16"/>
      <c r="H29" s="16"/>
      <c r="I29" s="14"/>
    </row>
    <row r="30">
      <c r="A30" s="7" t="s">
        <v>23</v>
      </c>
      <c r="B30" s="7" t="s">
        <v>325</v>
      </c>
      <c r="C30" s="7" t="s">
        <v>326</v>
      </c>
      <c r="D30" s="7" t="s">
        <v>327</v>
      </c>
      <c r="E30" s="26" t="s">
        <v>328</v>
      </c>
      <c r="F30" s="7"/>
      <c r="G30" s="7"/>
      <c r="H30" s="7"/>
      <c r="I30" s="7"/>
    </row>
    <row r="31">
      <c r="A31" s="30" t="s">
        <v>23</v>
      </c>
      <c r="B31" s="12" t="s">
        <v>330</v>
      </c>
      <c r="C31" s="14" t="s">
        <v>332</v>
      </c>
      <c r="D31" s="14" t="s">
        <v>333</v>
      </c>
      <c r="E31" s="14" t="s">
        <v>334</v>
      </c>
      <c r="G31" s="16"/>
      <c r="H31" s="16"/>
      <c r="I31" s="14"/>
    </row>
    <row r="32">
      <c r="A32" s="30" t="s">
        <v>23</v>
      </c>
      <c r="B32" s="12" t="s">
        <v>335</v>
      </c>
      <c r="C32" s="14" t="s">
        <v>336</v>
      </c>
      <c r="D32" s="14" t="s">
        <v>337</v>
      </c>
      <c r="E32" s="14" t="s">
        <v>338</v>
      </c>
      <c r="G32" s="16"/>
      <c r="H32" s="16"/>
      <c r="I32" s="14"/>
    </row>
    <row r="33">
      <c r="A33" s="30" t="s">
        <v>23</v>
      </c>
      <c r="B33" s="12" t="s">
        <v>339</v>
      </c>
      <c r="C33" s="14" t="s">
        <v>340</v>
      </c>
      <c r="D33" s="14" t="s">
        <v>341</v>
      </c>
      <c r="E33" s="14" t="s">
        <v>343</v>
      </c>
      <c r="G33" s="16"/>
      <c r="H33" s="16"/>
      <c r="I33" s="14"/>
    </row>
    <row r="34">
      <c r="A34" s="30" t="s">
        <v>23</v>
      </c>
      <c r="B34" s="12" t="s">
        <v>344</v>
      </c>
      <c r="C34" s="30" t="s">
        <v>345</v>
      </c>
      <c r="D34" s="14" t="s">
        <v>347</v>
      </c>
      <c r="E34" s="14" t="s">
        <v>348</v>
      </c>
      <c r="G34" s="16"/>
      <c r="H34" s="16"/>
      <c r="I34" s="14"/>
    </row>
    <row r="35">
      <c r="A35" s="7" t="s">
        <v>23</v>
      </c>
      <c r="B35" s="7" t="s">
        <v>350</v>
      </c>
      <c r="C35" s="7" t="s">
        <v>351</v>
      </c>
      <c r="D35" s="7" t="s">
        <v>352</v>
      </c>
      <c r="E35" s="26" t="s">
        <v>353</v>
      </c>
      <c r="F35" s="7"/>
      <c r="G35" s="7"/>
      <c r="H35" s="7"/>
      <c r="I35" s="7"/>
    </row>
    <row r="36">
      <c r="A36" s="7" t="s">
        <v>23</v>
      </c>
      <c r="B36" s="11" t="s">
        <v>355</v>
      </c>
      <c r="C36" s="7" t="s">
        <v>356</v>
      </c>
      <c r="D36" s="11" t="s">
        <v>357</v>
      </c>
      <c r="E36" s="26" t="s">
        <v>358</v>
      </c>
      <c r="F36" s="13"/>
      <c r="G36" s="13"/>
      <c r="H36" s="13"/>
      <c r="I36" s="13"/>
    </row>
    <row r="37">
      <c r="A37" s="30" t="s">
        <v>23</v>
      </c>
      <c r="B37" s="12" t="s">
        <v>362</v>
      </c>
      <c r="C37" s="14" t="s">
        <v>365</v>
      </c>
      <c r="D37" s="14" t="s">
        <v>366</v>
      </c>
      <c r="E37" s="14" t="s">
        <v>367</v>
      </c>
      <c r="G37" s="16"/>
      <c r="H37" s="16"/>
      <c r="I37" s="14"/>
    </row>
    <row r="38">
      <c r="A38" s="7" t="s">
        <v>23</v>
      </c>
      <c r="B38" s="11" t="s">
        <v>369</v>
      </c>
      <c r="C38" s="11" t="s">
        <v>370</v>
      </c>
      <c r="D38" s="11" t="s">
        <v>372</v>
      </c>
      <c r="E38" s="31" t="s">
        <v>374</v>
      </c>
    </row>
    <row r="39">
      <c r="A39" s="30" t="s">
        <v>23</v>
      </c>
      <c r="B39" s="12" t="s">
        <v>377</v>
      </c>
      <c r="C39" s="14" t="s">
        <v>379</v>
      </c>
      <c r="D39" s="14" t="s">
        <v>380</v>
      </c>
      <c r="E39" s="14" t="s">
        <v>381</v>
      </c>
      <c r="G39" s="16"/>
      <c r="H39" s="16"/>
      <c r="I39" s="14"/>
    </row>
    <row r="40">
      <c r="A40" s="7" t="s">
        <v>23</v>
      </c>
      <c r="B40" s="11" t="s">
        <v>264</v>
      </c>
      <c r="C40" s="11" t="s">
        <v>267</v>
      </c>
      <c r="D40" s="11" t="s">
        <v>268</v>
      </c>
      <c r="E40" s="31" t="s">
        <v>386</v>
      </c>
    </row>
    <row r="41">
      <c r="A41" s="30" t="s">
        <v>23</v>
      </c>
      <c r="B41" s="12" t="s">
        <v>389</v>
      </c>
      <c r="C41" s="14" t="s">
        <v>390</v>
      </c>
      <c r="D41" s="14" t="s">
        <v>392</v>
      </c>
      <c r="E41" s="14" t="s">
        <v>394</v>
      </c>
      <c r="G41" s="16"/>
      <c r="H41" s="16"/>
      <c r="I41" s="14"/>
    </row>
    <row r="42">
      <c r="A42" s="30" t="s">
        <v>23</v>
      </c>
      <c r="B42" s="12" t="s">
        <v>397</v>
      </c>
      <c r="C42" s="14" t="s">
        <v>399</v>
      </c>
      <c r="D42" s="14" t="s">
        <v>400</v>
      </c>
      <c r="E42" s="14" t="s">
        <v>401</v>
      </c>
      <c r="G42" s="16"/>
      <c r="H42" s="16"/>
      <c r="I42" s="14"/>
    </row>
    <row r="43">
      <c r="A43" s="7" t="s">
        <v>23</v>
      </c>
      <c r="B43" s="11" t="s">
        <v>151</v>
      </c>
      <c r="C43" s="11" t="s">
        <v>311</v>
      </c>
      <c r="D43" s="11" t="s">
        <v>349</v>
      </c>
      <c r="E43" s="31" t="s">
        <v>158</v>
      </c>
    </row>
    <row r="44">
      <c r="A44" s="30" t="s">
        <v>23</v>
      </c>
      <c r="B44" s="12" t="s">
        <v>404</v>
      </c>
      <c r="C44" s="14" t="s">
        <v>405</v>
      </c>
      <c r="D44" s="14" t="s">
        <v>406</v>
      </c>
      <c r="E44" s="14" t="s">
        <v>407</v>
      </c>
      <c r="G44" s="16"/>
      <c r="H44" s="16"/>
      <c r="I44" s="14"/>
    </row>
    <row r="45">
      <c r="A45" s="7" t="s">
        <v>23</v>
      </c>
      <c r="B45" s="11" t="s">
        <v>409</v>
      </c>
      <c r="C45" s="11" t="s">
        <v>410</v>
      </c>
      <c r="D45" s="11" t="s">
        <v>411</v>
      </c>
      <c r="E45" s="31" t="s">
        <v>413</v>
      </c>
    </row>
    <row r="46">
      <c r="A46" s="30" t="s">
        <v>23</v>
      </c>
      <c r="B46" s="12" t="s">
        <v>414</v>
      </c>
      <c r="C46" s="14" t="s">
        <v>415</v>
      </c>
      <c r="D46" s="14" t="s">
        <v>416</v>
      </c>
      <c r="E46" s="14" t="s">
        <v>417</v>
      </c>
      <c r="G46" s="16"/>
      <c r="H46" s="16"/>
      <c r="I46" s="14"/>
    </row>
    <row r="47">
      <c r="A47" s="7" t="s">
        <v>23</v>
      </c>
      <c r="B47" s="32" t="s">
        <v>419</v>
      </c>
      <c r="C47" s="11" t="s">
        <v>420</v>
      </c>
      <c r="D47" s="11" t="s">
        <v>421</v>
      </c>
      <c r="E47" s="31" t="s">
        <v>424</v>
      </c>
    </row>
    <row r="48">
      <c r="A48" s="30" t="s">
        <v>23</v>
      </c>
      <c r="B48" s="12" t="s">
        <v>426</v>
      </c>
      <c r="C48" s="14" t="s">
        <v>427</v>
      </c>
      <c r="D48" s="14" t="s">
        <v>428</v>
      </c>
      <c r="E48" s="14" t="s">
        <v>429</v>
      </c>
      <c r="G48" s="16"/>
      <c r="H48" s="16"/>
      <c r="I48" s="14"/>
    </row>
    <row r="49">
      <c r="A49" s="30" t="s">
        <v>23</v>
      </c>
      <c r="B49" s="12" t="s">
        <v>430</v>
      </c>
      <c r="C49" s="14" t="s">
        <v>431</v>
      </c>
      <c r="D49" s="14" t="s">
        <v>432</v>
      </c>
      <c r="E49" s="14" t="s">
        <v>434</v>
      </c>
      <c r="G49" s="16"/>
      <c r="H49" s="16"/>
      <c r="I49" s="14"/>
    </row>
    <row r="50">
      <c r="A50" s="7" t="s">
        <v>23</v>
      </c>
      <c r="B50" s="11" t="s">
        <v>435</v>
      </c>
      <c r="C50" s="11" t="s">
        <v>436</v>
      </c>
      <c r="D50" s="11" t="s">
        <v>437</v>
      </c>
      <c r="E50" s="31" t="s">
        <v>438</v>
      </c>
    </row>
    <row r="51">
      <c r="A51" s="30" t="s">
        <v>23</v>
      </c>
      <c r="B51" s="12" t="s">
        <v>441</v>
      </c>
      <c r="C51" s="14" t="s">
        <v>442</v>
      </c>
      <c r="D51" s="14" t="s">
        <v>443</v>
      </c>
      <c r="E51" s="14" t="s">
        <v>444</v>
      </c>
      <c r="G51" s="16"/>
      <c r="H51" s="16"/>
      <c r="I51" s="14"/>
    </row>
    <row r="52">
      <c r="A52" s="7" t="s">
        <v>23</v>
      </c>
      <c r="B52" s="11" t="s">
        <v>447</v>
      </c>
      <c r="C52" s="11" t="s">
        <v>448</v>
      </c>
      <c r="D52" s="11" t="s">
        <v>449</v>
      </c>
      <c r="E52" s="31" t="s">
        <v>450</v>
      </c>
    </row>
    <row r="53">
      <c r="A53" s="7" t="s">
        <v>23</v>
      </c>
      <c r="B53" s="11" t="s">
        <v>451</v>
      </c>
      <c r="C53" s="11" t="s">
        <v>452</v>
      </c>
      <c r="D53" s="11" t="s">
        <v>454</v>
      </c>
      <c r="E53" s="31" t="s">
        <v>456</v>
      </c>
    </row>
    <row r="54">
      <c r="A54" s="7" t="s">
        <v>23</v>
      </c>
      <c r="B54" s="11" t="s">
        <v>459</v>
      </c>
      <c r="C54" s="11" t="s">
        <v>460</v>
      </c>
      <c r="D54" s="11" t="s">
        <v>461</v>
      </c>
      <c r="E54" s="31" t="s">
        <v>462</v>
      </c>
    </row>
    <row r="55">
      <c r="A55" s="7" t="s">
        <v>23</v>
      </c>
      <c r="B55" s="11" t="s">
        <v>465</v>
      </c>
      <c r="C55" s="11" t="s">
        <v>466</v>
      </c>
      <c r="D55" s="11" t="s">
        <v>468</v>
      </c>
      <c r="E55" s="31" t="s">
        <v>469</v>
      </c>
    </row>
    <row r="56">
      <c r="A56" s="30" t="s">
        <v>23</v>
      </c>
      <c r="B56" s="12" t="s">
        <v>471</v>
      </c>
      <c r="C56" s="14" t="s">
        <v>474</v>
      </c>
      <c r="D56" s="14" t="s">
        <v>475</v>
      </c>
      <c r="E56" s="14" t="s">
        <v>476</v>
      </c>
      <c r="G56" s="16"/>
      <c r="H56" s="16"/>
      <c r="I56" s="14"/>
    </row>
    <row r="57">
      <c r="A57" s="7" t="s">
        <v>23</v>
      </c>
      <c r="B57" s="11" t="s">
        <v>393</v>
      </c>
      <c r="C57" s="11" t="s">
        <v>478</v>
      </c>
      <c r="D57" s="11" t="s">
        <v>480</v>
      </c>
      <c r="E57" s="31" t="s">
        <v>482</v>
      </c>
    </row>
    <row r="58">
      <c r="A58" s="7" t="s">
        <v>23</v>
      </c>
      <c r="B58" s="11" t="s">
        <v>484</v>
      </c>
      <c r="C58" s="11" t="s">
        <v>485</v>
      </c>
      <c r="D58" s="11" t="s">
        <v>487</v>
      </c>
      <c r="E58" s="31" t="s">
        <v>488</v>
      </c>
    </row>
    <row r="59">
      <c r="A59" s="30" t="s">
        <v>23</v>
      </c>
      <c r="B59" s="12" t="s">
        <v>489</v>
      </c>
      <c r="C59" s="14" t="s">
        <v>491</v>
      </c>
      <c r="D59" s="14" t="s">
        <v>492</v>
      </c>
      <c r="E59" s="14" t="s">
        <v>493</v>
      </c>
      <c r="G59" s="16"/>
      <c r="H59" s="16"/>
      <c r="I59" s="14"/>
    </row>
    <row r="60">
      <c r="A60" s="7" t="s">
        <v>23</v>
      </c>
      <c r="B60" s="11" t="s">
        <v>495</v>
      </c>
      <c r="C60" s="11" t="s">
        <v>496</v>
      </c>
      <c r="D60" s="11" t="s">
        <v>497</v>
      </c>
      <c r="E60" s="31" t="s">
        <v>499</v>
      </c>
    </row>
    <row r="61">
      <c r="A61" s="7" t="s">
        <v>23</v>
      </c>
      <c r="B61" s="11" t="s">
        <v>361</v>
      </c>
      <c r="C61" s="11" t="s">
        <v>363</v>
      </c>
      <c r="D61" s="11" t="s">
        <v>503</v>
      </c>
      <c r="E61" s="31" t="s">
        <v>504</v>
      </c>
    </row>
    <row r="62">
      <c r="A62" s="7" t="s">
        <v>23</v>
      </c>
      <c r="B62" s="11" t="s">
        <v>505</v>
      </c>
      <c r="C62" s="11" t="s">
        <v>506</v>
      </c>
      <c r="D62" s="11" t="s">
        <v>507</v>
      </c>
      <c r="E62" s="31" t="s">
        <v>508</v>
      </c>
    </row>
    <row r="63">
      <c r="A63" s="7" t="s">
        <v>23</v>
      </c>
      <c r="B63" s="11" t="s">
        <v>393</v>
      </c>
      <c r="C63" s="11" t="s">
        <v>396</v>
      </c>
      <c r="D63" s="11" t="s">
        <v>398</v>
      </c>
      <c r="E63" s="31" t="s">
        <v>511</v>
      </c>
    </row>
    <row r="64">
      <c r="A64" s="7" t="s">
        <v>23</v>
      </c>
      <c r="B64" s="11" t="s">
        <v>512</v>
      </c>
      <c r="C64" s="11" t="s">
        <v>514</v>
      </c>
      <c r="D64" s="11" t="s">
        <v>515</v>
      </c>
      <c r="E64" s="31" t="s">
        <v>516</v>
      </c>
    </row>
    <row r="65">
      <c r="A65" s="30" t="s">
        <v>23</v>
      </c>
      <c r="B65" s="12" t="s">
        <v>517</v>
      </c>
      <c r="C65" s="14" t="s">
        <v>518</v>
      </c>
      <c r="D65" s="14" t="s">
        <v>519</v>
      </c>
      <c r="E65" s="14" t="s">
        <v>520</v>
      </c>
      <c r="G65" s="16"/>
      <c r="H65" s="16"/>
      <c r="I65" s="14"/>
    </row>
    <row r="66">
      <c r="A66" s="7" t="s">
        <v>23</v>
      </c>
      <c r="B66" s="11" t="s">
        <v>198</v>
      </c>
      <c r="C66" s="11" t="s">
        <v>522</v>
      </c>
      <c r="D66" s="11" t="s">
        <v>524</v>
      </c>
      <c r="E66" s="31" t="s">
        <v>525</v>
      </c>
    </row>
    <row r="67">
      <c r="A67" s="7" t="s">
        <v>23</v>
      </c>
      <c r="B67" s="11" t="s">
        <v>526</v>
      </c>
      <c r="C67" s="11" t="s">
        <v>527</v>
      </c>
      <c r="D67" s="11" t="s">
        <v>528</v>
      </c>
      <c r="E67" s="31" t="s">
        <v>530</v>
      </c>
    </row>
    <row r="68">
      <c r="A68" s="7" t="s">
        <v>23</v>
      </c>
      <c r="B68" s="11" t="s">
        <v>531</v>
      </c>
      <c r="C68" s="11" t="s">
        <v>532</v>
      </c>
      <c r="D68" s="11" t="s">
        <v>533</v>
      </c>
      <c r="E68" s="31" t="s">
        <v>534</v>
      </c>
    </row>
    <row r="69">
      <c r="A69" s="7" t="s">
        <v>23</v>
      </c>
      <c r="B69" s="11" t="s">
        <v>535</v>
      </c>
      <c r="C69" s="11" t="s">
        <v>536</v>
      </c>
      <c r="D69" s="11" t="s">
        <v>538</v>
      </c>
      <c r="E69" s="31" t="s">
        <v>539</v>
      </c>
    </row>
    <row r="70">
      <c r="A70" s="7" t="s">
        <v>23</v>
      </c>
      <c r="B70" s="32" t="s">
        <v>541</v>
      </c>
      <c r="C70" s="11" t="s">
        <v>542</v>
      </c>
      <c r="D70" s="11" t="s">
        <v>543</v>
      </c>
      <c r="E70" s="31" t="s">
        <v>545</v>
      </c>
    </row>
    <row r="71">
      <c r="A71" s="7" t="s">
        <v>23</v>
      </c>
      <c r="B71" s="11" t="s">
        <v>547</v>
      </c>
      <c r="C71" s="11" t="s">
        <v>548</v>
      </c>
      <c r="D71" s="11" t="s">
        <v>549</v>
      </c>
      <c r="E71" s="31" t="s">
        <v>550</v>
      </c>
    </row>
    <row r="72">
      <c r="A72" s="7" t="s">
        <v>23</v>
      </c>
      <c r="B72" s="11" t="s">
        <v>552</v>
      </c>
      <c r="C72" s="11" t="s">
        <v>553</v>
      </c>
      <c r="D72" s="11" t="s">
        <v>555</v>
      </c>
      <c r="E72" s="31" t="s">
        <v>556</v>
      </c>
    </row>
    <row r="73">
      <c r="A73" s="7" t="s">
        <v>23</v>
      </c>
      <c r="B73" s="32" t="s">
        <v>557</v>
      </c>
      <c r="C73" s="11" t="s">
        <v>558</v>
      </c>
      <c r="D73" s="11" t="s">
        <v>559</v>
      </c>
      <c r="E73" s="31" t="s">
        <v>560</v>
      </c>
    </row>
    <row r="74">
      <c r="A74" s="7" t="s">
        <v>23</v>
      </c>
      <c r="B74" s="11" t="s">
        <v>561</v>
      </c>
      <c r="C74" s="11" t="s">
        <v>563</v>
      </c>
      <c r="D74" s="11" t="s">
        <v>564</v>
      </c>
      <c r="E74" s="31" t="s">
        <v>565</v>
      </c>
    </row>
    <row r="75">
      <c r="A75" s="7" t="s">
        <v>23</v>
      </c>
      <c r="B75" s="11" t="s">
        <v>566</v>
      </c>
      <c r="C75" s="11" t="s">
        <v>567</v>
      </c>
      <c r="D75" s="11" t="s">
        <v>568</v>
      </c>
      <c r="E75" s="31" t="s">
        <v>569</v>
      </c>
    </row>
    <row r="76">
      <c r="A76" s="30" t="s">
        <v>23</v>
      </c>
      <c r="B76" s="12" t="s">
        <v>570</v>
      </c>
      <c r="C76" s="14" t="s">
        <v>571</v>
      </c>
      <c r="D76" s="14" t="s">
        <v>572</v>
      </c>
      <c r="E76" s="14" t="s">
        <v>573</v>
      </c>
      <c r="G76" s="16"/>
      <c r="H76" s="16"/>
      <c r="I76" s="14"/>
    </row>
    <row r="77">
      <c r="A77" s="30" t="s">
        <v>23</v>
      </c>
      <c r="B77" s="12" t="s">
        <v>575</v>
      </c>
      <c r="C77" s="14" t="s">
        <v>576</v>
      </c>
      <c r="D77" s="14" t="s">
        <v>392</v>
      </c>
      <c r="E77" s="14" t="s">
        <v>577</v>
      </c>
      <c r="G77" s="16"/>
      <c r="H77" s="16"/>
      <c r="I77" s="14"/>
    </row>
    <row r="78">
      <c r="A78" s="30" t="s">
        <v>23</v>
      </c>
      <c r="B78" s="12" t="s">
        <v>579</v>
      </c>
      <c r="C78" s="14" t="s">
        <v>580</v>
      </c>
      <c r="D78" s="14" t="s">
        <v>581</v>
      </c>
      <c r="E78" s="14" t="s">
        <v>582</v>
      </c>
      <c r="G78" s="16"/>
      <c r="H78" s="16"/>
      <c r="I78" s="14"/>
    </row>
    <row r="79">
      <c r="A79" s="30" t="s">
        <v>23</v>
      </c>
      <c r="B79" s="12" t="s">
        <v>584</v>
      </c>
      <c r="C79" s="14" t="s">
        <v>585</v>
      </c>
      <c r="D79" s="14" t="s">
        <v>586</v>
      </c>
      <c r="E79" s="14" t="s">
        <v>587</v>
      </c>
      <c r="G79" s="16"/>
      <c r="H79" s="16"/>
      <c r="I79" s="14"/>
    </row>
    <row r="80">
      <c r="A80" s="7" t="s">
        <v>23</v>
      </c>
      <c r="B80" s="11" t="s">
        <v>589</v>
      </c>
      <c r="C80" s="11" t="s">
        <v>590</v>
      </c>
      <c r="D80" s="11" t="s">
        <v>591</v>
      </c>
      <c r="E80" s="31" t="s">
        <v>592</v>
      </c>
    </row>
    <row r="81">
      <c r="A81" s="7" t="s">
        <v>23</v>
      </c>
      <c r="B81" s="11" t="s">
        <v>593</v>
      </c>
      <c r="C81" s="11" t="s">
        <v>594</v>
      </c>
      <c r="D81" s="11" t="s">
        <v>596</v>
      </c>
      <c r="E81" s="31" t="s">
        <v>597</v>
      </c>
    </row>
    <row r="82">
      <c r="A82" s="7" t="s">
        <v>23</v>
      </c>
      <c r="B82" s="11" t="s">
        <v>598</v>
      </c>
      <c r="C82" s="11" t="s">
        <v>599</v>
      </c>
      <c r="D82" s="11" t="s">
        <v>600</v>
      </c>
      <c r="E82" s="31" t="s">
        <v>601</v>
      </c>
    </row>
    <row r="83">
      <c r="A83" s="7" t="s">
        <v>23</v>
      </c>
      <c r="B83" s="11" t="s">
        <v>603</v>
      </c>
      <c r="C83" s="11" t="s">
        <v>605</v>
      </c>
      <c r="D83" s="11" t="s">
        <v>606</v>
      </c>
      <c r="E83" s="31" t="s">
        <v>607</v>
      </c>
    </row>
    <row r="84">
      <c r="A84" s="7" t="s">
        <v>23</v>
      </c>
      <c r="B84" s="11" t="s">
        <v>609</v>
      </c>
      <c r="C84" s="11" t="s">
        <v>610</v>
      </c>
      <c r="D84" s="11" t="s">
        <v>611</v>
      </c>
      <c r="E84" s="31" t="s">
        <v>612</v>
      </c>
    </row>
    <row r="85">
      <c r="A85" s="30" t="s">
        <v>23</v>
      </c>
      <c r="B85" s="12" t="s">
        <v>614</v>
      </c>
      <c r="C85" s="14" t="s">
        <v>617</v>
      </c>
      <c r="D85" s="14" t="s">
        <v>618</v>
      </c>
      <c r="E85" s="14" t="s">
        <v>619</v>
      </c>
      <c r="G85" s="16"/>
      <c r="H85" s="16"/>
      <c r="I85" s="14"/>
    </row>
    <row r="86">
      <c r="A86" s="7" t="s">
        <v>23</v>
      </c>
      <c r="B86" s="11" t="s">
        <v>621</v>
      </c>
      <c r="C86" s="11" t="s">
        <v>622</v>
      </c>
      <c r="D86" s="11" t="s">
        <v>623</v>
      </c>
      <c r="E86" s="31" t="s">
        <v>625</v>
      </c>
    </row>
    <row r="87">
      <c r="A87" s="7" t="s">
        <v>23</v>
      </c>
      <c r="B87" s="11" t="s">
        <v>627</v>
      </c>
      <c r="C87" s="11" t="s">
        <v>629</v>
      </c>
      <c r="D87" s="11" t="s">
        <v>631</v>
      </c>
      <c r="E87" s="31" t="s">
        <v>632</v>
      </c>
    </row>
    <row r="88">
      <c r="A88" s="7" t="s">
        <v>23</v>
      </c>
      <c r="B88" s="11" t="s">
        <v>634</v>
      </c>
      <c r="C88" s="11" t="s">
        <v>635</v>
      </c>
      <c r="D88" s="11" t="s">
        <v>637</v>
      </c>
      <c r="E88" s="31" t="s">
        <v>638</v>
      </c>
    </row>
    <row r="89">
      <c r="A89" s="7" t="s">
        <v>23</v>
      </c>
      <c r="B89" s="11" t="s">
        <v>124</v>
      </c>
      <c r="C89" s="11" t="s">
        <v>640</v>
      </c>
      <c r="D89" s="11" t="s">
        <v>641</v>
      </c>
      <c r="E89" s="31" t="s">
        <v>128</v>
      </c>
    </row>
    <row r="90">
      <c r="A90" s="30" t="s">
        <v>23</v>
      </c>
      <c r="B90" s="12" t="s">
        <v>643</v>
      </c>
      <c r="C90" s="14" t="s">
        <v>645</v>
      </c>
      <c r="D90" s="14" t="s">
        <v>646</v>
      </c>
      <c r="E90" s="14" t="s">
        <v>647</v>
      </c>
      <c r="G90" s="16"/>
      <c r="H90" s="16"/>
      <c r="I90" s="14"/>
    </row>
    <row r="91">
      <c r="A91" s="7" t="s">
        <v>23</v>
      </c>
      <c r="B91" s="11" t="s">
        <v>649</v>
      </c>
      <c r="C91" s="11" t="s">
        <v>650</v>
      </c>
      <c r="D91" s="11" t="s">
        <v>652</v>
      </c>
      <c r="E91" s="31" t="s">
        <v>654</v>
      </c>
    </row>
    <row r="92">
      <c r="A92" s="30" t="s">
        <v>23</v>
      </c>
      <c r="B92" s="12" t="s">
        <v>655</v>
      </c>
      <c r="C92" s="14" t="s">
        <v>656</v>
      </c>
      <c r="D92" s="14" t="s">
        <v>659</v>
      </c>
      <c r="E92" s="14" t="s">
        <v>660</v>
      </c>
      <c r="G92" s="16"/>
      <c r="H92" s="16"/>
      <c r="I92" s="14"/>
    </row>
    <row r="93">
      <c r="A93" s="7" t="s">
        <v>23</v>
      </c>
      <c r="B93" s="11" t="s">
        <v>663</v>
      </c>
      <c r="C93" s="11" t="s">
        <v>665</v>
      </c>
      <c r="D93" s="11" t="s">
        <v>666</v>
      </c>
      <c r="E93" s="31" t="s">
        <v>668</v>
      </c>
    </row>
    <row r="94">
      <c r="A94" s="30" t="s">
        <v>23</v>
      </c>
      <c r="B94" s="12" t="s">
        <v>669</v>
      </c>
      <c r="C94" s="14" t="s">
        <v>671</v>
      </c>
      <c r="D94" s="14" t="s">
        <v>673</v>
      </c>
      <c r="E94" s="14" t="s">
        <v>675</v>
      </c>
      <c r="G94" s="16"/>
      <c r="H94" s="16"/>
      <c r="I94" s="14"/>
    </row>
    <row r="95">
      <c r="A95" s="30" t="s">
        <v>23</v>
      </c>
      <c r="B95" s="12" t="s">
        <v>677</v>
      </c>
      <c r="C95" s="14" t="s">
        <v>679</v>
      </c>
      <c r="D95" s="14" t="s">
        <v>681</v>
      </c>
      <c r="E95" s="14" t="s">
        <v>684</v>
      </c>
      <c r="G95" s="16"/>
      <c r="H95" s="16"/>
      <c r="I95" s="14"/>
    </row>
    <row r="96">
      <c r="A96" s="30" t="s">
        <v>23</v>
      </c>
      <c r="B96" s="12" t="s">
        <v>687</v>
      </c>
      <c r="C96" s="14" t="s">
        <v>688</v>
      </c>
      <c r="D96" s="14" t="s">
        <v>690</v>
      </c>
      <c r="E96" s="14" t="s">
        <v>691</v>
      </c>
      <c r="G96" s="16"/>
      <c r="H96" s="16"/>
      <c r="I96" s="14"/>
    </row>
    <row r="97">
      <c r="A97" s="30" t="s">
        <v>23</v>
      </c>
      <c r="B97" s="12" t="s">
        <v>695</v>
      </c>
      <c r="C97" s="14" t="s">
        <v>696</v>
      </c>
      <c r="D97" s="14" t="s">
        <v>697</v>
      </c>
      <c r="E97" s="14" t="s">
        <v>698</v>
      </c>
      <c r="G97" s="16"/>
      <c r="H97" s="16"/>
      <c r="I97" s="14"/>
    </row>
    <row r="98">
      <c r="A98" s="30" t="s">
        <v>23</v>
      </c>
      <c r="B98" s="12" t="s">
        <v>700</v>
      </c>
      <c r="C98" s="14" t="s">
        <v>701</v>
      </c>
      <c r="D98" s="14" t="s">
        <v>702</v>
      </c>
      <c r="E98" s="14" t="s">
        <v>703</v>
      </c>
      <c r="G98" s="16"/>
      <c r="H98" s="16"/>
      <c r="I98" s="14"/>
    </row>
    <row r="99">
      <c r="A99" s="30" t="s">
        <v>23</v>
      </c>
      <c r="B99" s="12" t="s">
        <v>705</v>
      </c>
      <c r="C99" s="14" t="s">
        <v>706</v>
      </c>
      <c r="D99" s="14" t="s">
        <v>707</v>
      </c>
      <c r="E99" s="14" t="s">
        <v>708</v>
      </c>
      <c r="G99" s="16"/>
      <c r="H99" s="16"/>
      <c r="I99" s="14"/>
    </row>
    <row r="100">
      <c r="A100" s="7" t="s">
        <v>23</v>
      </c>
      <c r="B100" s="11" t="s">
        <v>709</v>
      </c>
      <c r="C100" s="11" t="s">
        <v>711</v>
      </c>
      <c r="D100" s="11" t="s">
        <v>712</v>
      </c>
      <c r="E100" s="31" t="s">
        <v>713</v>
      </c>
    </row>
    <row r="101">
      <c r="A101" s="30" t="s">
        <v>23</v>
      </c>
      <c r="B101" s="12" t="s">
        <v>715</v>
      </c>
      <c r="C101" s="14" t="s">
        <v>716</v>
      </c>
      <c r="D101" s="14" t="s">
        <v>718</v>
      </c>
      <c r="E101" s="14" t="s">
        <v>719</v>
      </c>
      <c r="G101" s="16"/>
      <c r="H101" s="16"/>
      <c r="I101" s="14"/>
    </row>
    <row r="102">
      <c r="A102" s="7" t="s">
        <v>23</v>
      </c>
      <c r="B102" s="11" t="s">
        <v>722</v>
      </c>
      <c r="C102" s="11" t="s">
        <v>723</v>
      </c>
      <c r="D102" s="11" t="s">
        <v>724</v>
      </c>
      <c r="E102" s="31" t="s">
        <v>725</v>
      </c>
    </row>
    <row r="103">
      <c r="A103" s="7" t="s">
        <v>23</v>
      </c>
      <c r="B103" s="32" t="s">
        <v>726</v>
      </c>
      <c r="C103" s="11" t="s">
        <v>727</v>
      </c>
      <c r="D103" s="11" t="s">
        <v>728</v>
      </c>
      <c r="E103" s="31" t="s">
        <v>730</v>
      </c>
    </row>
    <row r="104">
      <c r="A104" s="7" t="s">
        <v>23</v>
      </c>
      <c r="B104" s="32" t="s">
        <v>733</v>
      </c>
      <c r="C104" s="11" t="s">
        <v>735</v>
      </c>
      <c r="D104" s="11" t="s">
        <v>736</v>
      </c>
      <c r="E104" s="31" t="s">
        <v>737</v>
      </c>
    </row>
    <row r="105">
      <c r="A105" s="7" t="s">
        <v>23</v>
      </c>
      <c r="B105" s="11" t="s">
        <v>739</v>
      </c>
      <c r="C105" s="11" t="s">
        <v>740</v>
      </c>
      <c r="D105" s="11" t="s">
        <v>742</v>
      </c>
      <c r="E105" s="31" t="s">
        <v>744</v>
      </c>
    </row>
    <row r="106">
      <c r="A106" s="7" t="s">
        <v>23</v>
      </c>
      <c r="B106" s="11" t="s">
        <v>748</v>
      </c>
      <c r="C106" s="11" t="s">
        <v>749</v>
      </c>
      <c r="D106" s="11" t="s">
        <v>750</v>
      </c>
      <c r="E106" s="31" t="s">
        <v>752</v>
      </c>
    </row>
    <row r="107">
      <c r="A107" s="7" t="s">
        <v>23</v>
      </c>
      <c r="B107" s="11" t="s">
        <v>754</v>
      </c>
      <c r="C107" s="11" t="s">
        <v>756</v>
      </c>
      <c r="D107" s="11" t="s">
        <v>758</v>
      </c>
      <c r="E107" s="31" t="s">
        <v>761</v>
      </c>
    </row>
    <row r="108">
      <c r="A108" s="7" t="s">
        <v>23</v>
      </c>
      <c r="B108" s="11" t="s">
        <v>764</v>
      </c>
      <c r="C108" s="11" t="s">
        <v>766</v>
      </c>
      <c r="D108" s="11" t="s">
        <v>767</v>
      </c>
      <c r="E108" s="31" t="s">
        <v>776</v>
      </c>
    </row>
    <row r="109">
      <c r="A109" s="7" t="s">
        <v>23</v>
      </c>
      <c r="B109" s="11" t="s">
        <v>780</v>
      </c>
      <c r="C109" s="11" t="s">
        <v>781</v>
      </c>
      <c r="D109" s="11" t="s">
        <v>783</v>
      </c>
      <c r="E109" s="31" t="s">
        <v>785</v>
      </c>
    </row>
    <row r="110">
      <c r="A110" s="7" t="s">
        <v>23</v>
      </c>
      <c r="B110" s="11" t="s">
        <v>786</v>
      </c>
      <c r="C110" s="11" t="s">
        <v>788</v>
      </c>
      <c r="D110" s="11" t="s">
        <v>789</v>
      </c>
      <c r="E110" s="31" t="s">
        <v>792</v>
      </c>
    </row>
    <row r="111">
      <c r="A111" s="7" t="s">
        <v>23</v>
      </c>
      <c r="B111" s="11" t="s">
        <v>210</v>
      </c>
      <c r="C111" s="11" t="s">
        <v>797</v>
      </c>
      <c r="D111" s="11" t="s">
        <v>798</v>
      </c>
      <c r="E111" s="31" t="s">
        <v>215</v>
      </c>
    </row>
    <row r="112">
      <c r="A112" s="7" t="s">
        <v>23</v>
      </c>
      <c r="B112" s="11" t="s">
        <v>802</v>
      </c>
      <c r="C112" s="11" t="s">
        <v>803</v>
      </c>
      <c r="D112" s="11" t="s">
        <v>804</v>
      </c>
      <c r="E112" s="31" t="s">
        <v>805</v>
      </c>
    </row>
    <row r="113">
      <c r="A113" s="7" t="s">
        <v>23</v>
      </c>
      <c r="B113" s="11" t="s">
        <v>806</v>
      </c>
      <c r="C113" s="11" t="s">
        <v>808</v>
      </c>
      <c r="D113" s="11" t="s">
        <v>811</v>
      </c>
      <c r="E113" s="31" t="s">
        <v>812</v>
      </c>
    </row>
    <row r="114">
      <c r="A114" s="7" t="s">
        <v>23</v>
      </c>
      <c r="B114" s="11" t="s">
        <v>815</v>
      </c>
      <c r="C114" s="11" t="s">
        <v>816</v>
      </c>
      <c r="D114" s="11" t="s">
        <v>817</v>
      </c>
      <c r="E114" s="31" t="s">
        <v>818</v>
      </c>
    </row>
    <row r="115">
      <c r="A115" s="7" t="s">
        <v>23</v>
      </c>
      <c r="B115" s="11" t="s">
        <v>821</v>
      </c>
      <c r="C115" s="11" t="s">
        <v>824</v>
      </c>
      <c r="D115" s="11" t="s">
        <v>825</v>
      </c>
      <c r="E115" s="31" t="s">
        <v>827</v>
      </c>
    </row>
    <row r="116">
      <c r="A116" s="30" t="s">
        <v>23</v>
      </c>
      <c r="B116" s="12" t="s">
        <v>829</v>
      </c>
      <c r="C116" s="14" t="s">
        <v>830</v>
      </c>
      <c r="D116" s="14" t="s">
        <v>832</v>
      </c>
      <c r="E116" s="14" t="s">
        <v>833</v>
      </c>
      <c r="G116" s="16"/>
      <c r="H116" s="16"/>
      <c r="I116" s="14"/>
    </row>
    <row r="117">
      <c r="A117" s="7" t="s">
        <v>23</v>
      </c>
      <c r="B117" s="11" t="s">
        <v>837</v>
      </c>
      <c r="C117" s="11" t="s">
        <v>839</v>
      </c>
      <c r="D117" s="11" t="s">
        <v>840</v>
      </c>
      <c r="E117" s="31" t="s">
        <v>842</v>
      </c>
    </row>
    <row r="118">
      <c r="A118" s="7" t="s">
        <v>23</v>
      </c>
      <c r="B118" s="11" t="s">
        <v>845</v>
      </c>
      <c r="C118" s="11" t="s">
        <v>846</v>
      </c>
      <c r="D118" s="11" t="s">
        <v>848</v>
      </c>
      <c r="E118" s="31" t="s">
        <v>849</v>
      </c>
    </row>
    <row r="119">
      <c r="A119" s="30" t="s">
        <v>23</v>
      </c>
      <c r="B119" s="12" t="s">
        <v>851</v>
      </c>
      <c r="C119" s="14" t="s">
        <v>852</v>
      </c>
      <c r="D119" s="14" t="s">
        <v>853</v>
      </c>
      <c r="E119" s="14" t="s">
        <v>855</v>
      </c>
      <c r="G119" s="16"/>
      <c r="H119" s="16"/>
      <c r="I119" s="14"/>
    </row>
    <row r="120">
      <c r="A120" s="7" t="s">
        <v>23</v>
      </c>
      <c r="B120" s="11" t="s">
        <v>860</v>
      </c>
      <c r="C120" s="11" t="s">
        <v>861</v>
      </c>
      <c r="D120" s="11" t="s">
        <v>862</v>
      </c>
      <c r="E120" s="31" t="s">
        <v>863</v>
      </c>
    </row>
    <row r="121">
      <c r="A121" s="7" t="s">
        <v>23</v>
      </c>
      <c r="B121" s="11" t="s">
        <v>867</v>
      </c>
      <c r="C121" s="11" t="s">
        <v>869</v>
      </c>
      <c r="D121" s="11" t="s">
        <v>871</v>
      </c>
      <c r="E121" s="31" t="s">
        <v>872</v>
      </c>
    </row>
    <row r="122">
      <c r="A122" s="7" t="s">
        <v>23</v>
      </c>
      <c r="B122" s="32" t="s">
        <v>875</v>
      </c>
      <c r="C122" s="11" t="s">
        <v>876</v>
      </c>
      <c r="D122" s="11" t="s">
        <v>879</v>
      </c>
      <c r="E122" s="31" t="s">
        <v>880</v>
      </c>
    </row>
    <row r="123">
      <c r="A123" s="7" t="s">
        <v>23</v>
      </c>
      <c r="B123" s="32" t="s">
        <v>664</v>
      </c>
      <c r="C123" s="11" t="s">
        <v>630</v>
      </c>
      <c r="D123" s="11" t="s">
        <v>636</v>
      </c>
      <c r="E123" s="31" t="s">
        <v>885</v>
      </c>
    </row>
    <row r="124">
      <c r="A124" s="30" t="s">
        <v>23</v>
      </c>
      <c r="B124" s="12" t="s">
        <v>887</v>
      </c>
      <c r="C124" s="14" t="s">
        <v>888</v>
      </c>
      <c r="D124" s="14" t="s">
        <v>889</v>
      </c>
      <c r="E124" s="14" t="s">
        <v>891</v>
      </c>
      <c r="G124" s="16"/>
      <c r="H124" s="16"/>
      <c r="I124" s="14"/>
    </row>
    <row r="125">
      <c r="A125" s="30" t="s">
        <v>23</v>
      </c>
      <c r="B125" s="12" t="s">
        <v>893</v>
      </c>
      <c r="C125" s="14" t="s">
        <v>897</v>
      </c>
      <c r="D125" s="14" t="s">
        <v>899</v>
      </c>
      <c r="E125" s="14" t="s">
        <v>900</v>
      </c>
      <c r="G125" s="16"/>
      <c r="H125" s="16"/>
      <c r="I125" s="14"/>
    </row>
    <row r="126">
      <c r="A126" s="7" t="s">
        <v>23</v>
      </c>
      <c r="B126" s="11" t="s">
        <v>902</v>
      </c>
      <c r="C126" s="11" t="s">
        <v>903</v>
      </c>
      <c r="D126" s="11" t="s">
        <v>904</v>
      </c>
      <c r="E126" s="31" t="s">
        <v>907</v>
      </c>
    </row>
    <row r="127">
      <c r="A127" s="7" t="s">
        <v>23</v>
      </c>
      <c r="C127" s="11" t="s">
        <v>911</v>
      </c>
      <c r="D127" s="11" t="s">
        <v>913</v>
      </c>
      <c r="E127" s="31" t="s">
        <v>914</v>
      </c>
    </row>
    <row r="128">
      <c r="A128" s="27" t="s">
        <v>23</v>
      </c>
      <c r="B128" s="30" t="s">
        <v>678</v>
      </c>
      <c r="C128" s="30" t="s">
        <v>680</v>
      </c>
      <c r="D128" s="30" t="s">
        <v>683</v>
      </c>
      <c r="E128" s="37" t="s">
        <v>921</v>
      </c>
      <c r="F128" s="30" t="s">
        <v>84</v>
      </c>
      <c r="G128" s="38" t="s">
        <v>925</v>
      </c>
      <c r="H128" s="38" t="s">
        <v>928</v>
      </c>
      <c r="I128" s="38" t="s">
        <v>932</v>
      </c>
    </row>
    <row r="129">
      <c r="A129" s="30" t="s">
        <v>23</v>
      </c>
      <c r="B129" s="12" t="s">
        <v>936</v>
      </c>
      <c r="C129" s="14" t="s">
        <v>938</v>
      </c>
      <c r="D129" s="14" t="s">
        <v>939</v>
      </c>
      <c r="E129" s="14" t="s">
        <v>942</v>
      </c>
      <c r="G129" s="16"/>
      <c r="H129" s="16"/>
      <c r="I129" s="14"/>
    </row>
    <row r="130">
      <c r="A130" s="30" t="s">
        <v>23</v>
      </c>
      <c r="B130" s="12" t="s">
        <v>946</v>
      </c>
      <c r="C130" s="14" t="s">
        <v>948</v>
      </c>
      <c r="D130" s="14" t="s">
        <v>954</v>
      </c>
      <c r="E130" s="14" t="s">
        <v>956</v>
      </c>
      <c r="G130" s="16"/>
      <c r="H130" s="16"/>
      <c r="I130" s="14"/>
    </row>
    <row r="131">
      <c r="A131" s="30" t="s">
        <v>23</v>
      </c>
      <c r="B131" s="12" t="s">
        <v>958</v>
      </c>
      <c r="C131" s="14" t="s">
        <v>960</v>
      </c>
      <c r="D131" s="14" t="s">
        <v>962</v>
      </c>
      <c r="E131" s="14" t="s">
        <v>964</v>
      </c>
      <c r="G131" s="16"/>
      <c r="H131" s="16"/>
      <c r="I131" s="14"/>
    </row>
    <row r="132">
      <c r="A132" s="30"/>
      <c r="B132" s="12"/>
      <c r="C132" s="14"/>
      <c r="D132" s="14"/>
      <c r="E132" s="14"/>
      <c r="G132" s="16"/>
      <c r="H132" s="16"/>
      <c r="I132" s="14"/>
    </row>
    <row r="133">
      <c r="A133" s="30"/>
      <c r="B133" s="12"/>
      <c r="C133" s="14"/>
      <c r="D133" s="14"/>
      <c r="E133" s="14"/>
      <c r="G133" s="16"/>
      <c r="H133" s="16"/>
      <c r="I133" s="14"/>
    </row>
    <row r="134">
      <c r="A134" s="30"/>
      <c r="B134" s="12"/>
      <c r="C134" s="14"/>
      <c r="D134" s="14"/>
      <c r="E134" s="14"/>
      <c r="G134" s="16"/>
      <c r="H134" s="16"/>
      <c r="I134" s="14"/>
    </row>
    <row r="135">
      <c r="A135" s="30"/>
      <c r="B135" s="12"/>
      <c r="C135" s="14"/>
      <c r="D135" s="14"/>
      <c r="E135" s="14"/>
      <c r="G135" s="16"/>
      <c r="H135" s="16"/>
      <c r="I135" s="14"/>
    </row>
    <row r="136">
      <c r="A136" s="30"/>
      <c r="B136" s="12"/>
      <c r="C136" s="14"/>
      <c r="D136" s="14"/>
      <c r="E136" s="14"/>
      <c r="G136" s="16"/>
      <c r="H136" s="16"/>
      <c r="I136" s="14"/>
    </row>
    <row r="137">
      <c r="A137" s="30"/>
      <c r="B137" s="12"/>
      <c r="C137" s="14"/>
      <c r="D137" s="14"/>
      <c r="E137" s="14"/>
      <c r="G137" s="16"/>
      <c r="H137" s="16"/>
      <c r="I137" s="14"/>
    </row>
    <row r="138">
      <c r="A138" s="30"/>
      <c r="B138" s="12"/>
      <c r="C138" s="14"/>
      <c r="D138" s="14"/>
      <c r="E138" s="14"/>
      <c r="G138" s="16"/>
      <c r="H138" s="16"/>
      <c r="I138" s="14"/>
    </row>
    <row r="139">
      <c r="A139" s="30"/>
      <c r="B139" s="12"/>
      <c r="C139" s="14"/>
      <c r="D139" s="14"/>
      <c r="E139" s="14"/>
      <c r="G139" s="16"/>
      <c r="H139" s="16"/>
      <c r="I139" s="14"/>
    </row>
    <row r="140">
      <c r="A140" s="30"/>
      <c r="B140" s="12"/>
      <c r="C140" s="14"/>
      <c r="D140" s="14"/>
      <c r="E140" s="14"/>
      <c r="G140" s="16"/>
      <c r="H140" s="16"/>
      <c r="I140" s="14"/>
    </row>
    <row r="141">
      <c r="A141" s="30"/>
      <c r="B141" s="12"/>
      <c r="C141" s="14"/>
      <c r="D141" s="14"/>
      <c r="E141" s="14"/>
      <c r="G141" s="16"/>
      <c r="H141" s="16"/>
      <c r="I141" s="14"/>
    </row>
    <row r="142">
      <c r="A142" s="30"/>
      <c r="B142" s="12"/>
      <c r="C142" s="14"/>
      <c r="D142" s="14"/>
      <c r="E142" s="14"/>
      <c r="G142" s="16"/>
      <c r="H142" s="16"/>
      <c r="I142" s="14"/>
    </row>
    <row r="143">
      <c r="A143" s="30"/>
      <c r="B143" s="12"/>
      <c r="C143" s="14"/>
      <c r="D143" s="14"/>
      <c r="E143" s="14"/>
      <c r="G143" s="16"/>
      <c r="H143" s="16"/>
      <c r="I143" s="14"/>
    </row>
    <row r="144">
      <c r="A144" s="30"/>
      <c r="B144" s="12"/>
      <c r="C144" s="14"/>
      <c r="D144" s="14"/>
      <c r="E144" s="14"/>
      <c r="G144" s="16"/>
      <c r="H144" s="16"/>
      <c r="I144" s="14"/>
    </row>
    <row r="145">
      <c r="A145" s="30"/>
      <c r="B145" s="12"/>
      <c r="C145" s="14"/>
      <c r="D145" s="14"/>
      <c r="E145" s="14"/>
      <c r="G145" s="16"/>
      <c r="H145" s="16"/>
      <c r="I145" s="14"/>
    </row>
    <row r="146">
      <c r="A146" s="30"/>
      <c r="B146" s="12"/>
      <c r="C146" s="14"/>
      <c r="D146" s="14"/>
      <c r="E146" s="14"/>
      <c r="G146" s="16"/>
      <c r="H146" s="16"/>
      <c r="I146" s="14"/>
    </row>
    <row r="147">
      <c r="A147" s="30"/>
      <c r="B147" s="12"/>
      <c r="C147" s="14"/>
      <c r="D147" s="14"/>
      <c r="E147" s="14"/>
      <c r="G147" s="16"/>
      <c r="H147" s="16"/>
      <c r="I147" s="14"/>
    </row>
    <row r="148">
      <c r="A148" s="30"/>
      <c r="B148" s="12"/>
      <c r="C148" s="14"/>
      <c r="D148" s="14"/>
      <c r="E148" s="14"/>
      <c r="G148" s="16"/>
      <c r="H148" s="16"/>
      <c r="I148" s="14"/>
    </row>
    <row r="149">
      <c r="A149" s="30"/>
      <c r="B149" s="12"/>
      <c r="C149" s="14"/>
      <c r="D149" s="14"/>
      <c r="E149" s="14"/>
      <c r="G149" s="16"/>
      <c r="H149" s="16"/>
      <c r="I149" s="14"/>
    </row>
    <row r="150">
      <c r="A150" s="30"/>
      <c r="B150" s="12"/>
      <c r="C150" s="14"/>
      <c r="D150" s="14"/>
      <c r="E150" s="14"/>
      <c r="G150" s="16"/>
      <c r="H150" s="16"/>
      <c r="I150" s="14"/>
    </row>
    <row r="151">
      <c r="A151" s="30"/>
      <c r="B151" s="12"/>
      <c r="C151" s="14"/>
      <c r="D151" s="14"/>
      <c r="E151" s="14"/>
      <c r="G151" s="16"/>
      <c r="H151" s="16"/>
      <c r="I151" s="14"/>
    </row>
    <row r="152">
      <c r="A152" s="30"/>
      <c r="B152" s="12"/>
      <c r="C152" s="14"/>
      <c r="D152" s="14"/>
      <c r="E152" s="14"/>
      <c r="G152" s="16"/>
      <c r="H152" s="16"/>
      <c r="I152" s="14"/>
    </row>
    <row r="153">
      <c r="A153" s="30"/>
      <c r="B153" s="12"/>
      <c r="C153" s="14"/>
      <c r="D153" s="14"/>
      <c r="E153" s="14"/>
      <c r="G153" s="16"/>
      <c r="H153" s="16"/>
      <c r="I153" s="14"/>
    </row>
    <row r="154">
      <c r="A154" s="30"/>
      <c r="B154" s="12"/>
      <c r="C154" s="14"/>
      <c r="D154" s="14"/>
      <c r="E154" s="14"/>
      <c r="G154" s="16"/>
      <c r="H154" s="16"/>
      <c r="I154" s="14"/>
    </row>
    <row r="155">
      <c r="A155" s="30"/>
      <c r="B155" s="12"/>
      <c r="C155" s="14"/>
      <c r="D155" s="14"/>
      <c r="E155" s="14"/>
      <c r="G155" s="16"/>
      <c r="H155" s="16"/>
      <c r="I155" s="14"/>
    </row>
    <row r="156">
      <c r="A156" s="30"/>
      <c r="B156" s="12"/>
      <c r="C156" s="14"/>
      <c r="D156" s="14"/>
      <c r="E156" s="14"/>
      <c r="G156" s="16"/>
      <c r="H156" s="16"/>
      <c r="I156" s="14"/>
    </row>
    <row r="157">
      <c r="A157" s="30"/>
      <c r="B157" s="12"/>
      <c r="C157" s="14"/>
      <c r="D157" s="14"/>
      <c r="E157" s="14"/>
      <c r="G157" s="16"/>
      <c r="H157" s="16"/>
      <c r="I157" s="14"/>
    </row>
    <row r="158">
      <c r="A158" s="30"/>
      <c r="B158" s="12"/>
      <c r="C158" s="14"/>
      <c r="D158" s="14"/>
      <c r="E158" s="14"/>
      <c r="G158" s="16"/>
      <c r="H158" s="16"/>
      <c r="I158" s="14"/>
    </row>
    <row r="159">
      <c r="A159" s="30"/>
      <c r="B159" s="12"/>
      <c r="C159" s="14"/>
      <c r="D159" s="14"/>
      <c r="E159" s="14"/>
      <c r="G159" s="16"/>
      <c r="H159" s="16"/>
      <c r="I159" s="14"/>
    </row>
    <row r="160">
      <c r="A160" s="30"/>
      <c r="B160" s="12"/>
      <c r="C160" s="14"/>
      <c r="D160" s="14"/>
      <c r="E160" s="14"/>
      <c r="G160" s="16"/>
      <c r="H160" s="16"/>
      <c r="I160" s="14"/>
    </row>
    <row r="161">
      <c r="A161" s="30"/>
      <c r="B161" s="12"/>
      <c r="C161" s="14"/>
      <c r="D161" s="14"/>
      <c r="E161" s="14"/>
      <c r="G161" s="16"/>
      <c r="H161" s="16"/>
      <c r="I161" s="14"/>
    </row>
    <row r="162">
      <c r="A162" s="30"/>
      <c r="B162" s="12"/>
      <c r="C162" s="14"/>
      <c r="D162" s="14"/>
      <c r="E162" s="14"/>
      <c r="G162" s="16"/>
      <c r="H162" s="16"/>
      <c r="I162" s="14"/>
    </row>
    <row r="163">
      <c r="A163" s="30"/>
      <c r="B163" s="12"/>
      <c r="C163" s="14"/>
      <c r="D163" s="14"/>
      <c r="E163" s="14"/>
      <c r="G163" s="16"/>
      <c r="H163" s="16"/>
      <c r="I163" s="14"/>
    </row>
    <row r="164">
      <c r="A164" s="30"/>
      <c r="B164" s="12"/>
      <c r="C164" s="14"/>
      <c r="D164" s="14"/>
      <c r="E164" s="14"/>
      <c r="G164" s="16"/>
      <c r="H164" s="16"/>
      <c r="I164" s="14"/>
    </row>
    <row r="165">
      <c r="A165" s="30"/>
      <c r="B165" s="12"/>
      <c r="C165" s="14"/>
      <c r="D165" s="14"/>
      <c r="E165" s="14"/>
      <c r="G165" s="16"/>
      <c r="H165" s="16"/>
      <c r="I165" s="14"/>
    </row>
    <row r="166">
      <c r="A166" s="30"/>
      <c r="B166" s="12"/>
      <c r="C166" s="14"/>
      <c r="D166" s="14"/>
      <c r="E166" s="14"/>
      <c r="G166" s="16"/>
      <c r="H166" s="16"/>
      <c r="I166" s="14"/>
    </row>
    <row r="167">
      <c r="A167" s="30"/>
      <c r="B167" s="12"/>
      <c r="C167" s="14"/>
      <c r="D167" s="14"/>
      <c r="E167" s="14"/>
      <c r="G167" s="16"/>
      <c r="H167" s="16"/>
      <c r="I167" s="14"/>
    </row>
    <row r="168">
      <c r="A168" s="30"/>
      <c r="B168" s="12"/>
      <c r="C168" s="14"/>
      <c r="D168" s="14"/>
      <c r="E168" s="14"/>
      <c r="G168" s="16"/>
      <c r="H168" s="16"/>
      <c r="I168" s="14"/>
    </row>
    <row r="169">
      <c r="A169" s="30"/>
      <c r="B169" s="12"/>
      <c r="C169" s="14"/>
      <c r="D169" s="14"/>
      <c r="E169" s="14"/>
      <c r="G169" s="16"/>
      <c r="H169" s="16"/>
      <c r="I169" s="14"/>
    </row>
    <row r="170">
      <c r="A170" s="30"/>
      <c r="B170" s="12"/>
      <c r="C170" s="14"/>
      <c r="D170" s="14"/>
      <c r="E170" s="14"/>
      <c r="G170" s="16"/>
      <c r="H170" s="16"/>
      <c r="I170" s="14"/>
    </row>
    <row r="171">
      <c r="A171" s="30"/>
      <c r="B171" s="12"/>
      <c r="C171" s="14"/>
      <c r="D171" s="14"/>
      <c r="E171" s="14"/>
      <c r="G171" s="16"/>
      <c r="H171" s="16"/>
      <c r="I171" s="14"/>
    </row>
    <row r="172">
      <c r="A172" s="30"/>
      <c r="B172" s="12"/>
      <c r="C172" s="14"/>
      <c r="D172" s="14"/>
      <c r="E172" s="14"/>
      <c r="G172" s="16"/>
      <c r="H172" s="16"/>
      <c r="I172" s="14"/>
    </row>
    <row r="173">
      <c r="A173" s="30"/>
      <c r="B173" s="12"/>
      <c r="C173" s="14"/>
      <c r="D173" s="14"/>
      <c r="E173" s="14"/>
      <c r="G173" s="16"/>
      <c r="H173" s="16"/>
      <c r="I173" s="14"/>
    </row>
    <row r="174">
      <c r="A174" s="30"/>
      <c r="B174" s="12"/>
      <c r="C174" s="14"/>
      <c r="D174" s="14"/>
      <c r="E174" s="14"/>
      <c r="G174" s="16"/>
      <c r="H174" s="16"/>
      <c r="I174" s="14"/>
    </row>
    <row r="175">
      <c r="A175" s="30"/>
      <c r="B175" s="12"/>
      <c r="C175" s="14"/>
      <c r="D175" s="14"/>
      <c r="E175" s="14"/>
      <c r="G175" s="16"/>
      <c r="H175" s="16"/>
      <c r="I175" s="14"/>
    </row>
    <row r="176">
      <c r="A176" s="30"/>
      <c r="B176" s="12"/>
      <c r="C176" s="14"/>
      <c r="D176" s="14"/>
      <c r="E176" s="14"/>
      <c r="G176" s="16"/>
      <c r="H176" s="16"/>
      <c r="I176" s="14"/>
    </row>
    <row r="177">
      <c r="A177" s="30"/>
      <c r="B177" s="12"/>
      <c r="C177" s="14"/>
      <c r="D177" s="14"/>
      <c r="E177" s="14"/>
      <c r="G177" s="16"/>
      <c r="H177" s="16"/>
      <c r="I177" s="14"/>
    </row>
    <row r="178">
      <c r="A178" s="30"/>
      <c r="B178" s="12"/>
      <c r="C178" s="14"/>
      <c r="D178" s="14"/>
      <c r="E178" s="14"/>
      <c r="G178" s="16"/>
      <c r="H178" s="16"/>
      <c r="I178" s="14"/>
    </row>
    <row r="179">
      <c r="A179" s="30"/>
      <c r="B179" s="12"/>
      <c r="C179" s="14"/>
      <c r="D179" s="14"/>
      <c r="E179" s="14"/>
      <c r="G179" s="16"/>
      <c r="H179" s="16"/>
      <c r="I179" s="14"/>
    </row>
    <row r="180">
      <c r="A180" s="30"/>
      <c r="B180" s="12"/>
      <c r="C180" s="14"/>
      <c r="D180" s="14"/>
      <c r="E180" s="14"/>
      <c r="G180" s="16"/>
      <c r="H180" s="16"/>
      <c r="I180" s="14"/>
    </row>
    <row r="181">
      <c r="A181" s="30"/>
      <c r="B181" s="12"/>
      <c r="C181" s="14"/>
      <c r="D181" s="14"/>
      <c r="E181" s="14"/>
      <c r="G181" s="16"/>
      <c r="H181" s="16"/>
      <c r="I181" s="14"/>
    </row>
    <row r="182">
      <c r="A182" s="30"/>
      <c r="B182" s="12"/>
      <c r="C182" s="14"/>
      <c r="D182" s="14"/>
      <c r="E182" s="14"/>
      <c r="G182" s="16"/>
      <c r="H182" s="16"/>
      <c r="I182" s="14"/>
    </row>
    <row r="183">
      <c r="A183" s="30"/>
      <c r="B183" s="12"/>
      <c r="C183" s="14"/>
      <c r="D183" s="14"/>
      <c r="E183" s="14"/>
      <c r="G183" s="16"/>
      <c r="H183" s="16"/>
      <c r="I183" s="14"/>
    </row>
    <row r="184">
      <c r="A184" s="30"/>
      <c r="B184" s="12"/>
      <c r="C184" s="14"/>
      <c r="D184" s="14"/>
      <c r="E184" s="14"/>
      <c r="G184" s="16"/>
      <c r="H184" s="16"/>
      <c r="I184" s="14"/>
    </row>
    <row r="185">
      <c r="A185" s="30"/>
      <c r="B185" s="12"/>
      <c r="C185" s="14"/>
      <c r="D185" s="14"/>
      <c r="E185" s="14"/>
      <c r="G185" s="16"/>
      <c r="H185" s="16"/>
      <c r="I185" s="14"/>
    </row>
    <row r="186">
      <c r="A186" s="30"/>
      <c r="B186" s="12"/>
      <c r="C186" s="14"/>
      <c r="D186" s="14"/>
      <c r="E186" s="14"/>
      <c r="G186" s="16"/>
      <c r="H186" s="16"/>
      <c r="I186" s="14"/>
    </row>
    <row r="187">
      <c r="A187" s="30"/>
      <c r="B187" s="12"/>
      <c r="C187" s="14"/>
      <c r="D187" s="14"/>
      <c r="E187" s="14"/>
      <c r="G187" s="16"/>
      <c r="H187" s="16"/>
      <c r="I187" s="14"/>
    </row>
    <row r="188">
      <c r="A188" s="30"/>
      <c r="B188" s="12"/>
      <c r="C188" s="14"/>
      <c r="D188" s="14"/>
      <c r="E188" s="14"/>
      <c r="G188" s="16"/>
      <c r="H188" s="16"/>
      <c r="I188" s="14"/>
    </row>
    <row r="189">
      <c r="A189" s="30"/>
      <c r="B189" s="12"/>
      <c r="C189" s="14"/>
      <c r="D189" s="14"/>
      <c r="E189" s="14"/>
      <c r="G189" s="16"/>
      <c r="H189" s="16"/>
      <c r="I189" s="14"/>
    </row>
    <row r="190">
      <c r="A190" s="30"/>
      <c r="B190" s="12"/>
      <c r="C190" s="14"/>
      <c r="D190" s="14"/>
      <c r="E190" s="14"/>
      <c r="G190" s="16"/>
      <c r="H190" s="16"/>
      <c r="I190" s="14"/>
    </row>
    <row r="191">
      <c r="A191" s="30"/>
      <c r="B191" s="12"/>
      <c r="C191" s="14"/>
      <c r="D191" s="14"/>
      <c r="E191" s="14"/>
      <c r="G191" s="16"/>
      <c r="H191" s="16"/>
      <c r="I191" s="14"/>
    </row>
    <row r="192">
      <c r="A192" s="30"/>
      <c r="B192" s="12"/>
      <c r="C192" s="14"/>
      <c r="D192" s="14"/>
      <c r="E192" s="14"/>
      <c r="G192" s="16"/>
      <c r="H192" s="16"/>
      <c r="I192" s="14"/>
    </row>
    <row r="193">
      <c r="A193" s="30"/>
      <c r="B193" s="12"/>
      <c r="C193" s="14"/>
      <c r="D193" s="14"/>
      <c r="E193" s="14"/>
      <c r="G193" s="16"/>
      <c r="H193" s="16"/>
      <c r="I193" s="14"/>
    </row>
    <row r="194">
      <c r="A194" s="30"/>
      <c r="B194" s="12"/>
      <c r="C194" s="14"/>
      <c r="D194" s="14"/>
      <c r="E194" s="14"/>
      <c r="G194" s="16"/>
      <c r="H194" s="16"/>
      <c r="I194" s="14"/>
    </row>
    <row r="195">
      <c r="A195" s="30"/>
      <c r="B195" s="12"/>
      <c r="C195" s="14"/>
      <c r="D195" s="14"/>
      <c r="E195" s="14"/>
      <c r="G195" s="16"/>
      <c r="H195" s="16"/>
      <c r="I195" s="14"/>
    </row>
    <row r="196">
      <c r="A196" s="30"/>
      <c r="B196" s="12"/>
      <c r="C196" s="14"/>
      <c r="D196" s="14"/>
      <c r="E196" s="14"/>
      <c r="G196" s="16"/>
      <c r="H196" s="16"/>
      <c r="I196" s="14"/>
    </row>
    <row r="197">
      <c r="A197" s="30"/>
      <c r="B197" s="12"/>
      <c r="C197" s="14"/>
      <c r="D197" s="14"/>
      <c r="E197" s="14"/>
      <c r="G197" s="16"/>
      <c r="H197" s="16"/>
      <c r="I197" s="14"/>
    </row>
    <row r="198">
      <c r="A198" s="30"/>
      <c r="B198" s="12"/>
      <c r="C198" s="14"/>
      <c r="D198" s="14"/>
      <c r="E198" s="14"/>
      <c r="G198" s="16"/>
      <c r="H198" s="16"/>
      <c r="I198" s="14"/>
    </row>
    <row r="199">
      <c r="A199" s="30"/>
      <c r="B199" s="12"/>
      <c r="C199" s="14"/>
      <c r="D199" s="14"/>
      <c r="E199" s="14"/>
      <c r="G199" s="16"/>
      <c r="H199" s="16"/>
      <c r="I199" s="14"/>
    </row>
    <row r="200">
      <c r="A200" s="30"/>
      <c r="B200" s="12"/>
      <c r="C200" s="14"/>
      <c r="D200" s="14"/>
      <c r="E200" s="14"/>
      <c r="G200" s="16"/>
      <c r="H200" s="16"/>
      <c r="I200" s="14"/>
    </row>
    <row r="201">
      <c r="A201" s="30"/>
      <c r="B201" s="12"/>
      <c r="C201" s="14"/>
      <c r="D201" s="14"/>
      <c r="E201" s="14"/>
      <c r="G201" s="16"/>
      <c r="H201" s="16"/>
      <c r="I201" s="14"/>
    </row>
    <row r="202">
      <c r="A202" s="30"/>
      <c r="B202" s="12"/>
      <c r="C202" s="14"/>
      <c r="D202" s="14"/>
      <c r="E202" s="14"/>
      <c r="G202" s="16"/>
      <c r="H202" s="16"/>
      <c r="I202" s="14"/>
    </row>
    <row r="203">
      <c r="A203" s="30"/>
      <c r="B203" s="12"/>
      <c r="C203" s="14"/>
      <c r="D203" s="14"/>
      <c r="E203" s="14"/>
      <c r="G203" s="16"/>
      <c r="H203" s="16"/>
      <c r="I203" s="14"/>
    </row>
    <row r="204">
      <c r="A204" s="30"/>
      <c r="B204" s="12"/>
      <c r="C204" s="14"/>
      <c r="D204" s="14"/>
      <c r="E204" s="14"/>
      <c r="G204" s="16"/>
      <c r="H204" s="16"/>
      <c r="I204" s="14"/>
    </row>
    <row r="205">
      <c r="A205" s="30"/>
      <c r="B205" s="12"/>
      <c r="C205" s="14"/>
      <c r="D205" s="14"/>
      <c r="E205" s="14"/>
      <c r="G205" s="16"/>
      <c r="H205" s="16"/>
      <c r="I205" s="14"/>
    </row>
    <row r="206">
      <c r="A206" s="30"/>
      <c r="B206" s="12"/>
      <c r="C206" s="14"/>
      <c r="D206" s="14"/>
      <c r="E206" s="14"/>
      <c r="G206" s="16"/>
      <c r="H206" s="16"/>
      <c r="I206" s="14"/>
    </row>
    <row r="207">
      <c r="A207" s="30"/>
      <c r="B207" s="12"/>
      <c r="C207" s="14"/>
      <c r="D207" s="14"/>
      <c r="E207" s="14"/>
      <c r="G207" s="16"/>
      <c r="H207" s="16"/>
      <c r="I207" s="14"/>
    </row>
    <row r="208">
      <c r="A208" s="30"/>
      <c r="B208" s="12"/>
      <c r="C208" s="14"/>
      <c r="D208" s="14"/>
      <c r="E208" s="14"/>
      <c r="G208" s="16"/>
      <c r="H208" s="16"/>
      <c r="I208" s="14"/>
    </row>
    <row r="209">
      <c r="A209" s="30"/>
      <c r="B209" s="12"/>
      <c r="C209" s="14"/>
      <c r="D209" s="14"/>
      <c r="E209" s="14"/>
      <c r="G209" s="16"/>
      <c r="H209" s="16"/>
      <c r="I209" s="14"/>
    </row>
    <row r="210">
      <c r="A210" s="30"/>
      <c r="B210" s="12"/>
      <c r="C210" s="14"/>
      <c r="D210" s="14"/>
      <c r="E210" s="14"/>
      <c r="G210" s="16"/>
      <c r="H210" s="16"/>
      <c r="I210" s="14"/>
    </row>
    <row r="211">
      <c r="A211" s="30"/>
      <c r="B211" s="12"/>
      <c r="C211" s="14"/>
      <c r="D211" s="14"/>
      <c r="E211" s="14"/>
      <c r="G211" s="16"/>
      <c r="H211" s="16"/>
      <c r="I211" s="14"/>
    </row>
    <row r="212">
      <c r="A212" s="30"/>
      <c r="B212" s="12"/>
      <c r="C212" s="14"/>
      <c r="D212" s="14"/>
      <c r="E212" s="14"/>
      <c r="G212" s="16"/>
      <c r="H212" s="16"/>
      <c r="I212" s="14"/>
    </row>
    <row r="213">
      <c r="A213" s="30"/>
      <c r="B213" s="12"/>
      <c r="C213" s="14"/>
      <c r="D213" s="14"/>
      <c r="E213" s="14"/>
      <c r="G213" s="16"/>
      <c r="H213" s="16"/>
      <c r="I213" s="14"/>
    </row>
    <row r="214">
      <c r="A214" s="30"/>
      <c r="B214" s="12"/>
      <c r="C214" s="14"/>
      <c r="D214" s="14"/>
      <c r="E214" s="14"/>
      <c r="G214" s="16"/>
      <c r="H214" s="16"/>
      <c r="I214" s="14"/>
    </row>
    <row r="215">
      <c r="A215" s="30"/>
      <c r="B215" s="12"/>
      <c r="C215" s="14"/>
      <c r="D215" s="14"/>
      <c r="E215" s="14"/>
      <c r="G215" s="16"/>
      <c r="H215" s="16"/>
      <c r="I215" s="14"/>
    </row>
    <row r="216">
      <c r="A216" s="30"/>
      <c r="B216" s="12"/>
      <c r="C216" s="14"/>
      <c r="D216" s="14"/>
      <c r="E216" s="14"/>
      <c r="G216" s="16"/>
      <c r="H216" s="16"/>
      <c r="I216" s="14"/>
    </row>
    <row r="217">
      <c r="A217" s="30"/>
      <c r="B217" s="12"/>
      <c r="C217" s="14"/>
      <c r="D217" s="14"/>
      <c r="E217" s="14"/>
      <c r="G217" s="16"/>
      <c r="H217" s="16"/>
      <c r="I217" s="14"/>
    </row>
    <row r="218">
      <c r="A218" s="30"/>
      <c r="B218" s="12"/>
      <c r="C218" s="14"/>
      <c r="D218" s="14"/>
      <c r="E218" s="14"/>
      <c r="G218" s="16"/>
      <c r="H218" s="16"/>
      <c r="I218" s="14"/>
    </row>
    <row r="219">
      <c r="A219" s="30"/>
      <c r="B219" s="12"/>
      <c r="C219" s="14"/>
      <c r="D219" s="14"/>
      <c r="E219" s="14"/>
      <c r="G219" s="16"/>
      <c r="H219" s="16"/>
      <c r="I219" s="14"/>
    </row>
    <row r="220">
      <c r="A220" s="30"/>
      <c r="B220" s="12"/>
      <c r="C220" s="14"/>
      <c r="D220" s="14"/>
      <c r="E220" s="14"/>
      <c r="G220" s="16"/>
      <c r="H220" s="16"/>
      <c r="I220" s="14"/>
    </row>
    <row r="221">
      <c r="A221" s="30"/>
      <c r="B221" s="12"/>
      <c r="C221" s="14"/>
      <c r="D221" s="14"/>
      <c r="E221" s="14"/>
      <c r="G221" s="16"/>
      <c r="H221" s="16"/>
      <c r="I221" s="14"/>
    </row>
    <row r="222">
      <c r="A222" s="30"/>
      <c r="B222" s="12"/>
      <c r="C222" s="14"/>
      <c r="D222" s="14"/>
      <c r="E222" s="14"/>
      <c r="G222" s="16"/>
      <c r="H222" s="16"/>
      <c r="I222" s="14"/>
    </row>
    <row r="223">
      <c r="A223" s="30"/>
      <c r="B223" s="12"/>
      <c r="C223" s="14"/>
      <c r="D223" s="14"/>
      <c r="E223" s="14"/>
      <c r="G223" s="16"/>
      <c r="H223" s="16"/>
      <c r="I223" s="14"/>
    </row>
    <row r="224">
      <c r="A224" s="30"/>
      <c r="B224" s="12"/>
      <c r="C224" s="14"/>
      <c r="D224" s="14"/>
      <c r="E224" s="14"/>
      <c r="G224" s="16"/>
      <c r="H224" s="16"/>
      <c r="I224" s="14"/>
    </row>
    <row r="225">
      <c r="A225" s="30"/>
      <c r="B225" s="12"/>
      <c r="C225" s="14"/>
      <c r="D225" s="14"/>
      <c r="E225" s="14"/>
      <c r="G225" s="16"/>
      <c r="H225" s="16"/>
      <c r="I225" s="14"/>
    </row>
    <row r="226">
      <c r="A226" s="30"/>
      <c r="B226" s="12"/>
      <c r="C226" s="14"/>
      <c r="D226" s="14"/>
      <c r="E226" s="14"/>
      <c r="G226" s="16"/>
      <c r="H226" s="16"/>
      <c r="I226" s="14"/>
    </row>
    <row r="227">
      <c r="A227" s="30"/>
      <c r="B227" s="12"/>
      <c r="C227" s="14"/>
      <c r="D227" s="14"/>
      <c r="E227" s="14"/>
      <c r="G227" s="16"/>
      <c r="H227" s="16"/>
      <c r="I227" s="14"/>
    </row>
    <row r="228">
      <c r="A228" s="30"/>
      <c r="B228" s="12"/>
      <c r="C228" s="14"/>
      <c r="D228" s="14"/>
      <c r="E228" s="14"/>
      <c r="G228" s="16"/>
      <c r="H228" s="16"/>
      <c r="I228" s="14"/>
    </row>
    <row r="229">
      <c r="A229" s="30"/>
      <c r="B229" s="12"/>
      <c r="C229" s="14"/>
      <c r="D229" s="14"/>
      <c r="E229" s="14"/>
      <c r="G229" s="16"/>
      <c r="H229" s="16"/>
      <c r="I229" s="14"/>
    </row>
    <row r="230">
      <c r="A230" s="30"/>
      <c r="B230" s="12"/>
      <c r="C230" s="14"/>
      <c r="D230" s="14"/>
      <c r="E230" s="14"/>
      <c r="G230" s="16"/>
      <c r="H230" s="16"/>
      <c r="I230" s="14"/>
    </row>
    <row r="231">
      <c r="A231" s="30"/>
      <c r="B231" s="12"/>
      <c r="C231" s="14"/>
      <c r="D231" s="14"/>
      <c r="E231" s="14"/>
      <c r="G231" s="16"/>
      <c r="H231" s="16"/>
      <c r="I231" s="14"/>
    </row>
    <row r="232">
      <c r="A232" s="30"/>
      <c r="B232" s="12"/>
      <c r="C232" s="14"/>
      <c r="D232" s="14"/>
      <c r="E232" s="14"/>
      <c r="G232" s="16"/>
      <c r="H232" s="16"/>
      <c r="I232" s="14"/>
    </row>
    <row r="233">
      <c r="A233" s="30"/>
      <c r="B233" s="12"/>
      <c r="C233" s="14"/>
      <c r="D233" s="14"/>
      <c r="E233" s="14"/>
      <c r="G233" s="16"/>
      <c r="H233" s="16"/>
      <c r="I233" s="14"/>
    </row>
    <row r="234">
      <c r="A234" s="30"/>
      <c r="B234" s="12"/>
      <c r="C234" s="14"/>
      <c r="D234" s="14"/>
      <c r="E234" s="14"/>
      <c r="G234" s="16"/>
      <c r="H234" s="16"/>
      <c r="I234" s="14"/>
    </row>
    <row r="235">
      <c r="A235" s="30"/>
      <c r="B235" s="12"/>
      <c r="C235" s="14"/>
      <c r="D235" s="14"/>
      <c r="E235" s="14"/>
      <c r="G235" s="16"/>
      <c r="H235" s="16"/>
      <c r="I235" s="14"/>
    </row>
    <row r="236">
      <c r="A236" s="30"/>
      <c r="B236" s="12"/>
      <c r="C236" s="14"/>
      <c r="D236" s="14"/>
      <c r="E236" s="14"/>
      <c r="G236" s="16"/>
      <c r="H236" s="16"/>
      <c r="I236" s="14"/>
    </row>
    <row r="237">
      <c r="A237" s="30"/>
      <c r="B237" s="12"/>
      <c r="C237" s="14"/>
      <c r="D237" s="14"/>
      <c r="E237" s="14"/>
      <c r="G237" s="16"/>
      <c r="H237" s="16"/>
      <c r="I237" s="14"/>
    </row>
    <row r="238">
      <c r="A238" s="30"/>
      <c r="B238" s="12"/>
      <c r="C238" s="14"/>
      <c r="D238" s="14"/>
      <c r="E238" s="14"/>
      <c r="G238" s="16"/>
      <c r="H238" s="16"/>
      <c r="I238" s="14"/>
    </row>
    <row r="239">
      <c r="A239" s="30"/>
      <c r="B239" s="12"/>
      <c r="C239" s="14"/>
      <c r="D239" s="14"/>
      <c r="E239" s="14"/>
      <c r="G239" s="16"/>
      <c r="H239" s="16"/>
      <c r="I239" s="14"/>
    </row>
    <row r="240">
      <c r="A240" s="30"/>
      <c r="B240" s="12"/>
      <c r="C240" s="14"/>
      <c r="D240" s="14"/>
      <c r="E240" s="14"/>
      <c r="G240" s="16"/>
      <c r="H240" s="16"/>
      <c r="I240" s="14"/>
    </row>
    <row r="241">
      <c r="A241" s="30"/>
      <c r="B241" s="12"/>
      <c r="C241" s="14"/>
      <c r="D241" s="14"/>
      <c r="E241" s="14"/>
      <c r="G241" s="16"/>
      <c r="H241" s="16"/>
      <c r="I241" s="14"/>
    </row>
    <row r="242">
      <c r="A242" s="30"/>
      <c r="B242" s="12"/>
      <c r="C242" s="14"/>
      <c r="D242" s="14"/>
      <c r="E242" s="14"/>
      <c r="G242" s="16"/>
      <c r="H242" s="16"/>
      <c r="I242" s="14"/>
    </row>
    <row r="243">
      <c r="A243" s="30"/>
      <c r="B243" s="12"/>
      <c r="C243" s="14"/>
      <c r="D243" s="14"/>
      <c r="E243" s="14"/>
      <c r="G243" s="16"/>
      <c r="H243" s="16"/>
      <c r="I243" s="14"/>
    </row>
    <row r="244">
      <c r="A244" s="30"/>
      <c r="B244" s="12"/>
      <c r="C244" s="14"/>
      <c r="D244" s="14"/>
      <c r="E244" s="14"/>
      <c r="G244" s="16"/>
      <c r="H244" s="16"/>
      <c r="I244" s="14"/>
    </row>
    <row r="245">
      <c r="A245" s="30"/>
      <c r="B245" s="12"/>
      <c r="C245" s="14"/>
      <c r="D245" s="14"/>
      <c r="E245" s="14"/>
      <c r="G245" s="16"/>
      <c r="H245" s="16"/>
      <c r="I245" s="14"/>
    </row>
    <row r="246">
      <c r="A246" s="30"/>
      <c r="B246" s="12"/>
      <c r="C246" s="14"/>
      <c r="D246" s="14"/>
      <c r="E246" s="14"/>
      <c r="G246" s="16"/>
      <c r="H246" s="16"/>
      <c r="I246" s="14"/>
    </row>
    <row r="247">
      <c r="A247" s="30"/>
      <c r="B247" s="12"/>
      <c r="C247" s="14"/>
      <c r="D247" s="14"/>
      <c r="E247" s="14"/>
      <c r="G247" s="16"/>
      <c r="H247" s="16"/>
      <c r="I247" s="14"/>
    </row>
    <row r="248">
      <c r="A248" s="30"/>
      <c r="B248" s="12"/>
      <c r="C248" s="14"/>
      <c r="D248" s="14"/>
      <c r="E248" s="14"/>
      <c r="G248" s="16"/>
      <c r="H248" s="16"/>
      <c r="I248" s="14"/>
    </row>
    <row r="249">
      <c r="A249" s="30"/>
      <c r="B249" s="12"/>
      <c r="C249" s="14"/>
      <c r="D249" s="14"/>
      <c r="E249" s="14"/>
      <c r="G249" s="16"/>
      <c r="H249" s="16"/>
      <c r="I249" s="14"/>
    </row>
    <row r="250">
      <c r="A250" s="30"/>
      <c r="B250" s="12"/>
      <c r="C250" s="14"/>
      <c r="D250" s="14"/>
      <c r="E250" s="14"/>
      <c r="G250" s="16"/>
      <c r="H250" s="16"/>
      <c r="I250" s="14"/>
    </row>
    <row r="251">
      <c r="A251" s="30"/>
      <c r="B251" s="12"/>
      <c r="C251" s="14"/>
      <c r="D251" s="14"/>
      <c r="E251" s="14"/>
      <c r="G251" s="16"/>
      <c r="H251" s="16"/>
      <c r="I251" s="14"/>
    </row>
    <row r="252">
      <c r="A252" s="30"/>
      <c r="B252" s="12"/>
      <c r="C252" s="14"/>
      <c r="D252" s="14"/>
      <c r="E252" s="14"/>
      <c r="G252" s="16"/>
      <c r="H252" s="16"/>
      <c r="I252" s="14"/>
    </row>
    <row r="253">
      <c r="A253" s="30"/>
      <c r="B253" s="12"/>
      <c r="C253" s="14"/>
      <c r="D253" s="14"/>
      <c r="E253" s="14"/>
      <c r="G253" s="16"/>
      <c r="H253" s="16"/>
      <c r="I253" s="14"/>
    </row>
    <row r="254">
      <c r="A254" s="30"/>
      <c r="B254" s="12"/>
      <c r="C254" s="14"/>
      <c r="D254" s="14"/>
      <c r="E254" s="14"/>
      <c r="G254" s="16"/>
      <c r="H254" s="16"/>
      <c r="I254" s="14"/>
    </row>
    <row r="255">
      <c r="A255" s="30"/>
      <c r="B255" s="12"/>
      <c r="C255" s="14"/>
      <c r="D255" s="14"/>
      <c r="E255" s="14"/>
      <c r="G255" s="16"/>
      <c r="H255" s="16"/>
      <c r="I255" s="14"/>
    </row>
    <row r="256">
      <c r="A256" s="30"/>
      <c r="B256" s="12"/>
      <c r="C256" s="14"/>
      <c r="D256" s="14"/>
      <c r="E256" s="14"/>
      <c r="G256" s="16"/>
      <c r="H256" s="16"/>
      <c r="I256" s="14"/>
    </row>
    <row r="257">
      <c r="A257" s="30"/>
      <c r="B257" s="12"/>
      <c r="C257" s="14"/>
      <c r="D257" s="14"/>
      <c r="E257" s="14"/>
      <c r="G257" s="16"/>
      <c r="H257" s="16"/>
      <c r="I257" s="14"/>
    </row>
    <row r="258">
      <c r="A258" s="30"/>
      <c r="B258" s="12"/>
      <c r="C258" s="14"/>
      <c r="D258" s="14"/>
      <c r="E258" s="14"/>
      <c r="G258" s="16"/>
      <c r="H258" s="16"/>
      <c r="I258" s="14"/>
    </row>
    <row r="259">
      <c r="A259" s="30"/>
      <c r="B259" s="12"/>
      <c r="C259" s="14"/>
      <c r="D259" s="14"/>
      <c r="E259" s="14"/>
      <c r="G259" s="16"/>
      <c r="H259" s="16"/>
      <c r="I259" s="14"/>
    </row>
    <row r="260">
      <c r="A260" s="30"/>
      <c r="B260" s="12"/>
      <c r="C260" s="14"/>
      <c r="D260" s="14"/>
      <c r="E260" s="14"/>
      <c r="G260" s="16"/>
      <c r="H260" s="16"/>
      <c r="I260" s="14"/>
    </row>
    <row r="261">
      <c r="A261" s="30"/>
      <c r="B261" s="12"/>
      <c r="C261" s="14"/>
      <c r="D261" s="14"/>
      <c r="E261" s="14"/>
      <c r="G261" s="16"/>
      <c r="H261" s="16"/>
      <c r="I261" s="14"/>
    </row>
    <row r="262">
      <c r="A262" s="30"/>
      <c r="B262" s="12"/>
      <c r="C262" s="14"/>
      <c r="D262" s="14"/>
      <c r="E262" s="14"/>
      <c r="G262" s="16"/>
      <c r="H262" s="16"/>
      <c r="I262" s="14"/>
    </row>
    <row r="263">
      <c r="A263" s="30"/>
      <c r="B263" s="12"/>
      <c r="C263" s="14"/>
      <c r="D263" s="14"/>
      <c r="E263" s="14"/>
      <c r="G263" s="16"/>
      <c r="H263" s="16"/>
      <c r="I263" s="14"/>
    </row>
    <row r="264">
      <c r="A264" s="30"/>
      <c r="B264" s="12"/>
      <c r="C264" s="14"/>
      <c r="D264" s="14"/>
      <c r="E264" s="14"/>
      <c r="G264" s="16"/>
      <c r="H264" s="16"/>
      <c r="I264" s="14"/>
    </row>
    <row r="265">
      <c r="A265" s="30"/>
      <c r="B265" s="12"/>
      <c r="C265" s="14"/>
      <c r="D265" s="14"/>
      <c r="E265" s="14"/>
      <c r="G265" s="16"/>
      <c r="H265" s="16"/>
      <c r="I265" s="14"/>
    </row>
    <row r="266">
      <c r="A266" s="30"/>
      <c r="B266" s="12"/>
      <c r="C266" s="14"/>
      <c r="D266" s="14"/>
      <c r="E266" s="14"/>
      <c r="G266" s="16"/>
      <c r="H266" s="16"/>
      <c r="I266" s="14"/>
    </row>
    <row r="267">
      <c r="A267" s="30"/>
      <c r="B267" s="12"/>
      <c r="C267" s="14"/>
      <c r="D267" s="14"/>
      <c r="E267" s="14"/>
      <c r="G267" s="16"/>
      <c r="H267" s="16"/>
      <c r="I267" s="14"/>
    </row>
    <row r="268">
      <c r="A268" s="30"/>
      <c r="B268" s="12"/>
      <c r="C268" s="14"/>
      <c r="D268" s="14"/>
      <c r="E268" s="14"/>
      <c r="G268" s="16"/>
      <c r="H268" s="16"/>
      <c r="I268" s="14"/>
    </row>
    <row r="269">
      <c r="A269" s="30"/>
      <c r="B269" s="12"/>
      <c r="C269" s="14"/>
      <c r="D269" s="14"/>
      <c r="E269" s="14"/>
      <c r="G269" s="16"/>
      <c r="H269" s="16"/>
      <c r="I269" s="14"/>
    </row>
    <row r="270">
      <c r="A270" s="30"/>
      <c r="B270" s="12"/>
      <c r="C270" s="14"/>
      <c r="D270" s="14"/>
      <c r="E270" s="14"/>
      <c r="G270" s="16"/>
      <c r="H270" s="16"/>
      <c r="I270" s="14"/>
    </row>
    <row r="271">
      <c r="A271" s="30"/>
      <c r="B271" s="12"/>
      <c r="C271" s="14"/>
      <c r="D271" s="14"/>
      <c r="E271" s="14"/>
      <c r="G271" s="16"/>
      <c r="H271" s="16"/>
      <c r="I271" s="14"/>
    </row>
    <row r="272">
      <c r="A272" s="30"/>
      <c r="B272" s="12"/>
      <c r="C272" s="14"/>
      <c r="D272" s="14"/>
      <c r="E272" s="14"/>
      <c r="G272" s="16"/>
      <c r="H272" s="16"/>
      <c r="I272" s="14"/>
    </row>
    <row r="273">
      <c r="A273" s="30"/>
      <c r="B273" s="12"/>
      <c r="C273" s="14"/>
      <c r="D273" s="14"/>
      <c r="E273" s="14"/>
      <c r="G273" s="16"/>
      <c r="H273" s="16"/>
      <c r="I273" s="14"/>
    </row>
    <row r="274">
      <c r="A274" s="30"/>
      <c r="B274" s="12"/>
      <c r="C274" s="14"/>
      <c r="D274" s="14"/>
      <c r="E274" s="14"/>
      <c r="G274" s="16"/>
      <c r="H274" s="16"/>
      <c r="I274" s="14"/>
    </row>
    <row r="275">
      <c r="A275" s="30"/>
      <c r="B275" s="12"/>
      <c r="C275" s="14"/>
      <c r="D275" s="14"/>
      <c r="E275" s="14"/>
      <c r="G275" s="16"/>
      <c r="H275" s="16"/>
      <c r="I275" s="14"/>
    </row>
    <row r="276">
      <c r="A276" s="30"/>
      <c r="B276" s="12"/>
      <c r="C276" s="14"/>
      <c r="D276" s="14"/>
      <c r="E276" s="14"/>
      <c r="G276" s="16"/>
      <c r="H276" s="16"/>
      <c r="I276" s="14"/>
    </row>
    <row r="277">
      <c r="A277" s="30"/>
      <c r="B277" s="12"/>
      <c r="C277" s="14"/>
      <c r="D277" s="14"/>
      <c r="E277" s="14"/>
      <c r="G277" s="16"/>
      <c r="H277" s="16"/>
      <c r="I277" s="14"/>
    </row>
    <row r="278">
      <c r="A278" s="30"/>
      <c r="B278" s="12"/>
      <c r="C278" s="14"/>
      <c r="D278" s="14"/>
      <c r="E278" s="14"/>
      <c r="G278" s="16"/>
      <c r="H278" s="16"/>
      <c r="I278" s="14"/>
    </row>
    <row r="279">
      <c r="A279" s="30"/>
      <c r="B279" s="12"/>
      <c r="C279" s="14"/>
      <c r="D279" s="14"/>
      <c r="E279" s="14"/>
      <c r="G279" s="16"/>
      <c r="H279" s="16"/>
      <c r="I279" s="14"/>
    </row>
    <row r="280">
      <c r="A280" s="30"/>
      <c r="B280" s="12"/>
      <c r="C280" s="14"/>
      <c r="D280" s="14"/>
      <c r="E280" s="14"/>
      <c r="G280" s="16"/>
      <c r="H280" s="16"/>
      <c r="I280" s="14"/>
    </row>
    <row r="281">
      <c r="A281" s="30"/>
      <c r="B281" s="12"/>
      <c r="C281" s="14"/>
      <c r="D281" s="14"/>
      <c r="E281" s="14"/>
      <c r="G281" s="16"/>
      <c r="H281" s="16"/>
      <c r="I281" s="14"/>
    </row>
    <row r="282">
      <c r="A282" s="30"/>
      <c r="B282" s="12"/>
      <c r="C282" s="14"/>
      <c r="D282" s="14"/>
      <c r="E282" s="14"/>
      <c r="G282" s="16"/>
      <c r="H282" s="16"/>
      <c r="I282" s="14"/>
    </row>
    <row r="283">
      <c r="A283" s="30"/>
      <c r="B283" s="12"/>
      <c r="C283" s="14"/>
      <c r="D283" s="14"/>
      <c r="E283" s="14"/>
      <c r="G283" s="16"/>
      <c r="H283" s="16"/>
      <c r="I283" s="14"/>
    </row>
    <row r="284">
      <c r="A284" s="30"/>
      <c r="B284" s="12"/>
      <c r="C284" s="14"/>
      <c r="D284" s="14"/>
      <c r="E284" s="14"/>
      <c r="G284" s="16"/>
      <c r="H284" s="16"/>
      <c r="I284" s="14"/>
    </row>
    <row r="285">
      <c r="A285" s="30"/>
      <c r="B285" s="12"/>
      <c r="C285" s="14"/>
      <c r="D285" s="14"/>
      <c r="E285" s="14"/>
      <c r="G285" s="16"/>
      <c r="H285" s="16"/>
      <c r="I285" s="14"/>
    </row>
    <row r="286">
      <c r="A286" s="30"/>
      <c r="B286" s="12"/>
      <c r="C286" s="14"/>
      <c r="D286" s="14"/>
      <c r="E286" s="14"/>
      <c r="G286" s="16"/>
      <c r="H286" s="16"/>
      <c r="I286" s="14"/>
    </row>
    <row r="287">
      <c r="A287" s="30"/>
      <c r="B287" s="12"/>
      <c r="C287" s="14"/>
      <c r="D287" s="14"/>
      <c r="E287" s="14"/>
      <c r="G287" s="16"/>
      <c r="H287" s="16"/>
      <c r="I287" s="14"/>
    </row>
    <row r="288">
      <c r="A288" s="30"/>
      <c r="B288" s="12"/>
      <c r="C288" s="14"/>
      <c r="D288" s="14"/>
      <c r="E288" s="14"/>
      <c r="G288" s="16"/>
      <c r="H288" s="16"/>
      <c r="I288" s="14"/>
    </row>
    <row r="289">
      <c r="A289" s="30"/>
      <c r="B289" s="12"/>
      <c r="C289" s="14"/>
      <c r="D289" s="14"/>
      <c r="E289" s="14"/>
      <c r="G289" s="16"/>
      <c r="H289" s="16"/>
      <c r="I289" s="14"/>
    </row>
    <row r="290">
      <c r="A290" s="30"/>
      <c r="B290" s="12"/>
      <c r="C290" s="14"/>
      <c r="D290" s="14"/>
      <c r="E290" s="14"/>
      <c r="G290" s="16"/>
      <c r="H290" s="16"/>
      <c r="I290" s="14"/>
    </row>
    <row r="291">
      <c r="A291" s="30"/>
      <c r="B291" s="12"/>
      <c r="C291" s="14"/>
      <c r="D291" s="14"/>
      <c r="E291" s="14"/>
      <c r="G291" s="16"/>
      <c r="H291" s="16"/>
      <c r="I291" s="14"/>
    </row>
    <row r="292">
      <c r="A292" s="30"/>
      <c r="B292" s="12"/>
      <c r="C292" s="14"/>
      <c r="D292" s="14"/>
      <c r="E292" s="14"/>
      <c r="G292" s="16"/>
      <c r="H292" s="16"/>
      <c r="I292" s="14"/>
    </row>
    <row r="293">
      <c r="A293" s="30"/>
      <c r="B293" s="12"/>
      <c r="C293" s="14"/>
      <c r="D293" s="14"/>
      <c r="E293" s="14"/>
      <c r="G293" s="16"/>
      <c r="H293" s="16"/>
      <c r="I293" s="14"/>
    </row>
    <row r="294">
      <c r="A294" s="30"/>
      <c r="B294" s="12"/>
      <c r="C294" s="14"/>
      <c r="D294" s="14"/>
      <c r="E294" s="14"/>
      <c r="G294" s="16"/>
      <c r="H294" s="16"/>
      <c r="I294" s="14"/>
    </row>
    <row r="295">
      <c r="A295" s="30"/>
      <c r="B295" s="12"/>
      <c r="C295" s="14"/>
      <c r="D295" s="14"/>
      <c r="E295" s="14"/>
      <c r="G295" s="16"/>
      <c r="H295" s="16"/>
      <c r="I295" s="14"/>
    </row>
    <row r="296">
      <c r="A296" s="30"/>
      <c r="B296" s="12"/>
      <c r="C296" s="14"/>
      <c r="D296" s="14"/>
      <c r="E296" s="14"/>
      <c r="G296" s="16"/>
      <c r="H296" s="16"/>
      <c r="I296" s="14"/>
    </row>
    <row r="297">
      <c r="A297" s="30"/>
      <c r="B297" s="12"/>
      <c r="C297" s="14"/>
      <c r="D297" s="14"/>
      <c r="E297" s="14"/>
      <c r="G297" s="16"/>
      <c r="H297" s="16"/>
      <c r="I297" s="14"/>
    </row>
    <row r="298">
      <c r="A298" s="30"/>
      <c r="B298" s="12"/>
      <c r="C298" s="14"/>
      <c r="D298" s="14"/>
      <c r="E298" s="14"/>
      <c r="G298" s="16"/>
      <c r="H298" s="16"/>
      <c r="I298" s="14"/>
    </row>
    <row r="299">
      <c r="A299" s="30"/>
      <c r="B299" s="12"/>
      <c r="C299" s="14"/>
      <c r="D299" s="14"/>
      <c r="E299" s="14"/>
      <c r="G299" s="16"/>
      <c r="H299" s="16"/>
      <c r="I299" s="14"/>
    </row>
    <row r="300">
      <c r="A300" s="30"/>
      <c r="B300" s="12"/>
      <c r="C300" s="14"/>
      <c r="D300" s="14"/>
      <c r="E300" s="14"/>
      <c r="G300" s="16"/>
      <c r="H300" s="16"/>
      <c r="I300" s="14"/>
    </row>
    <row r="301">
      <c r="A301" s="30"/>
      <c r="B301" s="12"/>
      <c r="C301" s="14"/>
      <c r="D301" s="14"/>
      <c r="E301" s="14"/>
      <c r="G301" s="16"/>
      <c r="H301" s="16"/>
      <c r="I301" s="14"/>
    </row>
    <row r="302">
      <c r="A302" s="30"/>
      <c r="B302" s="12"/>
      <c r="C302" s="14"/>
      <c r="D302" s="14"/>
      <c r="E302" s="14"/>
      <c r="G302" s="16"/>
      <c r="H302" s="16"/>
      <c r="I302" s="14"/>
    </row>
    <row r="303">
      <c r="A303" s="30"/>
      <c r="B303" s="12"/>
      <c r="C303" s="14"/>
      <c r="D303" s="14"/>
      <c r="E303" s="14"/>
      <c r="G303" s="16"/>
      <c r="H303" s="16"/>
      <c r="I303" s="14"/>
    </row>
    <row r="304">
      <c r="A304" s="30"/>
      <c r="B304" s="12"/>
      <c r="C304" s="14"/>
      <c r="D304" s="14"/>
      <c r="E304" s="14"/>
      <c r="G304" s="16"/>
      <c r="H304" s="16"/>
      <c r="I304" s="14"/>
    </row>
    <row r="305">
      <c r="A305" s="30"/>
      <c r="B305" s="12"/>
      <c r="C305" s="14"/>
      <c r="D305" s="14"/>
      <c r="E305" s="14"/>
      <c r="G305" s="16"/>
      <c r="H305" s="16"/>
      <c r="I305" s="14"/>
    </row>
    <row r="306">
      <c r="A306" s="30"/>
      <c r="B306" s="12"/>
      <c r="C306" s="14"/>
      <c r="D306" s="14"/>
      <c r="E306" s="14"/>
      <c r="G306" s="16"/>
      <c r="H306" s="16"/>
      <c r="I306" s="14"/>
    </row>
    <row r="307">
      <c r="A307" s="30"/>
      <c r="B307" s="12"/>
      <c r="C307" s="14"/>
      <c r="D307" s="14"/>
      <c r="E307" s="14"/>
      <c r="G307" s="16"/>
      <c r="H307" s="16"/>
      <c r="I307" s="14"/>
    </row>
    <row r="308">
      <c r="A308" s="30"/>
      <c r="B308" s="12"/>
      <c r="C308" s="14"/>
      <c r="D308" s="14"/>
      <c r="E308" s="14"/>
      <c r="G308" s="16"/>
      <c r="H308" s="16"/>
      <c r="I308" s="14"/>
    </row>
    <row r="309">
      <c r="A309" s="30"/>
      <c r="B309" s="12"/>
      <c r="C309" s="14"/>
      <c r="D309" s="14"/>
      <c r="E309" s="14"/>
      <c r="G309" s="16"/>
      <c r="H309" s="16"/>
      <c r="I309" s="14"/>
    </row>
    <row r="310">
      <c r="A310" s="30"/>
      <c r="B310" s="12"/>
      <c r="C310" s="14"/>
      <c r="D310" s="14"/>
      <c r="E310" s="14"/>
      <c r="G310" s="16"/>
      <c r="H310" s="16"/>
      <c r="I310" s="14"/>
    </row>
    <row r="311">
      <c r="A311" s="30"/>
      <c r="B311" s="12"/>
      <c r="C311" s="14"/>
      <c r="D311" s="14"/>
      <c r="E311" s="14"/>
      <c r="G311" s="16"/>
      <c r="H311" s="16"/>
      <c r="I311" s="14"/>
    </row>
    <row r="312">
      <c r="A312" s="30"/>
      <c r="B312" s="12"/>
      <c r="C312" s="14"/>
      <c r="D312" s="14"/>
      <c r="E312" s="14"/>
      <c r="G312" s="16"/>
      <c r="H312" s="16"/>
      <c r="I312" s="14"/>
    </row>
    <row r="313">
      <c r="A313" s="30"/>
      <c r="B313" s="12"/>
      <c r="C313" s="14"/>
      <c r="D313" s="14"/>
      <c r="E313" s="14"/>
      <c r="G313" s="16"/>
      <c r="H313" s="16"/>
      <c r="I313" s="14"/>
    </row>
    <row r="314">
      <c r="A314" s="30"/>
      <c r="B314" s="12"/>
      <c r="C314" s="14"/>
      <c r="D314" s="14"/>
      <c r="E314" s="14"/>
      <c r="G314" s="16"/>
      <c r="H314" s="16"/>
      <c r="I314" s="14"/>
    </row>
    <row r="315">
      <c r="A315" s="30"/>
      <c r="B315" s="12"/>
      <c r="C315" s="14"/>
      <c r="D315" s="14"/>
      <c r="E315" s="14"/>
      <c r="G315" s="16"/>
      <c r="H315" s="16"/>
      <c r="I315" s="14"/>
    </row>
    <row r="316">
      <c r="A316" s="30"/>
      <c r="B316" s="12"/>
      <c r="C316" s="14"/>
      <c r="D316" s="14"/>
      <c r="E316" s="14"/>
      <c r="G316" s="16"/>
      <c r="H316" s="16"/>
      <c r="I316" s="14"/>
    </row>
    <row r="317">
      <c r="A317" s="30"/>
      <c r="B317" s="12"/>
      <c r="C317" s="14"/>
      <c r="D317" s="14"/>
      <c r="E317" s="14"/>
      <c r="G317" s="16"/>
      <c r="H317" s="16"/>
      <c r="I317" s="14"/>
    </row>
    <row r="318">
      <c r="A318" s="30"/>
      <c r="B318" s="12"/>
      <c r="C318" s="14"/>
      <c r="D318" s="14"/>
      <c r="E318" s="14"/>
      <c r="G318" s="16"/>
      <c r="H318" s="16"/>
      <c r="I318" s="14"/>
    </row>
    <row r="319">
      <c r="A319" s="30"/>
      <c r="B319" s="12"/>
      <c r="C319" s="14"/>
      <c r="D319" s="14"/>
      <c r="E319" s="14"/>
      <c r="G319" s="16"/>
      <c r="H319" s="16"/>
      <c r="I319" s="14"/>
    </row>
    <row r="320">
      <c r="A320" s="30"/>
      <c r="B320" s="12"/>
      <c r="C320" s="14"/>
      <c r="D320" s="14"/>
      <c r="E320" s="14"/>
      <c r="G320" s="16"/>
      <c r="H320" s="16"/>
      <c r="I320" s="14"/>
    </row>
    <row r="321">
      <c r="A321" s="30"/>
      <c r="B321" s="12"/>
      <c r="C321" s="14"/>
      <c r="D321" s="14"/>
      <c r="E321" s="14"/>
      <c r="G321" s="16"/>
      <c r="H321" s="16"/>
      <c r="I321" s="14"/>
    </row>
    <row r="322">
      <c r="A322" s="30"/>
      <c r="B322" s="12"/>
      <c r="C322" s="14"/>
      <c r="D322" s="14"/>
      <c r="E322" s="14"/>
      <c r="G322" s="16"/>
      <c r="H322" s="16"/>
      <c r="I322" s="14"/>
    </row>
    <row r="323">
      <c r="A323" s="30"/>
      <c r="B323" s="12"/>
      <c r="C323" s="14"/>
      <c r="D323" s="14"/>
      <c r="E323" s="14"/>
      <c r="G323" s="16"/>
      <c r="H323" s="16"/>
      <c r="I323" s="14"/>
    </row>
    <row r="324">
      <c r="A324" s="30"/>
      <c r="B324" s="12"/>
      <c r="C324" s="14"/>
      <c r="D324" s="14"/>
      <c r="E324" s="14"/>
      <c r="G324" s="16"/>
      <c r="H324" s="16"/>
      <c r="I324" s="14"/>
    </row>
    <row r="325">
      <c r="A325" s="30"/>
      <c r="B325" s="12"/>
      <c r="C325" s="14"/>
      <c r="D325" s="14"/>
      <c r="E325" s="14"/>
      <c r="G325" s="16"/>
      <c r="H325" s="16"/>
      <c r="I325" s="14"/>
    </row>
    <row r="326">
      <c r="A326" s="30"/>
      <c r="B326" s="12"/>
      <c r="C326" s="14"/>
      <c r="D326" s="14"/>
      <c r="E326" s="14"/>
      <c r="G326" s="16"/>
      <c r="H326" s="16"/>
      <c r="I326" s="14"/>
    </row>
    <row r="327">
      <c r="A327" s="30"/>
      <c r="B327" s="12"/>
      <c r="C327" s="14"/>
      <c r="D327" s="14"/>
      <c r="E327" s="14"/>
      <c r="G327" s="16"/>
      <c r="H327" s="16"/>
      <c r="I327" s="14"/>
    </row>
    <row r="328">
      <c r="A328" s="30"/>
      <c r="B328" s="12"/>
      <c r="C328" s="14"/>
      <c r="D328" s="14"/>
      <c r="E328" s="14"/>
      <c r="G328" s="16"/>
      <c r="H328" s="16"/>
      <c r="I328" s="14"/>
    </row>
    <row r="329">
      <c r="A329" s="30"/>
      <c r="B329" s="12"/>
      <c r="C329" s="14"/>
      <c r="D329" s="14"/>
      <c r="E329" s="14"/>
      <c r="G329" s="16"/>
      <c r="H329" s="16"/>
      <c r="I329" s="14"/>
    </row>
    <row r="330">
      <c r="A330" s="30"/>
      <c r="B330" s="12"/>
      <c r="C330" s="14"/>
      <c r="D330" s="14"/>
      <c r="E330" s="14"/>
      <c r="G330" s="16"/>
      <c r="H330" s="16"/>
      <c r="I330" s="14"/>
    </row>
    <row r="331">
      <c r="A331" s="30"/>
      <c r="B331" s="12"/>
      <c r="C331" s="14"/>
      <c r="D331" s="14"/>
      <c r="E331" s="14"/>
      <c r="G331" s="16"/>
      <c r="H331" s="16"/>
      <c r="I331" s="14"/>
    </row>
    <row r="332">
      <c r="A332" s="30"/>
      <c r="B332" s="12"/>
      <c r="C332" s="14"/>
      <c r="D332" s="14"/>
      <c r="E332" s="14"/>
      <c r="G332" s="16"/>
      <c r="H332" s="16"/>
      <c r="I332" s="14"/>
    </row>
    <row r="333">
      <c r="A333" s="30"/>
      <c r="B333" s="12"/>
      <c r="C333" s="14"/>
      <c r="D333" s="14"/>
      <c r="E333" s="14"/>
      <c r="G333" s="16"/>
      <c r="H333" s="16"/>
      <c r="I333" s="14"/>
    </row>
    <row r="334">
      <c r="A334" s="30"/>
      <c r="B334" s="12"/>
      <c r="C334" s="14"/>
      <c r="D334" s="14"/>
      <c r="E334" s="14"/>
      <c r="G334" s="16"/>
      <c r="H334" s="16"/>
      <c r="I334" s="14"/>
    </row>
    <row r="335">
      <c r="A335" s="30"/>
      <c r="B335" s="12"/>
      <c r="C335" s="14"/>
      <c r="D335" s="14"/>
      <c r="E335" s="14"/>
      <c r="G335" s="16"/>
      <c r="H335" s="16"/>
      <c r="I335" s="14"/>
    </row>
    <row r="336">
      <c r="A336" s="30"/>
      <c r="B336" s="12"/>
      <c r="C336" s="14"/>
      <c r="D336" s="14"/>
      <c r="E336" s="14"/>
      <c r="G336" s="16"/>
      <c r="H336" s="16"/>
      <c r="I336" s="14"/>
    </row>
    <row r="337">
      <c r="A337" s="30"/>
      <c r="B337" s="12"/>
      <c r="C337" s="14"/>
      <c r="D337" s="14"/>
      <c r="E337" s="14"/>
      <c r="G337" s="16"/>
      <c r="H337" s="16"/>
      <c r="I337" s="14"/>
    </row>
    <row r="338">
      <c r="A338" s="30"/>
      <c r="B338" s="12"/>
      <c r="C338" s="14"/>
      <c r="D338" s="14"/>
      <c r="E338" s="14"/>
      <c r="G338" s="16"/>
      <c r="H338" s="16"/>
      <c r="I338" s="14"/>
    </row>
    <row r="339">
      <c r="A339" s="30"/>
      <c r="B339" s="12"/>
      <c r="C339" s="14"/>
      <c r="D339" s="14"/>
      <c r="E339" s="14"/>
      <c r="G339" s="16"/>
      <c r="H339" s="16"/>
      <c r="I339" s="14"/>
    </row>
    <row r="340">
      <c r="A340" s="30"/>
      <c r="B340" s="12"/>
      <c r="C340" s="14"/>
      <c r="D340" s="14"/>
      <c r="E340" s="14"/>
      <c r="G340" s="16"/>
      <c r="H340" s="16"/>
      <c r="I340" s="14"/>
    </row>
    <row r="341">
      <c r="A341" s="30"/>
      <c r="B341" s="12"/>
      <c r="C341" s="14"/>
      <c r="D341" s="14"/>
      <c r="E341" s="14"/>
      <c r="G341" s="16"/>
      <c r="H341" s="16"/>
      <c r="I341" s="14"/>
    </row>
    <row r="342">
      <c r="A342" s="30"/>
      <c r="B342" s="12"/>
      <c r="C342" s="14"/>
      <c r="D342" s="14"/>
      <c r="E342" s="14"/>
      <c r="G342" s="16"/>
      <c r="H342" s="16"/>
      <c r="I342" s="14"/>
    </row>
    <row r="343">
      <c r="A343" s="30"/>
      <c r="B343" s="12"/>
      <c r="C343" s="14"/>
      <c r="D343" s="14"/>
      <c r="E343" s="14"/>
      <c r="G343" s="16"/>
      <c r="H343" s="16"/>
      <c r="I343" s="14"/>
    </row>
    <row r="344">
      <c r="A344" s="30"/>
      <c r="B344" s="12"/>
      <c r="C344" s="14"/>
      <c r="D344" s="14"/>
      <c r="E344" s="14"/>
      <c r="G344" s="16"/>
      <c r="H344" s="16"/>
      <c r="I344" s="14"/>
    </row>
    <row r="345">
      <c r="A345" s="30"/>
      <c r="B345" s="12"/>
      <c r="C345" s="14"/>
      <c r="D345" s="14"/>
      <c r="E345" s="14"/>
      <c r="G345" s="16"/>
      <c r="H345" s="16"/>
      <c r="I345" s="14"/>
    </row>
    <row r="346">
      <c r="A346" s="30"/>
      <c r="B346" s="12"/>
      <c r="C346" s="14"/>
      <c r="D346" s="14"/>
      <c r="E346" s="14"/>
      <c r="G346" s="16"/>
      <c r="H346" s="16"/>
      <c r="I346" s="14"/>
    </row>
    <row r="347">
      <c r="A347" s="30"/>
      <c r="B347" s="12"/>
      <c r="C347" s="14"/>
      <c r="D347" s="14"/>
      <c r="E347" s="14"/>
      <c r="G347" s="16"/>
      <c r="H347" s="16"/>
      <c r="I347" s="14"/>
    </row>
    <row r="348">
      <c r="A348" s="30"/>
      <c r="B348" s="12"/>
      <c r="C348" s="14"/>
      <c r="D348" s="14"/>
      <c r="E348" s="14"/>
      <c r="G348" s="16"/>
      <c r="H348" s="16"/>
      <c r="I348" s="14"/>
    </row>
    <row r="349">
      <c r="A349" s="30"/>
      <c r="B349" s="12"/>
      <c r="C349" s="14"/>
      <c r="D349" s="14"/>
      <c r="E349" s="14"/>
      <c r="G349" s="16"/>
      <c r="H349" s="16"/>
      <c r="I349" s="14"/>
    </row>
    <row r="350">
      <c r="A350" s="30"/>
      <c r="B350" s="12"/>
      <c r="C350" s="14"/>
      <c r="D350" s="14"/>
      <c r="E350" s="14"/>
      <c r="G350" s="16"/>
      <c r="H350" s="16"/>
      <c r="I350" s="14"/>
    </row>
    <row r="351">
      <c r="A351" s="30"/>
      <c r="B351" s="12"/>
      <c r="C351" s="14"/>
      <c r="D351" s="14"/>
      <c r="E351" s="14"/>
      <c r="G351" s="16"/>
      <c r="H351" s="16"/>
      <c r="I351" s="14"/>
    </row>
    <row r="352">
      <c r="A352" s="30"/>
      <c r="B352" s="12"/>
      <c r="C352" s="14"/>
      <c r="D352" s="14"/>
      <c r="E352" s="14"/>
      <c r="G352" s="16"/>
      <c r="H352" s="16"/>
      <c r="I352" s="14"/>
    </row>
    <row r="353">
      <c r="A353" s="30"/>
      <c r="B353" s="12"/>
      <c r="C353" s="14"/>
      <c r="D353" s="14"/>
      <c r="E353" s="14"/>
      <c r="G353" s="16"/>
      <c r="H353" s="16"/>
      <c r="I353" s="14"/>
    </row>
    <row r="354">
      <c r="A354" s="30"/>
      <c r="B354" s="12"/>
      <c r="C354" s="14"/>
      <c r="D354" s="14"/>
      <c r="E354" s="14"/>
      <c r="G354" s="16"/>
      <c r="H354" s="16"/>
      <c r="I354" s="14"/>
    </row>
    <row r="355">
      <c r="A355" s="30"/>
      <c r="B355" s="12"/>
      <c r="C355" s="14"/>
      <c r="D355" s="14"/>
      <c r="E355" s="14"/>
      <c r="G355" s="16"/>
      <c r="H355" s="16"/>
      <c r="I355" s="14"/>
    </row>
    <row r="356">
      <c r="A356" s="30"/>
      <c r="B356" s="12"/>
      <c r="C356" s="14"/>
      <c r="D356" s="14"/>
      <c r="E356" s="14"/>
      <c r="G356" s="16"/>
      <c r="H356" s="16"/>
      <c r="I356" s="14"/>
    </row>
    <row r="357">
      <c r="A357" s="30"/>
      <c r="B357" s="12"/>
      <c r="C357" s="14"/>
      <c r="D357" s="14"/>
      <c r="E357" s="14"/>
      <c r="G357" s="16"/>
      <c r="H357" s="16"/>
      <c r="I357" s="14"/>
    </row>
    <row r="358">
      <c r="A358" s="30"/>
      <c r="B358" s="12"/>
      <c r="C358" s="14"/>
      <c r="D358" s="14"/>
      <c r="E358" s="14"/>
      <c r="G358" s="16"/>
      <c r="H358" s="16"/>
      <c r="I358" s="14"/>
    </row>
    <row r="359">
      <c r="A359" s="30"/>
      <c r="B359" s="12"/>
      <c r="C359" s="14"/>
      <c r="D359" s="14"/>
      <c r="E359" s="14"/>
      <c r="G359" s="16"/>
      <c r="H359" s="16"/>
      <c r="I359" s="14"/>
    </row>
    <row r="360">
      <c r="A360" s="30"/>
      <c r="B360" s="12"/>
      <c r="C360" s="14"/>
      <c r="D360" s="14"/>
      <c r="E360" s="14"/>
      <c r="G360" s="16"/>
      <c r="H360" s="16"/>
      <c r="I360" s="14"/>
    </row>
    <row r="361">
      <c r="A361" s="30"/>
      <c r="B361" s="12"/>
      <c r="C361" s="14"/>
      <c r="D361" s="14"/>
      <c r="E361" s="14"/>
      <c r="G361" s="16"/>
      <c r="H361" s="16"/>
      <c r="I361" s="14"/>
    </row>
    <row r="362">
      <c r="A362" s="30"/>
      <c r="B362" s="12"/>
      <c r="C362" s="14"/>
      <c r="D362" s="14"/>
      <c r="E362" s="14"/>
      <c r="G362" s="16"/>
      <c r="H362" s="16"/>
      <c r="I362" s="14"/>
    </row>
    <row r="363">
      <c r="A363" s="30"/>
      <c r="B363" s="12"/>
      <c r="C363" s="14"/>
      <c r="D363" s="14"/>
      <c r="E363" s="14"/>
      <c r="G363" s="16"/>
      <c r="H363" s="16"/>
      <c r="I363" s="14"/>
    </row>
    <row r="364">
      <c r="A364" s="30"/>
      <c r="B364" s="12"/>
      <c r="C364" s="14"/>
      <c r="D364" s="14"/>
      <c r="E364" s="14"/>
      <c r="G364" s="16"/>
      <c r="H364" s="16"/>
      <c r="I364" s="14"/>
    </row>
    <row r="365">
      <c r="A365" s="30"/>
      <c r="B365" s="12"/>
      <c r="C365" s="14"/>
      <c r="D365" s="14"/>
      <c r="E365" s="14"/>
      <c r="G365" s="16"/>
      <c r="H365" s="16"/>
      <c r="I365" s="14"/>
    </row>
    <row r="366">
      <c r="A366" s="30"/>
      <c r="B366" s="12"/>
      <c r="C366" s="14"/>
      <c r="D366" s="14"/>
      <c r="E366" s="14"/>
      <c r="G366" s="16"/>
      <c r="H366" s="16"/>
      <c r="I366" s="14"/>
    </row>
    <row r="367">
      <c r="A367" s="30"/>
      <c r="B367" s="12"/>
      <c r="C367" s="14"/>
      <c r="D367" s="14"/>
      <c r="E367" s="14"/>
      <c r="G367" s="16"/>
      <c r="H367" s="16"/>
      <c r="I367" s="14"/>
    </row>
    <row r="368">
      <c r="A368" s="30"/>
      <c r="B368" s="12"/>
      <c r="C368" s="14"/>
      <c r="D368" s="14"/>
      <c r="E368" s="14"/>
      <c r="G368" s="16"/>
      <c r="H368" s="16"/>
      <c r="I368" s="14"/>
    </row>
    <row r="369">
      <c r="A369" s="30"/>
      <c r="B369" s="12"/>
      <c r="C369" s="14"/>
      <c r="D369" s="14"/>
      <c r="E369" s="14"/>
      <c r="G369" s="16"/>
      <c r="H369" s="16"/>
      <c r="I369" s="14"/>
    </row>
    <row r="370">
      <c r="A370" s="30"/>
      <c r="B370" s="12"/>
      <c r="C370" s="14"/>
      <c r="D370" s="14"/>
      <c r="E370" s="14"/>
      <c r="G370" s="16"/>
      <c r="H370" s="16"/>
      <c r="I370" s="14"/>
    </row>
    <row r="371">
      <c r="A371" s="30"/>
      <c r="B371" s="12"/>
      <c r="C371" s="14"/>
      <c r="D371" s="14"/>
      <c r="E371" s="14"/>
      <c r="G371" s="16"/>
      <c r="H371" s="16"/>
      <c r="I371" s="14"/>
    </row>
    <row r="372">
      <c r="A372" s="30"/>
      <c r="B372" s="12"/>
      <c r="C372" s="14"/>
      <c r="D372" s="14"/>
      <c r="E372" s="14"/>
      <c r="G372" s="16"/>
      <c r="H372" s="16"/>
      <c r="I372" s="14"/>
    </row>
    <row r="373">
      <c r="A373" s="30"/>
      <c r="B373" s="12"/>
      <c r="C373" s="14"/>
      <c r="D373" s="14"/>
      <c r="E373" s="14"/>
      <c r="G373" s="16"/>
      <c r="H373" s="16"/>
      <c r="I373" s="14"/>
    </row>
    <row r="374">
      <c r="A374" s="30"/>
      <c r="B374" s="12"/>
      <c r="C374" s="14"/>
      <c r="D374" s="14"/>
      <c r="E374" s="14"/>
      <c r="G374" s="16"/>
      <c r="H374" s="16"/>
      <c r="I374" s="14"/>
    </row>
    <row r="375">
      <c r="A375" s="30"/>
      <c r="B375" s="12"/>
      <c r="C375" s="14"/>
      <c r="D375" s="14"/>
      <c r="E375" s="14"/>
      <c r="G375" s="16"/>
      <c r="H375" s="16"/>
      <c r="I375" s="14"/>
    </row>
    <row r="376">
      <c r="A376" s="30"/>
      <c r="B376" s="12"/>
      <c r="C376" s="14"/>
      <c r="D376" s="14"/>
      <c r="E376" s="14"/>
      <c r="G376" s="16"/>
      <c r="H376" s="16"/>
      <c r="I376" s="14"/>
    </row>
    <row r="377">
      <c r="A377" s="30"/>
      <c r="B377" s="12"/>
      <c r="C377" s="14"/>
      <c r="D377" s="14"/>
      <c r="E377" s="14"/>
      <c r="G377" s="16"/>
      <c r="H377" s="16"/>
      <c r="I377" s="14"/>
    </row>
    <row r="378">
      <c r="A378" s="30"/>
      <c r="B378" s="12"/>
      <c r="C378" s="14"/>
      <c r="D378" s="14"/>
      <c r="E378" s="14"/>
      <c r="G378" s="16"/>
      <c r="H378" s="16"/>
      <c r="I378" s="14"/>
    </row>
    <row r="379">
      <c r="A379" s="30"/>
      <c r="B379" s="12"/>
      <c r="C379" s="14"/>
      <c r="D379" s="14"/>
      <c r="E379" s="14"/>
      <c r="G379" s="16"/>
      <c r="H379" s="16"/>
      <c r="I379" s="14"/>
    </row>
    <row r="380">
      <c r="A380" s="30"/>
      <c r="B380" s="12"/>
      <c r="C380" s="14"/>
      <c r="D380" s="14"/>
      <c r="E380" s="14"/>
      <c r="G380" s="16"/>
      <c r="H380" s="16"/>
      <c r="I380" s="14"/>
    </row>
    <row r="381">
      <c r="A381" s="30"/>
      <c r="B381" s="12"/>
      <c r="C381" s="14"/>
      <c r="D381" s="14"/>
      <c r="E381" s="14"/>
      <c r="G381" s="16"/>
      <c r="H381" s="16"/>
      <c r="I381" s="14"/>
    </row>
    <row r="382">
      <c r="A382" s="30"/>
      <c r="B382" s="12"/>
      <c r="C382" s="14"/>
      <c r="D382" s="14"/>
      <c r="E382" s="14"/>
      <c r="G382" s="16"/>
      <c r="H382" s="16"/>
      <c r="I382" s="14"/>
    </row>
    <row r="383">
      <c r="A383" s="30"/>
      <c r="B383" s="12"/>
      <c r="C383" s="14"/>
      <c r="D383" s="14"/>
      <c r="E383" s="14"/>
      <c r="G383" s="16"/>
      <c r="H383" s="16"/>
      <c r="I383" s="14"/>
    </row>
    <row r="384">
      <c r="A384" s="30"/>
      <c r="B384" s="12"/>
      <c r="C384" s="14"/>
      <c r="D384" s="14"/>
      <c r="E384" s="14"/>
      <c r="G384" s="16"/>
      <c r="H384" s="16"/>
      <c r="I384" s="14"/>
    </row>
    <row r="385">
      <c r="A385" s="30"/>
      <c r="B385" s="12"/>
      <c r="C385" s="14"/>
      <c r="D385" s="14"/>
      <c r="E385" s="14"/>
      <c r="G385" s="16"/>
      <c r="H385" s="16"/>
      <c r="I385" s="14"/>
    </row>
    <row r="386">
      <c r="A386" s="30"/>
      <c r="B386" s="12"/>
      <c r="C386" s="14"/>
      <c r="D386" s="14"/>
      <c r="E386" s="14"/>
      <c r="G386" s="16"/>
      <c r="H386" s="16"/>
      <c r="I386" s="14"/>
    </row>
    <row r="387">
      <c r="A387" s="30"/>
      <c r="B387" s="12"/>
      <c r="C387" s="14"/>
      <c r="D387" s="14"/>
      <c r="E387" s="14"/>
      <c r="G387" s="16"/>
      <c r="H387" s="16"/>
      <c r="I387" s="14"/>
    </row>
    <row r="388">
      <c r="A388" s="30"/>
      <c r="B388" s="12"/>
      <c r="C388" s="14"/>
      <c r="D388" s="14"/>
      <c r="E388" s="14"/>
      <c r="G388" s="16"/>
      <c r="H388" s="16"/>
      <c r="I388" s="14"/>
    </row>
    <row r="389">
      <c r="A389" s="30"/>
      <c r="B389" s="12"/>
      <c r="C389" s="14"/>
      <c r="D389" s="14"/>
      <c r="E389" s="14"/>
      <c r="G389" s="16"/>
      <c r="H389" s="16"/>
      <c r="I389" s="14"/>
    </row>
    <row r="390">
      <c r="A390" s="30"/>
      <c r="B390" s="12"/>
      <c r="C390" s="14"/>
      <c r="D390" s="14"/>
      <c r="E390" s="14"/>
      <c r="G390" s="16"/>
      <c r="H390" s="16"/>
      <c r="I390" s="14"/>
    </row>
    <row r="391">
      <c r="A391" s="30"/>
      <c r="B391" s="12"/>
      <c r="C391" s="14"/>
      <c r="D391" s="14"/>
      <c r="E391" s="14"/>
      <c r="G391" s="16"/>
      <c r="H391" s="16"/>
      <c r="I391" s="14"/>
    </row>
    <row r="392">
      <c r="A392" s="30"/>
      <c r="B392" s="12"/>
      <c r="C392" s="14"/>
      <c r="D392" s="14"/>
      <c r="E392" s="14"/>
      <c r="G392" s="16"/>
      <c r="H392" s="16"/>
      <c r="I392" s="14"/>
    </row>
    <row r="393">
      <c r="A393" s="30"/>
      <c r="B393" s="12"/>
      <c r="C393" s="14"/>
      <c r="D393" s="14"/>
      <c r="E393" s="14"/>
      <c r="G393" s="16"/>
      <c r="H393" s="16"/>
      <c r="I393" s="14"/>
    </row>
    <row r="394">
      <c r="A394" s="30"/>
      <c r="B394" s="12"/>
      <c r="C394" s="14"/>
      <c r="D394" s="14"/>
      <c r="E394" s="14"/>
      <c r="G394" s="16"/>
      <c r="H394" s="16"/>
      <c r="I394" s="14"/>
    </row>
    <row r="395">
      <c r="A395" s="30"/>
      <c r="B395" s="12"/>
      <c r="C395" s="14"/>
      <c r="D395" s="14"/>
      <c r="E395" s="14"/>
      <c r="G395" s="16"/>
      <c r="H395" s="16"/>
      <c r="I395" s="14"/>
    </row>
    <row r="396">
      <c r="A396" s="30"/>
      <c r="B396" s="12"/>
      <c r="C396" s="14"/>
      <c r="D396" s="14"/>
      <c r="E396" s="14"/>
      <c r="G396" s="16"/>
      <c r="H396" s="16"/>
      <c r="I396" s="14"/>
    </row>
    <row r="397">
      <c r="A397" s="30"/>
      <c r="B397" s="12"/>
      <c r="C397" s="14"/>
      <c r="D397" s="14"/>
      <c r="E397" s="14"/>
      <c r="G397" s="16"/>
      <c r="H397" s="16"/>
      <c r="I397" s="14"/>
    </row>
    <row r="398">
      <c r="A398" s="30"/>
      <c r="B398" s="12"/>
      <c r="C398" s="14"/>
      <c r="D398" s="14"/>
      <c r="E398" s="14"/>
      <c r="G398" s="16"/>
      <c r="H398" s="16"/>
      <c r="I398" s="14"/>
    </row>
    <row r="399">
      <c r="A399" s="30"/>
      <c r="B399" s="12"/>
      <c r="C399" s="14"/>
      <c r="D399" s="14"/>
      <c r="E399" s="14"/>
      <c r="G399" s="16"/>
      <c r="H399" s="16"/>
      <c r="I399" s="14"/>
    </row>
    <row r="400">
      <c r="A400" s="30"/>
      <c r="B400" s="12"/>
      <c r="C400" s="14"/>
      <c r="D400" s="14"/>
      <c r="E400" s="14"/>
      <c r="G400" s="16"/>
      <c r="H400" s="16"/>
      <c r="I400" s="14"/>
    </row>
    <row r="401">
      <c r="A401" s="30"/>
      <c r="B401" s="12"/>
      <c r="C401" s="14"/>
      <c r="D401" s="14"/>
      <c r="E401" s="14"/>
      <c r="G401" s="16"/>
      <c r="H401" s="16"/>
      <c r="I401" s="14"/>
    </row>
    <row r="402">
      <c r="A402" s="30"/>
      <c r="B402" s="12"/>
      <c r="C402" s="14"/>
      <c r="D402" s="14"/>
      <c r="E402" s="14"/>
      <c r="G402" s="16"/>
      <c r="H402" s="16"/>
      <c r="I402" s="14"/>
    </row>
    <row r="403">
      <c r="A403" s="30"/>
      <c r="B403" s="12"/>
      <c r="C403" s="14"/>
      <c r="D403" s="14"/>
      <c r="E403" s="14"/>
      <c r="G403" s="16"/>
      <c r="H403" s="16"/>
      <c r="I403" s="14"/>
    </row>
    <row r="404">
      <c r="A404" s="30"/>
      <c r="B404" s="12"/>
      <c r="C404" s="14"/>
      <c r="D404" s="14"/>
      <c r="E404" s="14"/>
      <c r="G404" s="16"/>
      <c r="H404" s="16"/>
      <c r="I404" s="14"/>
    </row>
    <row r="405">
      <c r="A405" s="30"/>
      <c r="B405" s="12"/>
      <c r="C405" s="14"/>
      <c r="D405" s="14"/>
      <c r="E405" s="14"/>
      <c r="G405" s="16"/>
      <c r="H405" s="16"/>
      <c r="I405" s="14"/>
    </row>
    <row r="406">
      <c r="A406" s="30"/>
      <c r="B406" s="12"/>
      <c r="C406" s="14"/>
      <c r="D406" s="14"/>
      <c r="E406" s="14"/>
      <c r="G406" s="16"/>
      <c r="H406" s="16"/>
      <c r="I406" s="14"/>
    </row>
    <row r="407">
      <c r="A407" s="30"/>
      <c r="B407" s="12"/>
      <c r="C407" s="14"/>
      <c r="D407" s="14"/>
      <c r="E407" s="14"/>
      <c r="G407" s="16"/>
      <c r="H407" s="16"/>
      <c r="I407" s="14"/>
    </row>
    <row r="408">
      <c r="A408" s="30"/>
      <c r="B408" s="12"/>
      <c r="C408" s="14"/>
      <c r="D408" s="14"/>
      <c r="E408" s="14"/>
      <c r="G408" s="16"/>
      <c r="H408" s="16"/>
      <c r="I408" s="14"/>
    </row>
    <row r="409">
      <c r="A409" s="30"/>
      <c r="B409" s="12"/>
      <c r="C409" s="14"/>
      <c r="D409" s="14"/>
      <c r="E409" s="14"/>
      <c r="G409" s="16"/>
      <c r="H409" s="16"/>
      <c r="I409" s="14"/>
    </row>
    <row r="410">
      <c r="A410" s="30"/>
      <c r="B410" s="12"/>
      <c r="C410" s="14"/>
      <c r="D410" s="14"/>
      <c r="E410" s="14"/>
      <c r="G410" s="16"/>
      <c r="H410" s="16"/>
      <c r="I410" s="14"/>
    </row>
    <row r="411">
      <c r="A411" s="30"/>
      <c r="B411" s="12"/>
      <c r="C411" s="14"/>
      <c r="D411" s="14"/>
      <c r="E411" s="14"/>
      <c r="G411" s="16"/>
      <c r="H411" s="16"/>
      <c r="I411" s="14"/>
    </row>
    <row r="412">
      <c r="A412" s="30"/>
      <c r="B412" s="12"/>
      <c r="C412" s="14"/>
      <c r="D412" s="14"/>
      <c r="E412" s="14"/>
      <c r="G412" s="16"/>
      <c r="H412" s="16"/>
      <c r="I412" s="14"/>
    </row>
    <row r="413">
      <c r="A413" s="30"/>
      <c r="B413" s="12"/>
      <c r="C413" s="14"/>
      <c r="D413" s="14"/>
      <c r="E413" s="14"/>
      <c r="G413" s="16"/>
      <c r="H413" s="16"/>
      <c r="I413" s="14"/>
    </row>
    <row r="414">
      <c r="A414" s="30"/>
      <c r="B414" s="12"/>
      <c r="C414" s="14"/>
      <c r="D414" s="14"/>
      <c r="E414" s="14"/>
      <c r="G414" s="16"/>
      <c r="H414" s="16"/>
      <c r="I414" s="14"/>
    </row>
    <row r="415">
      <c r="A415" s="30"/>
      <c r="B415" s="12"/>
      <c r="C415" s="14"/>
      <c r="D415" s="14"/>
      <c r="E415" s="14"/>
      <c r="G415" s="16"/>
      <c r="H415" s="16"/>
      <c r="I415" s="14"/>
    </row>
    <row r="416">
      <c r="A416" s="30"/>
      <c r="B416" s="12"/>
      <c r="C416" s="14"/>
      <c r="D416" s="14"/>
      <c r="E416" s="14"/>
      <c r="G416" s="16"/>
      <c r="H416" s="16"/>
      <c r="I416" s="14"/>
    </row>
    <row r="417">
      <c r="A417" s="30"/>
      <c r="B417" s="12"/>
      <c r="C417" s="14"/>
      <c r="D417" s="14"/>
      <c r="E417" s="14"/>
      <c r="G417" s="16"/>
      <c r="H417" s="16"/>
      <c r="I417" s="14"/>
    </row>
    <row r="418">
      <c r="A418" s="30"/>
      <c r="B418" s="12"/>
      <c r="C418" s="14"/>
      <c r="D418" s="14"/>
      <c r="E418" s="14"/>
      <c r="G418" s="16"/>
      <c r="H418" s="16"/>
      <c r="I418" s="14"/>
    </row>
    <row r="419">
      <c r="A419" s="30"/>
      <c r="B419" s="12"/>
      <c r="C419" s="14"/>
      <c r="D419" s="14"/>
      <c r="E419" s="14"/>
      <c r="G419" s="16"/>
      <c r="H419" s="16"/>
      <c r="I419" s="14"/>
    </row>
    <row r="420">
      <c r="A420" s="30"/>
      <c r="B420" s="12"/>
      <c r="C420" s="14"/>
      <c r="D420" s="14"/>
      <c r="E420" s="14"/>
      <c r="G420" s="16"/>
      <c r="H420" s="16"/>
      <c r="I420" s="14"/>
    </row>
    <row r="421">
      <c r="A421" s="30"/>
      <c r="B421" s="12"/>
      <c r="C421" s="14"/>
      <c r="D421" s="14"/>
      <c r="E421" s="14"/>
      <c r="G421" s="16"/>
      <c r="H421" s="16"/>
      <c r="I421" s="14"/>
    </row>
    <row r="422">
      <c r="A422" s="30"/>
      <c r="B422" s="12"/>
      <c r="C422" s="14"/>
      <c r="D422" s="14"/>
      <c r="E422" s="14"/>
      <c r="G422" s="16"/>
      <c r="H422" s="16"/>
      <c r="I422" s="14"/>
    </row>
    <row r="423">
      <c r="A423" s="30"/>
      <c r="B423" s="12"/>
      <c r="C423" s="14"/>
      <c r="D423" s="14"/>
      <c r="E423" s="14"/>
      <c r="G423" s="16"/>
      <c r="H423" s="16"/>
      <c r="I423" s="14"/>
    </row>
    <row r="424">
      <c r="A424" s="30"/>
      <c r="B424" s="12"/>
      <c r="C424" s="14"/>
      <c r="D424" s="14"/>
      <c r="E424" s="14"/>
      <c r="G424" s="16"/>
      <c r="H424" s="16"/>
      <c r="I424" s="14"/>
    </row>
    <row r="425">
      <c r="A425" s="30"/>
      <c r="B425" s="12"/>
      <c r="C425" s="14"/>
      <c r="D425" s="14"/>
      <c r="E425" s="14"/>
      <c r="G425" s="16"/>
      <c r="H425" s="16"/>
      <c r="I425" s="14"/>
    </row>
    <row r="426">
      <c r="A426" s="30"/>
      <c r="B426" s="12"/>
      <c r="C426" s="14"/>
      <c r="D426" s="14"/>
      <c r="E426" s="14"/>
      <c r="G426" s="16"/>
      <c r="H426" s="16"/>
      <c r="I426" s="14"/>
    </row>
    <row r="427">
      <c r="A427" s="30"/>
      <c r="B427" s="12"/>
      <c r="C427" s="14"/>
      <c r="D427" s="14"/>
      <c r="E427" s="14"/>
      <c r="G427" s="16"/>
      <c r="H427" s="16"/>
      <c r="I427" s="14"/>
    </row>
    <row r="428">
      <c r="A428" s="30"/>
      <c r="B428" s="12"/>
      <c r="C428" s="14"/>
      <c r="D428" s="14"/>
      <c r="E428" s="14"/>
      <c r="G428" s="16"/>
      <c r="H428" s="16"/>
      <c r="I428" s="14"/>
    </row>
    <row r="429">
      <c r="A429" s="30"/>
      <c r="B429" s="12"/>
      <c r="C429" s="14"/>
      <c r="D429" s="14"/>
      <c r="E429" s="14"/>
      <c r="G429" s="16"/>
      <c r="H429" s="16"/>
      <c r="I429" s="14"/>
    </row>
    <row r="430">
      <c r="A430" s="30"/>
      <c r="B430" s="12"/>
      <c r="C430" s="14"/>
      <c r="D430" s="14"/>
      <c r="E430" s="14"/>
      <c r="G430" s="16"/>
      <c r="H430" s="16"/>
      <c r="I430" s="14"/>
    </row>
    <row r="431">
      <c r="A431" s="30"/>
      <c r="B431" s="12"/>
      <c r="C431" s="14"/>
      <c r="D431" s="14"/>
      <c r="E431" s="14"/>
      <c r="G431" s="16"/>
      <c r="H431" s="16"/>
      <c r="I431" s="14"/>
    </row>
    <row r="432">
      <c r="A432" s="30"/>
      <c r="B432" s="12"/>
      <c r="C432" s="14"/>
      <c r="D432" s="14"/>
      <c r="E432" s="14"/>
      <c r="G432" s="16"/>
      <c r="H432" s="16"/>
      <c r="I432" s="14"/>
    </row>
    <row r="433">
      <c r="A433" s="30"/>
      <c r="B433" s="12"/>
      <c r="C433" s="14"/>
      <c r="D433" s="14"/>
      <c r="E433" s="14"/>
      <c r="G433" s="16"/>
      <c r="H433" s="16"/>
      <c r="I433" s="14"/>
    </row>
    <row r="434">
      <c r="A434" s="30"/>
      <c r="B434" s="12"/>
      <c r="C434" s="14"/>
      <c r="D434" s="14"/>
      <c r="E434" s="14"/>
      <c r="G434" s="16"/>
      <c r="H434" s="16"/>
      <c r="I434" s="14"/>
    </row>
    <row r="435">
      <c r="A435" s="30"/>
      <c r="B435" s="12"/>
      <c r="C435" s="14"/>
      <c r="D435" s="14"/>
      <c r="E435" s="14"/>
      <c r="G435" s="16"/>
      <c r="H435" s="16"/>
      <c r="I435" s="14"/>
    </row>
    <row r="436">
      <c r="A436" s="30"/>
      <c r="B436" s="12"/>
      <c r="C436" s="14"/>
      <c r="D436" s="14"/>
      <c r="E436" s="14"/>
      <c r="G436" s="16"/>
      <c r="H436" s="16"/>
      <c r="I436" s="14"/>
    </row>
    <row r="437">
      <c r="A437" s="30"/>
      <c r="B437" s="12"/>
      <c r="C437" s="14"/>
      <c r="D437" s="14"/>
      <c r="E437" s="14"/>
      <c r="G437" s="16"/>
      <c r="H437" s="16"/>
      <c r="I437" s="14"/>
    </row>
    <row r="438">
      <c r="A438" s="30"/>
      <c r="B438" s="12"/>
      <c r="C438" s="14"/>
      <c r="D438" s="14"/>
      <c r="E438" s="14"/>
      <c r="G438" s="16"/>
      <c r="H438" s="16"/>
      <c r="I438" s="14"/>
    </row>
    <row r="439">
      <c r="A439" s="30"/>
      <c r="B439" s="12"/>
      <c r="C439" s="14"/>
      <c r="D439" s="14"/>
      <c r="E439" s="14"/>
      <c r="G439" s="16"/>
      <c r="H439" s="16"/>
      <c r="I439" s="14"/>
    </row>
    <row r="440">
      <c r="A440" s="30"/>
      <c r="B440" s="12"/>
      <c r="C440" s="14"/>
      <c r="D440" s="14"/>
      <c r="E440" s="14"/>
      <c r="G440" s="16"/>
      <c r="H440" s="16"/>
      <c r="I440" s="14"/>
    </row>
    <row r="441">
      <c r="A441" s="30"/>
      <c r="B441" s="12"/>
      <c r="C441" s="14"/>
      <c r="D441" s="14"/>
      <c r="E441" s="14"/>
      <c r="G441" s="16"/>
      <c r="H441" s="16"/>
      <c r="I441" s="14"/>
    </row>
    <row r="442">
      <c r="A442" s="30"/>
      <c r="B442" s="12"/>
      <c r="C442" s="14"/>
      <c r="D442" s="14"/>
      <c r="E442" s="14"/>
      <c r="G442" s="16"/>
      <c r="H442" s="16"/>
      <c r="I442" s="14"/>
    </row>
    <row r="443">
      <c r="A443" s="30"/>
      <c r="B443" s="12"/>
      <c r="C443" s="14"/>
      <c r="D443" s="14"/>
      <c r="E443" s="14"/>
      <c r="G443" s="16"/>
      <c r="H443" s="16"/>
      <c r="I443" s="14"/>
    </row>
    <row r="444">
      <c r="A444" s="30"/>
      <c r="B444" s="12"/>
      <c r="C444" s="14"/>
      <c r="D444" s="14"/>
      <c r="E444" s="14"/>
      <c r="G444" s="16"/>
      <c r="H444" s="16"/>
      <c r="I444" s="14"/>
    </row>
    <row r="445">
      <c r="A445" s="30"/>
      <c r="B445" s="12"/>
      <c r="C445" s="14"/>
      <c r="D445" s="14"/>
      <c r="E445" s="14"/>
      <c r="G445" s="16"/>
      <c r="H445" s="16"/>
      <c r="I445" s="14"/>
    </row>
    <row r="446">
      <c r="A446" s="30"/>
      <c r="B446" s="12"/>
      <c r="C446" s="14"/>
      <c r="D446" s="14"/>
      <c r="E446" s="14"/>
      <c r="G446" s="16"/>
      <c r="H446" s="16"/>
      <c r="I446" s="14"/>
    </row>
    <row r="447">
      <c r="A447" s="30"/>
      <c r="B447" s="12"/>
      <c r="C447" s="14"/>
      <c r="D447" s="14"/>
      <c r="E447" s="14"/>
      <c r="G447" s="16"/>
      <c r="H447" s="16"/>
      <c r="I447" s="14"/>
    </row>
    <row r="448">
      <c r="A448" s="30"/>
      <c r="B448" s="12"/>
      <c r="C448" s="14"/>
      <c r="D448" s="14"/>
      <c r="E448" s="14"/>
      <c r="G448" s="16"/>
      <c r="H448" s="16"/>
      <c r="I448" s="14"/>
    </row>
    <row r="449">
      <c r="A449" s="30"/>
      <c r="B449" s="12"/>
      <c r="C449" s="14"/>
      <c r="D449" s="14"/>
      <c r="E449" s="14"/>
      <c r="G449" s="16"/>
      <c r="H449" s="16"/>
      <c r="I449" s="14"/>
    </row>
    <row r="450">
      <c r="A450" s="30"/>
      <c r="B450" s="12"/>
      <c r="C450" s="14"/>
      <c r="D450" s="14"/>
      <c r="E450" s="14"/>
      <c r="G450" s="16"/>
      <c r="H450" s="16"/>
      <c r="I450" s="14"/>
    </row>
    <row r="451">
      <c r="A451" s="30"/>
      <c r="B451" s="12"/>
      <c r="C451" s="14"/>
      <c r="D451" s="14"/>
      <c r="E451" s="14"/>
      <c r="G451" s="16"/>
      <c r="H451" s="16"/>
      <c r="I451" s="14"/>
    </row>
    <row r="452">
      <c r="A452" s="30"/>
      <c r="B452" s="12"/>
      <c r="C452" s="14"/>
      <c r="D452" s="14"/>
      <c r="E452" s="14"/>
      <c r="G452" s="16"/>
      <c r="H452" s="16"/>
      <c r="I452" s="14"/>
    </row>
    <row r="453">
      <c r="A453" s="30"/>
      <c r="B453" s="12"/>
      <c r="C453" s="14"/>
      <c r="D453" s="14"/>
      <c r="E453" s="14"/>
      <c r="G453" s="16"/>
      <c r="H453" s="16"/>
      <c r="I453" s="14"/>
    </row>
    <row r="454">
      <c r="A454" s="30"/>
      <c r="B454" s="12"/>
      <c r="C454" s="14"/>
      <c r="D454" s="14"/>
      <c r="E454" s="14"/>
      <c r="G454" s="16"/>
      <c r="H454" s="16"/>
      <c r="I454" s="14"/>
    </row>
    <row r="455">
      <c r="A455" s="30"/>
      <c r="B455" s="12"/>
      <c r="C455" s="14"/>
      <c r="D455" s="14"/>
      <c r="E455" s="14"/>
      <c r="G455" s="16"/>
      <c r="H455" s="16"/>
      <c r="I455" s="14"/>
    </row>
    <row r="456">
      <c r="A456" s="30"/>
      <c r="B456" s="12"/>
      <c r="C456" s="14"/>
      <c r="D456" s="14"/>
      <c r="E456" s="14"/>
      <c r="G456" s="16"/>
      <c r="H456" s="16"/>
      <c r="I456" s="14"/>
    </row>
    <row r="457">
      <c r="A457" s="30"/>
      <c r="B457" s="12"/>
      <c r="C457" s="14"/>
      <c r="D457" s="14"/>
      <c r="E457" s="14"/>
      <c r="G457" s="16"/>
      <c r="H457" s="16"/>
      <c r="I457" s="14"/>
    </row>
    <row r="458">
      <c r="A458" s="30"/>
      <c r="B458" s="12"/>
      <c r="C458" s="14"/>
      <c r="D458" s="14"/>
      <c r="E458" s="14"/>
      <c r="G458" s="16"/>
      <c r="H458" s="16"/>
      <c r="I458" s="14"/>
    </row>
    <row r="459">
      <c r="A459" s="30"/>
      <c r="B459" s="12"/>
      <c r="C459" s="14"/>
      <c r="D459" s="14"/>
      <c r="E459" s="14"/>
      <c r="G459" s="16"/>
      <c r="H459" s="16"/>
      <c r="I459" s="14"/>
    </row>
    <row r="460">
      <c r="A460" s="30"/>
      <c r="B460" s="12"/>
      <c r="C460" s="14"/>
      <c r="D460" s="14"/>
      <c r="E460" s="14"/>
      <c r="G460" s="16"/>
      <c r="H460" s="16"/>
      <c r="I460" s="14"/>
    </row>
    <row r="461">
      <c r="A461" s="30"/>
      <c r="B461" s="12"/>
      <c r="C461" s="14"/>
      <c r="D461" s="14"/>
      <c r="E461" s="14"/>
      <c r="G461" s="16"/>
      <c r="H461" s="16"/>
      <c r="I461" s="14"/>
    </row>
    <row r="462">
      <c r="A462" s="30"/>
      <c r="B462" s="12"/>
      <c r="C462" s="14"/>
      <c r="D462" s="14"/>
      <c r="E462" s="14"/>
      <c r="G462" s="16"/>
      <c r="H462" s="16"/>
      <c r="I462" s="14"/>
    </row>
    <row r="463">
      <c r="A463" s="30"/>
      <c r="B463" s="12"/>
      <c r="C463" s="14"/>
      <c r="D463" s="14"/>
      <c r="E463" s="14"/>
      <c r="G463" s="16"/>
      <c r="H463" s="16"/>
      <c r="I463" s="14"/>
    </row>
    <row r="464">
      <c r="A464" s="30"/>
      <c r="B464" s="12"/>
      <c r="C464" s="14"/>
      <c r="D464" s="14"/>
      <c r="E464" s="14"/>
      <c r="G464" s="16"/>
      <c r="H464" s="16"/>
      <c r="I464" s="14"/>
    </row>
    <row r="465">
      <c r="A465" s="30"/>
      <c r="B465" s="12"/>
      <c r="C465" s="14"/>
      <c r="D465" s="14"/>
      <c r="E465" s="14"/>
      <c r="G465" s="16"/>
      <c r="H465" s="16"/>
      <c r="I465" s="14"/>
    </row>
    <row r="466">
      <c r="A466" s="30"/>
      <c r="B466" s="12"/>
      <c r="C466" s="14"/>
      <c r="D466" s="14"/>
      <c r="E466" s="14"/>
      <c r="G466" s="16"/>
      <c r="H466" s="16"/>
      <c r="I466" s="14"/>
    </row>
    <row r="467">
      <c r="A467" s="30"/>
      <c r="B467" s="12"/>
      <c r="C467" s="14"/>
      <c r="D467" s="14"/>
      <c r="E467" s="14"/>
      <c r="G467" s="16"/>
      <c r="H467" s="16"/>
      <c r="I467" s="14"/>
    </row>
    <row r="468">
      <c r="A468" s="30"/>
      <c r="B468" s="12"/>
      <c r="C468" s="14"/>
      <c r="D468" s="14"/>
      <c r="E468" s="14"/>
      <c r="G468" s="16"/>
      <c r="H468" s="16"/>
      <c r="I468" s="14"/>
    </row>
    <row r="469">
      <c r="A469" s="30"/>
      <c r="B469" s="12"/>
      <c r="C469" s="14"/>
      <c r="D469" s="14"/>
      <c r="E469" s="14"/>
      <c r="G469" s="16"/>
      <c r="H469" s="16"/>
      <c r="I469" s="14"/>
    </row>
    <row r="470">
      <c r="A470" s="30"/>
      <c r="B470" s="12"/>
      <c r="C470" s="14"/>
      <c r="D470" s="14"/>
      <c r="E470" s="14"/>
      <c r="G470" s="16"/>
      <c r="H470" s="16"/>
      <c r="I470" s="14"/>
    </row>
    <row r="471">
      <c r="A471" s="30"/>
      <c r="B471" s="12"/>
      <c r="C471" s="14"/>
      <c r="D471" s="14"/>
      <c r="E471" s="14"/>
      <c r="G471" s="16"/>
      <c r="H471" s="16"/>
      <c r="I471" s="14"/>
    </row>
    <row r="472">
      <c r="A472" s="30"/>
      <c r="B472" s="12"/>
      <c r="C472" s="14"/>
      <c r="D472" s="14"/>
      <c r="E472" s="14"/>
      <c r="G472" s="16"/>
      <c r="H472" s="16"/>
      <c r="I472" s="14"/>
    </row>
    <row r="473">
      <c r="A473" s="30"/>
      <c r="B473" s="12"/>
      <c r="C473" s="14"/>
      <c r="D473" s="14"/>
      <c r="E473" s="14"/>
      <c r="G473" s="16"/>
      <c r="H473" s="16"/>
      <c r="I473" s="14"/>
    </row>
    <row r="474">
      <c r="A474" s="30"/>
      <c r="B474" s="12"/>
      <c r="C474" s="14"/>
      <c r="D474" s="14"/>
      <c r="E474" s="14"/>
      <c r="G474" s="16"/>
      <c r="H474" s="16"/>
      <c r="I474" s="14"/>
    </row>
    <row r="475">
      <c r="A475" s="30"/>
      <c r="B475" s="12"/>
      <c r="C475" s="14"/>
      <c r="D475" s="14"/>
      <c r="E475" s="14"/>
      <c r="G475" s="16"/>
      <c r="H475" s="16"/>
      <c r="I475" s="14"/>
    </row>
    <row r="476">
      <c r="A476" s="30"/>
      <c r="B476" s="12"/>
      <c r="C476" s="14"/>
      <c r="D476" s="14"/>
      <c r="E476" s="14"/>
      <c r="G476" s="16"/>
      <c r="H476" s="16"/>
      <c r="I476" s="14"/>
    </row>
    <row r="477">
      <c r="A477" s="30"/>
      <c r="B477" s="12"/>
      <c r="C477" s="14"/>
      <c r="D477" s="14"/>
      <c r="E477" s="14"/>
      <c r="G477" s="16"/>
      <c r="H477" s="16"/>
      <c r="I477" s="14"/>
    </row>
    <row r="478">
      <c r="A478" s="30"/>
      <c r="B478" s="12"/>
      <c r="C478" s="14"/>
      <c r="D478" s="14"/>
      <c r="E478" s="14"/>
      <c r="G478" s="16"/>
      <c r="H478" s="16"/>
      <c r="I478" s="14"/>
    </row>
    <row r="479">
      <c r="A479" s="30"/>
      <c r="B479" s="12"/>
      <c r="C479" s="14"/>
      <c r="D479" s="14"/>
      <c r="E479" s="14"/>
      <c r="G479" s="16"/>
      <c r="H479" s="16"/>
      <c r="I479" s="14"/>
    </row>
    <row r="480">
      <c r="A480" s="30"/>
      <c r="B480" s="12"/>
      <c r="C480" s="14"/>
      <c r="D480" s="14"/>
      <c r="E480" s="14"/>
      <c r="G480" s="16"/>
      <c r="H480" s="16"/>
      <c r="I480" s="14"/>
    </row>
    <row r="481">
      <c r="A481" s="30"/>
      <c r="B481" s="12"/>
      <c r="C481" s="14"/>
      <c r="D481" s="14"/>
      <c r="E481" s="14"/>
      <c r="G481" s="16"/>
      <c r="H481" s="16"/>
      <c r="I481" s="14"/>
    </row>
    <row r="482">
      <c r="A482" s="30"/>
      <c r="B482" s="12"/>
      <c r="C482" s="14"/>
      <c r="D482" s="14"/>
      <c r="E482" s="14"/>
      <c r="G482" s="16"/>
      <c r="H482" s="16"/>
      <c r="I482" s="14"/>
    </row>
    <row r="483">
      <c r="A483" s="30"/>
      <c r="B483" s="12"/>
      <c r="C483" s="14"/>
      <c r="D483" s="14"/>
      <c r="E483" s="14"/>
      <c r="G483" s="16"/>
      <c r="H483" s="16"/>
      <c r="I483" s="14"/>
    </row>
    <row r="484">
      <c r="A484" s="30"/>
      <c r="B484" s="12"/>
      <c r="C484" s="14"/>
      <c r="D484" s="14"/>
      <c r="E484" s="14"/>
      <c r="G484" s="16"/>
      <c r="H484" s="16"/>
      <c r="I484" s="14"/>
    </row>
    <row r="485">
      <c r="A485" s="30"/>
      <c r="B485" s="12"/>
      <c r="C485" s="14"/>
      <c r="D485" s="14"/>
      <c r="E485" s="14"/>
      <c r="G485" s="16"/>
      <c r="H485" s="16"/>
      <c r="I485" s="14"/>
    </row>
    <row r="486">
      <c r="A486" s="30"/>
      <c r="B486" s="12"/>
      <c r="C486" s="14"/>
      <c r="D486" s="14"/>
      <c r="E486" s="14"/>
      <c r="G486" s="16"/>
      <c r="H486" s="16"/>
      <c r="I486" s="14"/>
    </row>
    <row r="487">
      <c r="A487" s="30"/>
      <c r="B487" s="12"/>
      <c r="C487" s="14"/>
      <c r="D487" s="14"/>
      <c r="E487" s="14"/>
      <c r="G487" s="16"/>
      <c r="H487" s="16"/>
      <c r="I487" s="14"/>
    </row>
    <row r="488">
      <c r="A488" s="30"/>
      <c r="B488" s="12"/>
      <c r="C488" s="14"/>
      <c r="D488" s="14"/>
      <c r="E488" s="14"/>
      <c r="G488" s="16"/>
      <c r="H488" s="16"/>
      <c r="I488" s="14"/>
    </row>
    <row r="489">
      <c r="A489" s="30"/>
      <c r="B489" s="12"/>
      <c r="C489" s="14"/>
      <c r="D489" s="14"/>
      <c r="E489" s="14"/>
      <c r="G489" s="16"/>
      <c r="H489" s="16"/>
      <c r="I489" s="14"/>
    </row>
    <row r="490">
      <c r="A490" s="30"/>
      <c r="B490" s="12"/>
      <c r="C490" s="14"/>
      <c r="D490" s="14"/>
      <c r="E490" s="14"/>
      <c r="G490" s="16"/>
      <c r="H490" s="16"/>
      <c r="I490" s="14"/>
    </row>
    <row r="491">
      <c r="A491" s="30"/>
      <c r="B491" s="12"/>
      <c r="C491" s="14"/>
      <c r="D491" s="14"/>
      <c r="E491" s="14"/>
      <c r="G491" s="16"/>
      <c r="H491" s="16"/>
      <c r="I491" s="14"/>
    </row>
    <row r="492">
      <c r="A492" s="30"/>
      <c r="B492" s="12"/>
      <c r="C492" s="14"/>
      <c r="D492" s="14"/>
      <c r="E492" s="14"/>
      <c r="G492" s="16"/>
      <c r="H492" s="16"/>
      <c r="I492" s="14"/>
    </row>
    <row r="493">
      <c r="A493" s="30"/>
      <c r="B493" s="12"/>
      <c r="C493" s="14"/>
      <c r="D493" s="14"/>
      <c r="E493" s="14"/>
      <c r="G493" s="16"/>
      <c r="H493" s="16"/>
      <c r="I493" s="14"/>
    </row>
    <row r="494">
      <c r="A494" s="30"/>
      <c r="B494" s="12"/>
      <c r="C494" s="14"/>
      <c r="D494" s="14"/>
      <c r="E494" s="14"/>
      <c r="G494" s="16"/>
      <c r="H494" s="16"/>
      <c r="I494" s="14"/>
    </row>
    <row r="495">
      <c r="A495" s="30"/>
      <c r="B495" s="12"/>
      <c r="C495" s="14"/>
      <c r="D495" s="14"/>
      <c r="E495" s="14"/>
      <c r="G495" s="16"/>
      <c r="H495" s="16"/>
      <c r="I495" s="14"/>
    </row>
    <row r="496">
      <c r="A496" s="30"/>
      <c r="B496" s="12"/>
      <c r="C496" s="14"/>
      <c r="D496" s="14"/>
      <c r="E496" s="14"/>
      <c r="G496" s="16"/>
      <c r="H496" s="16"/>
      <c r="I496" s="14"/>
    </row>
    <row r="497">
      <c r="A497" s="30"/>
      <c r="B497" s="12"/>
      <c r="C497" s="14"/>
      <c r="D497" s="14"/>
      <c r="E497" s="14"/>
      <c r="G497" s="16"/>
      <c r="H497" s="16"/>
      <c r="I497" s="14"/>
    </row>
    <row r="498">
      <c r="A498" s="30"/>
      <c r="B498" s="12"/>
      <c r="C498" s="14"/>
      <c r="D498" s="14"/>
      <c r="E498" s="14"/>
      <c r="G498" s="16"/>
      <c r="H498" s="16"/>
      <c r="I498" s="14"/>
    </row>
    <row r="499">
      <c r="A499" s="30"/>
      <c r="B499" s="12"/>
      <c r="C499" s="14"/>
      <c r="D499" s="14"/>
      <c r="E499" s="14"/>
      <c r="G499" s="16"/>
      <c r="H499" s="16"/>
      <c r="I499" s="14"/>
    </row>
    <row r="500">
      <c r="A500" s="30"/>
      <c r="B500" s="12"/>
      <c r="C500" s="14"/>
      <c r="D500" s="14"/>
      <c r="E500" s="14"/>
      <c r="G500" s="16"/>
      <c r="H500" s="16"/>
      <c r="I500" s="14"/>
    </row>
    <row r="501">
      <c r="A501" s="30"/>
      <c r="B501" s="12"/>
      <c r="C501" s="14"/>
      <c r="D501" s="14"/>
      <c r="E501" s="14"/>
      <c r="G501" s="16"/>
      <c r="H501" s="16"/>
      <c r="I501" s="14"/>
    </row>
    <row r="502">
      <c r="A502" s="30"/>
      <c r="B502" s="12"/>
      <c r="C502" s="14"/>
      <c r="D502" s="14"/>
      <c r="E502" s="14"/>
      <c r="G502" s="16"/>
      <c r="H502" s="16"/>
      <c r="I502" s="14"/>
    </row>
    <row r="503">
      <c r="A503" s="30"/>
      <c r="B503" s="12"/>
      <c r="C503" s="14"/>
      <c r="D503" s="14"/>
      <c r="E503" s="14"/>
      <c r="G503" s="16"/>
      <c r="H503" s="16"/>
      <c r="I503" s="14"/>
    </row>
    <row r="504">
      <c r="A504" s="30"/>
      <c r="B504" s="12"/>
      <c r="C504" s="14"/>
      <c r="D504" s="14"/>
      <c r="E504" s="14"/>
      <c r="G504" s="16"/>
      <c r="H504" s="16"/>
      <c r="I504" s="14"/>
    </row>
    <row r="505">
      <c r="A505" s="30"/>
      <c r="B505" s="12"/>
      <c r="C505" s="14"/>
      <c r="D505" s="14"/>
      <c r="E505" s="14"/>
      <c r="G505" s="16"/>
      <c r="H505" s="16"/>
      <c r="I505" s="14"/>
    </row>
    <row r="506">
      <c r="A506" s="30"/>
      <c r="B506" s="12"/>
      <c r="C506" s="14"/>
      <c r="D506" s="14"/>
      <c r="E506" s="14"/>
      <c r="G506" s="16"/>
      <c r="H506" s="16"/>
      <c r="I506" s="14"/>
    </row>
    <row r="507">
      <c r="A507" s="30"/>
      <c r="B507" s="12"/>
      <c r="C507" s="14"/>
      <c r="D507" s="14"/>
      <c r="E507" s="14"/>
      <c r="G507" s="16"/>
      <c r="H507" s="16"/>
      <c r="I507" s="14"/>
    </row>
    <row r="508">
      <c r="A508" s="30"/>
      <c r="B508" s="12"/>
      <c r="C508" s="14"/>
      <c r="D508" s="14"/>
      <c r="E508" s="14"/>
      <c r="G508" s="16"/>
      <c r="H508" s="16"/>
      <c r="I508" s="14"/>
    </row>
    <row r="509">
      <c r="A509" s="30"/>
      <c r="B509" s="12"/>
      <c r="C509" s="14"/>
      <c r="D509" s="14"/>
      <c r="E509" s="14"/>
      <c r="G509" s="16"/>
      <c r="H509" s="16"/>
      <c r="I509" s="14"/>
    </row>
    <row r="510">
      <c r="A510" s="30"/>
      <c r="B510" s="12"/>
      <c r="C510" s="14"/>
      <c r="D510" s="14"/>
      <c r="E510" s="14"/>
      <c r="G510" s="16"/>
      <c r="H510" s="16"/>
      <c r="I510" s="14"/>
    </row>
    <row r="511">
      <c r="A511" s="30"/>
      <c r="B511" s="12"/>
      <c r="C511" s="14"/>
      <c r="D511" s="14"/>
      <c r="E511" s="14"/>
      <c r="G511" s="16"/>
      <c r="H511" s="16"/>
      <c r="I511" s="14"/>
    </row>
    <row r="512">
      <c r="A512" s="30"/>
      <c r="B512" s="12"/>
      <c r="C512" s="14"/>
      <c r="D512" s="14"/>
      <c r="E512" s="14"/>
      <c r="G512" s="16"/>
      <c r="H512" s="16"/>
      <c r="I512" s="14"/>
    </row>
    <row r="513">
      <c r="A513" s="30"/>
      <c r="B513" s="12"/>
      <c r="C513" s="14"/>
      <c r="D513" s="14"/>
      <c r="E513" s="14"/>
      <c r="G513" s="16"/>
      <c r="H513" s="16"/>
      <c r="I513" s="14"/>
    </row>
    <row r="514">
      <c r="A514" s="30"/>
      <c r="B514" s="12"/>
      <c r="C514" s="14"/>
      <c r="D514" s="14"/>
      <c r="E514" s="14"/>
      <c r="G514" s="16"/>
      <c r="H514" s="16"/>
      <c r="I514" s="14"/>
    </row>
    <row r="515">
      <c r="A515" s="30"/>
      <c r="B515" s="12"/>
      <c r="C515" s="14"/>
      <c r="D515" s="14"/>
      <c r="E515" s="14"/>
      <c r="G515" s="16"/>
      <c r="H515" s="16"/>
      <c r="I515" s="14"/>
    </row>
    <row r="516">
      <c r="A516" s="30"/>
      <c r="B516" s="12"/>
      <c r="C516" s="14"/>
      <c r="D516" s="14"/>
      <c r="E516" s="14"/>
      <c r="G516" s="16"/>
      <c r="H516" s="16"/>
      <c r="I516" s="14"/>
    </row>
    <row r="517">
      <c r="A517" s="30"/>
      <c r="B517" s="12"/>
      <c r="C517" s="14"/>
      <c r="D517" s="14"/>
      <c r="E517" s="14"/>
      <c r="G517" s="16"/>
      <c r="H517" s="16"/>
      <c r="I517" s="14"/>
    </row>
    <row r="518">
      <c r="A518" s="30"/>
      <c r="B518" s="12"/>
      <c r="C518" s="14"/>
      <c r="D518" s="14"/>
      <c r="E518" s="14"/>
      <c r="G518" s="16"/>
      <c r="H518" s="16"/>
      <c r="I518" s="14"/>
    </row>
    <row r="519">
      <c r="A519" s="30"/>
      <c r="B519" s="12"/>
      <c r="C519" s="14"/>
      <c r="D519" s="14"/>
      <c r="E519" s="14"/>
      <c r="G519" s="16"/>
      <c r="H519" s="16"/>
      <c r="I519" s="14"/>
    </row>
    <row r="520">
      <c r="A520" s="30"/>
      <c r="B520" s="12"/>
      <c r="C520" s="14"/>
      <c r="D520" s="14"/>
      <c r="E520" s="14"/>
      <c r="G520" s="16"/>
      <c r="H520" s="16"/>
      <c r="I520" s="14"/>
    </row>
    <row r="521">
      <c r="A521" s="30"/>
      <c r="B521" s="12"/>
      <c r="C521" s="14"/>
      <c r="D521" s="14"/>
      <c r="E521" s="14"/>
      <c r="G521" s="16"/>
      <c r="H521" s="16"/>
      <c r="I521" s="14"/>
    </row>
    <row r="522">
      <c r="A522" s="30"/>
      <c r="B522" s="12"/>
      <c r="C522" s="14"/>
      <c r="D522" s="14"/>
      <c r="E522" s="14"/>
      <c r="G522" s="16"/>
      <c r="H522" s="16"/>
      <c r="I522" s="14"/>
    </row>
    <row r="523">
      <c r="A523" s="30"/>
      <c r="B523" s="12"/>
      <c r="C523" s="14"/>
      <c r="D523" s="14"/>
      <c r="E523" s="14"/>
      <c r="G523" s="16"/>
      <c r="H523" s="16"/>
      <c r="I523" s="14"/>
    </row>
    <row r="524">
      <c r="A524" s="30"/>
      <c r="B524" s="12"/>
      <c r="C524" s="14"/>
      <c r="D524" s="14"/>
      <c r="E524" s="14"/>
      <c r="G524" s="16"/>
      <c r="H524" s="16"/>
      <c r="I524" s="14"/>
    </row>
    <row r="525">
      <c r="A525" s="30"/>
      <c r="B525" s="12"/>
      <c r="C525" s="14"/>
      <c r="D525" s="14"/>
      <c r="E525" s="14"/>
      <c r="G525" s="16"/>
      <c r="H525" s="16"/>
      <c r="I525" s="14"/>
    </row>
    <row r="526">
      <c r="A526" s="30"/>
      <c r="B526" s="12"/>
      <c r="C526" s="14"/>
      <c r="D526" s="14"/>
      <c r="E526" s="14"/>
      <c r="G526" s="16"/>
      <c r="H526" s="16"/>
      <c r="I526" s="14"/>
    </row>
    <row r="527">
      <c r="A527" s="30"/>
      <c r="B527" s="12"/>
      <c r="C527" s="14"/>
      <c r="D527" s="14"/>
      <c r="E527" s="14"/>
      <c r="G527" s="16"/>
      <c r="H527" s="16"/>
      <c r="I527" s="14"/>
    </row>
    <row r="528">
      <c r="A528" s="30"/>
      <c r="B528" s="12"/>
      <c r="C528" s="14"/>
      <c r="D528" s="14"/>
      <c r="E528" s="14"/>
      <c r="G528" s="16"/>
      <c r="H528" s="16"/>
      <c r="I528" s="14"/>
    </row>
    <row r="529">
      <c r="A529" s="30"/>
      <c r="B529" s="12"/>
      <c r="C529" s="14"/>
      <c r="D529" s="14"/>
      <c r="E529" s="14"/>
      <c r="G529" s="16"/>
      <c r="H529" s="16"/>
      <c r="I529" s="14"/>
    </row>
    <row r="530">
      <c r="A530" s="30"/>
      <c r="B530" s="12"/>
      <c r="C530" s="14"/>
      <c r="D530" s="14"/>
      <c r="E530" s="14"/>
      <c r="G530" s="16"/>
      <c r="H530" s="16"/>
      <c r="I530" s="14"/>
    </row>
    <row r="531">
      <c r="A531" s="30"/>
      <c r="B531" s="12"/>
      <c r="C531" s="14"/>
      <c r="D531" s="14"/>
      <c r="E531" s="14"/>
      <c r="G531" s="16"/>
      <c r="H531" s="16"/>
      <c r="I531" s="14"/>
    </row>
    <row r="532">
      <c r="A532" s="30"/>
      <c r="B532" s="12"/>
      <c r="C532" s="14"/>
      <c r="D532" s="14"/>
      <c r="E532" s="14"/>
      <c r="G532" s="16"/>
      <c r="H532" s="16"/>
      <c r="I532" s="14"/>
    </row>
    <row r="533">
      <c r="A533" s="30"/>
      <c r="B533" s="12"/>
      <c r="C533" s="14"/>
      <c r="D533" s="14"/>
      <c r="E533" s="14"/>
      <c r="G533" s="16"/>
      <c r="H533" s="16"/>
      <c r="I533" s="14"/>
    </row>
    <row r="534">
      <c r="A534" s="30"/>
      <c r="B534" s="12"/>
      <c r="C534" s="14"/>
      <c r="D534" s="14"/>
      <c r="E534" s="14"/>
      <c r="G534" s="16"/>
      <c r="H534" s="16"/>
      <c r="I534" s="14"/>
    </row>
    <row r="535">
      <c r="A535" s="30"/>
      <c r="B535" s="12"/>
      <c r="C535" s="14"/>
      <c r="D535" s="14"/>
      <c r="E535" s="14"/>
      <c r="G535" s="16"/>
      <c r="H535" s="16"/>
      <c r="I535" s="14"/>
    </row>
    <row r="536">
      <c r="A536" s="30"/>
      <c r="B536" s="12"/>
      <c r="C536" s="14"/>
      <c r="D536" s="14"/>
      <c r="E536" s="14"/>
      <c r="G536" s="16"/>
      <c r="H536" s="16"/>
      <c r="I536" s="14"/>
    </row>
    <row r="537">
      <c r="A537" s="30"/>
      <c r="B537" s="12"/>
      <c r="C537" s="14"/>
      <c r="D537" s="14"/>
      <c r="E537" s="14"/>
      <c r="G537" s="16"/>
      <c r="H537" s="16"/>
      <c r="I537" s="14"/>
    </row>
    <row r="538">
      <c r="A538" s="30"/>
      <c r="B538" s="12"/>
      <c r="C538" s="14"/>
      <c r="D538" s="14"/>
      <c r="E538" s="14"/>
      <c r="G538" s="16"/>
      <c r="H538" s="16"/>
      <c r="I538" s="14"/>
    </row>
    <row r="539">
      <c r="A539" s="30"/>
      <c r="B539" s="12"/>
      <c r="C539" s="14"/>
      <c r="D539" s="14"/>
      <c r="E539" s="14"/>
      <c r="G539" s="16"/>
      <c r="H539" s="16"/>
      <c r="I539" s="14"/>
    </row>
    <row r="540">
      <c r="A540" s="30"/>
      <c r="B540" s="12"/>
      <c r="C540" s="14"/>
      <c r="D540" s="14"/>
      <c r="E540" s="14"/>
      <c r="G540" s="16"/>
      <c r="H540" s="16"/>
      <c r="I540" s="14"/>
    </row>
    <row r="541">
      <c r="A541" s="30"/>
      <c r="B541" s="12"/>
      <c r="C541" s="14"/>
      <c r="D541" s="14"/>
      <c r="E541" s="14"/>
      <c r="G541" s="16"/>
      <c r="H541" s="16"/>
      <c r="I541" s="14"/>
    </row>
    <row r="542">
      <c r="A542" s="30"/>
      <c r="B542" s="12"/>
      <c r="C542" s="14"/>
      <c r="D542" s="14"/>
      <c r="E542" s="14"/>
      <c r="G542" s="16"/>
      <c r="H542" s="16"/>
      <c r="I542" s="14"/>
    </row>
    <row r="543">
      <c r="A543" s="30"/>
      <c r="B543" s="12"/>
      <c r="C543" s="14"/>
      <c r="D543" s="14"/>
      <c r="E543" s="14"/>
      <c r="G543" s="16"/>
      <c r="H543" s="16"/>
      <c r="I543" s="14"/>
    </row>
    <row r="544">
      <c r="A544" s="30"/>
      <c r="B544" s="12"/>
      <c r="C544" s="14"/>
      <c r="D544" s="14"/>
      <c r="E544" s="14"/>
      <c r="G544" s="16"/>
      <c r="H544" s="16"/>
      <c r="I544" s="14"/>
    </row>
    <row r="545">
      <c r="A545" s="30"/>
      <c r="B545" s="12"/>
      <c r="C545" s="14"/>
      <c r="D545" s="14"/>
      <c r="E545" s="14"/>
      <c r="G545" s="16"/>
      <c r="H545" s="16"/>
      <c r="I545" s="14"/>
    </row>
    <row r="546">
      <c r="A546" s="30"/>
      <c r="B546" s="12"/>
      <c r="C546" s="14"/>
      <c r="D546" s="14"/>
      <c r="E546" s="14"/>
      <c r="G546" s="16"/>
      <c r="H546" s="16"/>
      <c r="I546" s="14"/>
    </row>
    <row r="547">
      <c r="A547" s="30"/>
      <c r="B547" s="12"/>
      <c r="C547" s="14"/>
      <c r="D547" s="14"/>
      <c r="E547" s="14"/>
      <c r="G547" s="16"/>
      <c r="H547" s="16"/>
      <c r="I547" s="14"/>
    </row>
    <row r="548">
      <c r="A548" s="30"/>
      <c r="B548" s="12"/>
      <c r="C548" s="14"/>
      <c r="D548" s="14"/>
      <c r="E548" s="14"/>
      <c r="G548" s="16"/>
      <c r="H548" s="16"/>
      <c r="I548" s="14"/>
    </row>
    <row r="549">
      <c r="A549" s="30"/>
      <c r="B549" s="12"/>
      <c r="C549" s="14"/>
      <c r="D549" s="14"/>
      <c r="E549" s="14"/>
      <c r="G549" s="16"/>
      <c r="H549" s="16"/>
      <c r="I549" s="14"/>
    </row>
    <row r="550">
      <c r="A550" s="30"/>
      <c r="B550" s="12"/>
      <c r="C550" s="14"/>
      <c r="D550" s="14"/>
      <c r="E550" s="14"/>
      <c r="G550" s="16"/>
      <c r="H550" s="16"/>
      <c r="I550" s="14"/>
    </row>
    <row r="551">
      <c r="A551" s="30"/>
      <c r="B551" s="12"/>
      <c r="C551" s="14"/>
      <c r="D551" s="14"/>
      <c r="E551" s="14"/>
      <c r="G551" s="16"/>
      <c r="H551" s="16"/>
      <c r="I551" s="14"/>
    </row>
    <row r="552">
      <c r="A552" s="30"/>
      <c r="B552" s="12"/>
      <c r="C552" s="14"/>
      <c r="D552" s="14"/>
      <c r="E552" s="14"/>
      <c r="G552" s="16"/>
      <c r="H552" s="16"/>
      <c r="I552" s="14"/>
    </row>
    <row r="553">
      <c r="A553" s="30"/>
      <c r="B553" s="12"/>
      <c r="C553" s="14"/>
      <c r="D553" s="14"/>
      <c r="E553" s="14"/>
      <c r="G553" s="16"/>
      <c r="H553" s="16"/>
      <c r="I553" s="14"/>
    </row>
    <row r="554">
      <c r="A554" s="30"/>
      <c r="B554" s="12"/>
      <c r="C554" s="14"/>
      <c r="D554" s="14"/>
      <c r="E554" s="14"/>
      <c r="G554" s="16"/>
      <c r="H554" s="16"/>
      <c r="I554" s="14"/>
    </row>
    <row r="555">
      <c r="A555" s="30"/>
      <c r="B555" s="12"/>
      <c r="C555" s="14"/>
      <c r="D555" s="14"/>
      <c r="E555" s="14"/>
      <c r="G555" s="16"/>
      <c r="H555" s="16"/>
      <c r="I555" s="14"/>
    </row>
    <row r="556">
      <c r="A556" s="30"/>
      <c r="B556" s="12"/>
      <c r="C556" s="14"/>
      <c r="D556" s="14"/>
      <c r="E556" s="14"/>
      <c r="G556" s="16"/>
      <c r="H556" s="16"/>
      <c r="I556" s="14"/>
    </row>
    <row r="557">
      <c r="A557" s="30"/>
      <c r="B557" s="12"/>
      <c r="C557" s="14"/>
      <c r="D557" s="14"/>
      <c r="E557" s="14"/>
      <c r="G557" s="16"/>
      <c r="H557" s="16"/>
      <c r="I557" s="14"/>
    </row>
    <row r="558">
      <c r="A558" s="30"/>
      <c r="B558" s="12"/>
      <c r="C558" s="14"/>
      <c r="D558" s="14"/>
      <c r="E558" s="14"/>
      <c r="G558" s="16"/>
      <c r="H558" s="16"/>
      <c r="I558" s="14"/>
    </row>
    <row r="559">
      <c r="A559" s="30"/>
      <c r="B559" s="12"/>
      <c r="C559" s="14"/>
      <c r="D559" s="14"/>
      <c r="E559" s="14"/>
      <c r="G559" s="16"/>
      <c r="H559" s="16"/>
      <c r="I559" s="14"/>
    </row>
    <row r="560">
      <c r="A560" s="30"/>
      <c r="B560" s="12"/>
      <c r="C560" s="14"/>
      <c r="D560" s="14"/>
      <c r="E560" s="14"/>
      <c r="G560" s="16"/>
      <c r="H560" s="16"/>
      <c r="I560" s="14"/>
    </row>
    <row r="561">
      <c r="A561" s="30"/>
      <c r="B561" s="12"/>
      <c r="C561" s="14"/>
      <c r="D561" s="14"/>
      <c r="E561" s="14"/>
      <c r="G561" s="16"/>
      <c r="H561" s="16"/>
      <c r="I561" s="14"/>
    </row>
    <row r="562">
      <c r="A562" s="30"/>
      <c r="B562" s="12"/>
      <c r="C562" s="14"/>
      <c r="D562" s="14"/>
      <c r="E562" s="14"/>
      <c r="G562" s="16"/>
      <c r="H562" s="16"/>
      <c r="I562" s="14"/>
    </row>
    <row r="563">
      <c r="A563" s="30"/>
      <c r="B563" s="12"/>
      <c r="C563" s="14"/>
      <c r="D563" s="14"/>
      <c r="E563" s="14"/>
      <c r="G563" s="16"/>
      <c r="H563" s="16"/>
      <c r="I563" s="14"/>
    </row>
    <row r="564">
      <c r="A564" s="30"/>
      <c r="B564" s="12"/>
      <c r="C564" s="14"/>
      <c r="D564" s="14"/>
      <c r="E564" s="14"/>
      <c r="G564" s="16"/>
      <c r="H564" s="16"/>
      <c r="I564" s="14"/>
    </row>
    <row r="565">
      <c r="A565" s="30"/>
      <c r="B565" s="12"/>
      <c r="C565" s="14"/>
      <c r="D565" s="14"/>
      <c r="E565" s="14"/>
      <c r="G565" s="16"/>
      <c r="H565" s="16"/>
      <c r="I565" s="14"/>
    </row>
    <row r="566">
      <c r="A566" s="30"/>
      <c r="B566" s="12"/>
      <c r="C566" s="14"/>
      <c r="D566" s="14"/>
      <c r="E566" s="14"/>
      <c r="G566" s="16"/>
      <c r="H566" s="16"/>
      <c r="I566" s="14"/>
    </row>
    <row r="567">
      <c r="A567" s="30"/>
      <c r="B567" s="12"/>
      <c r="C567" s="14"/>
      <c r="D567" s="14"/>
      <c r="E567" s="14"/>
      <c r="G567" s="16"/>
      <c r="H567" s="16"/>
      <c r="I567" s="14"/>
    </row>
    <row r="568">
      <c r="A568" s="30"/>
      <c r="B568" s="12"/>
      <c r="C568" s="14"/>
      <c r="D568" s="14"/>
      <c r="E568" s="14"/>
      <c r="G568" s="16"/>
      <c r="H568" s="16"/>
      <c r="I568" s="14"/>
    </row>
    <row r="569">
      <c r="A569" s="30"/>
      <c r="B569" s="12"/>
      <c r="C569" s="14"/>
      <c r="D569" s="14"/>
      <c r="E569" s="14"/>
      <c r="G569" s="16"/>
      <c r="H569" s="16"/>
      <c r="I569" s="14"/>
    </row>
    <row r="570">
      <c r="A570" s="30"/>
      <c r="B570" s="12"/>
      <c r="C570" s="14"/>
      <c r="D570" s="14"/>
      <c r="E570" s="14"/>
      <c r="G570" s="16"/>
      <c r="H570" s="16"/>
      <c r="I570" s="14"/>
    </row>
    <row r="571">
      <c r="A571" s="30"/>
      <c r="B571" s="12"/>
      <c r="C571" s="14"/>
      <c r="D571" s="14"/>
      <c r="E571" s="14"/>
      <c r="G571" s="16"/>
      <c r="H571" s="16"/>
      <c r="I571" s="14"/>
    </row>
    <row r="572">
      <c r="A572" s="30"/>
      <c r="B572" s="12"/>
      <c r="C572" s="14"/>
      <c r="D572" s="14"/>
      <c r="E572" s="14"/>
      <c r="G572" s="16"/>
      <c r="H572" s="16"/>
      <c r="I572" s="14"/>
    </row>
    <row r="573">
      <c r="A573" s="30"/>
      <c r="B573" s="12"/>
      <c r="C573" s="14"/>
      <c r="D573" s="14"/>
      <c r="E573" s="14"/>
      <c r="G573" s="16"/>
      <c r="H573" s="16"/>
      <c r="I573" s="14"/>
    </row>
    <row r="574">
      <c r="A574" s="30"/>
      <c r="B574" s="12"/>
      <c r="C574" s="14"/>
      <c r="D574" s="14"/>
      <c r="E574" s="14"/>
      <c r="G574" s="16"/>
      <c r="H574" s="16"/>
      <c r="I574" s="14"/>
    </row>
    <row r="575">
      <c r="A575" s="30"/>
      <c r="B575" s="12"/>
      <c r="C575" s="14"/>
      <c r="D575" s="14"/>
      <c r="E575" s="14"/>
      <c r="G575" s="16"/>
      <c r="H575" s="16"/>
      <c r="I575" s="14"/>
    </row>
    <row r="576">
      <c r="A576" s="30"/>
      <c r="B576" s="12"/>
      <c r="C576" s="14"/>
      <c r="D576" s="14"/>
      <c r="E576" s="14"/>
      <c r="G576" s="16"/>
      <c r="H576" s="16"/>
      <c r="I576" s="14"/>
    </row>
    <row r="577">
      <c r="A577" s="30"/>
      <c r="B577" s="12"/>
      <c r="C577" s="14"/>
      <c r="D577" s="14"/>
      <c r="E577" s="14"/>
      <c r="G577" s="16"/>
      <c r="H577" s="16"/>
      <c r="I577" s="14"/>
    </row>
    <row r="578">
      <c r="A578" s="30"/>
      <c r="B578" s="12"/>
      <c r="C578" s="14"/>
      <c r="D578" s="14"/>
      <c r="E578" s="14"/>
      <c r="G578" s="16"/>
      <c r="H578" s="16"/>
      <c r="I578" s="14"/>
    </row>
    <row r="579">
      <c r="A579" s="30"/>
      <c r="B579" s="12"/>
      <c r="C579" s="14"/>
      <c r="D579" s="14"/>
      <c r="E579" s="14"/>
      <c r="G579" s="16"/>
      <c r="H579" s="16"/>
      <c r="I579" s="14"/>
    </row>
    <row r="580">
      <c r="A580" s="30"/>
      <c r="B580" s="12"/>
      <c r="C580" s="14"/>
      <c r="D580" s="14"/>
      <c r="E580" s="14"/>
      <c r="G580" s="16"/>
      <c r="H580" s="16"/>
      <c r="I580" s="14"/>
    </row>
    <row r="581">
      <c r="A581" s="30"/>
      <c r="B581" s="12"/>
      <c r="C581" s="14"/>
      <c r="D581" s="14"/>
      <c r="E581" s="14"/>
      <c r="G581" s="16"/>
      <c r="H581" s="16"/>
      <c r="I581" s="14"/>
    </row>
    <row r="582">
      <c r="A582" s="30"/>
      <c r="B582" s="12"/>
      <c r="C582" s="14"/>
      <c r="D582" s="14"/>
      <c r="E582" s="14"/>
      <c r="G582" s="16"/>
      <c r="H582" s="16"/>
      <c r="I582" s="14"/>
    </row>
    <row r="583">
      <c r="A583" s="30"/>
      <c r="B583" s="12"/>
      <c r="C583" s="14"/>
      <c r="D583" s="14"/>
      <c r="E583" s="14"/>
      <c r="G583" s="16"/>
      <c r="H583" s="16"/>
      <c r="I583" s="14"/>
    </row>
    <row r="584">
      <c r="A584" s="30"/>
      <c r="B584" s="12"/>
      <c r="C584" s="14"/>
      <c r="D584" s="14"/>
      <c r="E584" s="14"/>
      <c r="G584" s="16"/>
      <c r="H584" s="16"/>
      <c r="I584" s="14"/>
    </row>
    <row r="585">
      <c r="A585" s="30"/>
      <c r="B585" s="12"/>
      <c r="C585" s="14"/>
      <c r="D585" s="14"/>
      <c r="E585" s="14"/>
      <c r="G585" s="16"/>
      <c r="H585" s="16"/>
      <c r="I585" s="14"/>
    </row>
    <row r="586">
      <c r="A586" s="30"/>
      <c r="B586" s="12"/>
      <c r="C586" s="14"/>
      <c r="D586" s="14"/>
      <c r="E586" s="14"/>
      <c r="G586" s="16"/>
      <c r="H586" s="16"/>
      <c r="I586" s="14"/>
    </row>
    <row r="587">
      <c r="A587" s="30"/>
      <c r="B587" s="12"/>
      <c r="C587" s="14"/>
      <c r="D587" s="14"/>
      <c r="E587" s="14"/>
      <c r="G587" s="16"/>
      <c r="H587" s="16"/>
      <c r="I587" s="14"/>
    </row>
    <row r="588">
      <c r="A588" s="30"/>
      <c r="B588" s="12"/>
      <c r="C588" s="14"/>
      <c r="D588" s="14"/>
      <c r="E588" s="14"/>
      <c r="G588" s="16"/>
      <c r="H588" s="16"/>
      <c r="I588" s="14"/>
    </row>
    <row r="589">
      <c r="A589" s="30"/>
      <c r="B589" s="12"/>
      <c r="C589" s="14"/>
      <c r="D589" s="14"/>
      <c r="E589" s="14"/>
      <c r="G589" s="16"/>
      <c r="H589" s="16"/>
      <c r="I589" s="14"/>
    </row>
    <row r="590">
      <c r="A590" s="30"/>
      <c r="B590" s="12"/>
      <c r="C590" s="14"/>
      <c r="D590" s="14"/>
      <c r="E590" s="14"/>
      <c r="G590" s="16"/>
      <c r="H590" s="16"/>
      <c r="I590" s="14"/>
    </row>
    <row r="591">
      <c r="A591" s="30"/>
      <c r="B591" s="12"/>
      <c r="C591" s="14"/>
      <c r="D591" s="14"/>
      <c r="E591" s="14"/>
      <c r="G591" s="16"/>
      <c r="H591" s="16"/>
      <c r="I591" s="14"/>
    </row>
    <row r="592">
      <c r="A592" s="30"/>
      <c r="B592" s="12"/>
      <c r="C592" s="14"/>
      <c r="D592" s="14"/>
      <c r="E592" s="14"/>
      <c r="G592" s="16"/>
      <c r="H592" s="16"/>
      <c r="I592" s="14"/>
    </row>
    <row r="593">
      <c r="A593" s="30"/>
      <c r="B593" s="12"/>
      <c r="C593" s="14"/>
      <c r="D593" s="14"/>
      <c r="E593" s="14"/>
      <c r="G593" s="16"/>
      <c r="H593" s="16"/>
      <c r="I593" s="14"/>
    </row>
    <row r="594">
      <c r="A594" s="30"/>
      <c r="B594" s="12"/>
      <c r="C594" s="14"/>
      <c r="D594" s="14"/>
      <c r="E594" s="14"/>
      <c r="G594" s="16"/>
      <c r="H594" s="16"/>
      <c r="I594" s="14"/>
    </row>
    <row r="595">
      <c r="A595" s="30"/>
      <c r="B595" s="12"/>
      <c r="C595" s="14"/>
      <c r="D595" s="14"/>
      <c r="E595" s="14"/>
      <c r="G595" s="16"/>
      <c r="H595" s="16"/>
      <c r="I595" s="14"/>
    </row>
    <row r="596">
      <c r="A596" s="30"/>
      <c r="B596" s="12"/>
      <c r="C596" s="14"/>
      <c r="D596" s="14"/>
      <c r="E596" s="14"/>
      <c r="G596" s="16"/>
      <c r="H596" s="16"/>
      <c r="I596" s="14"/>
    </row>
    <row r="597">
      <c r="A597" s="30"/>
      <c r="B597" s="12"/>
      <c r="C597" s="14"/>
      <c r="D597" s="14"/>
      <c r="E597" s="14"/>
      <c r="G597" s="16"/>
      <c r="H597" s="16"/>
      <c r="I597" s="14"/>
    </row>
    <row r="598">
      <c r="A598" s="30"/>
      <c r="B598" s="12"/>
      <c r="C598" s="14"/>
      <c r="D598" s="14"/>
      <c r="E598" s="14"/>
      <c r="G598" s="16"/>
      <c r="H598" s="16"/>
      <c r="I598" s="14"/>
    </row>
    <row r="599">
      <c r="A599" s="30"/>
      <c r="B599" s="12"/>
      <c r="C599" s="14"/>
      <c r="D599" s="14"/>
      <c r="E599" s="14"/>
      <c r="G599" s="16"/>
      <c r="H599" s="16"/>
      <c r="I599" s="14"/>
    </row>
    <row r="600">
      <c r="A600" s="30"/>
      <c r="B600" s="12"/>
      <c r="C600" s="14"/>
      <c r="D600" s="14"/>
      <c r="E600" s="14"/>
      <c r="G600" s="16"/>
      <c r="H600" s="16"/>
      <c r="I600" s="14"/>
    </row>
    <row r="601">
      <c r="A601" s="30"/>
      <c r="B601" s="12"/>
      <c r="C601" s="14"/>
      <c r="D601" s="14"/>
      <c r="E601" s="14"/>
      <c r="G601" s="16"/>
      <c r="H601" s="16"/>
      <c r="I601" s="14"/>
    </row>
    <row r="602">
      <c r="A602" s="30"/>
      <c r="B602" s="12"/>
      <c r="C602" s="14"/>
      <c r="D602" s="14"/>
      <c r="E602" s="14"/>
      <c r="G602" s="16"/>
      <c r="H602" s="16"/>
      <c r="I602" s="14"/>
    </row>
    <row r="603">
      <c r="A603" s="30"/>
      <c r="B603" s="12"/>
      <c r="C603" s="14"/>
      <c r="D603" s="14"/>
      <c r="E603" s="14"/>
      <c r="G603" s="16"/>
      <c r="H603" s="16"/>
      <c r="I603" s="14"/>
    </row>
    <row r="604">
      <c r="A604" s="30"/>
      <c r="B604" s="12"/>
      <c r="C604" s="14"/>
      <c r="D604" s="14"/>
      <c r="E604" s="14"/>
      <c r="G604" s="16"/>
      <c r="H604" s="16"/>
      <c r="I604" s="14"/>
    </row>
    <row r="605">
      <c r="A605" s="30"/>
      <c r="B605" s="12"/>
      <c r="C605" s="14"/>
      <c r="D605" s="14"/>
      <c r="E605" s="14"/>
      <c r="G605" s="16"/>
      <c r="H605" s="16"/>
      <c r="I605" s="14"/>
    </row>
    <row r="606">
      <c r="A606" s="30"/>
      <c r="B606" s="12"/>
      <c r="C606" s="14"/>
      <c r="D606" s="14"/>
      <c r="E606" s="14"/>
      <c r="G606" s="16"/>
      <c r="H606" s="16"/>
      <c r="I606" s="14"/>
    </row>
    <row r="607">
      <c r="A607" s="30"/>
      <c r="B607" s="12"/>
      <c r="C607" s="14"/>
      <c r="D607" s="14"/>
      <c r="E607" s="14"/>
      <c r="G607" s="16"/>
      <c r="H607" s="16"/>
      <c r="I607" s="14"/>
    </row>
    <row r="608">
      <c r="A608" s="30"/>
      <c r="B608" s="12"/>
      <c r="C608" s="14"/>
      <c r="D608" s="14"/>
      <c r="E608" s="14"/>
      <c r="G608" s="16"/>
      <c r="H608" s="16"/>
      <c r="I608" s="14"/>
    </row>
    <row r="609">
      <c r="A609" s="30"/>
      <c r="B609" s="12"/>
      <c r="C609" s="14"/>
      <c r="D609" s="14"/>
      <c r="E609" s="14"/>
      <c r="G609" s="16"/>
      <c r="H609" s="16"/>
      <c r="I609" s="14"/>
    </row>
    <row r="610">
      <c r="A610" s="30"/>
      <c r="B610" s="12"/>
      <c r="C610" s="14"/>
      <c r="D610" s="14"/>
      <c r="E610" s="14"/>
      <c r="G610" s="16"/>
      <c r="H610" s="16"/>
      <c r="I610" s="14"/>
    </row>
    <row r="611">
      <c r="A611" s="30"/>
      <c r="B611" s="12"/>
      <c r="C611" s="14"/>
      <c r="D611" s="14"/>
      <c r="E611" s="14"/>
      <c r="G611" s="16"/>
      <c r="H611" s="16"/>
      <c r="I611" s="14"/>
    </row>
    <row r="612">
      <c r="A612" s="30"/>
      <c r="B612" s="12"/>
      <c r="C612" s="14"/>
      <c r="D612" s="14"/>
      <c r="E612" s="14"/>
      <c r="G612" s="16"/>
      <c r="H612" s="16"/>
      <c r="I612" s="14"/>
    </row>
    <row r="613">
      <c r="A613" s="30"/>
      <c r="B613" s="12"/>
      <c r="C613" s="14"/>
      <c r="D613" s="14"/>
      <c r="E613" s="14"/>
      <c r="G613" s="16"/>
      <c r="H613" s="16"/>
      <c r="I613" s="14"/>
    </row>
    <row r="614">
      <c r="A614" s="30"/>
      <c r="B614" s="12"/>
      <c r="C614" s="14"/>
      <c r="D614" s="14"/>
      <c r="E614" s="14"/>
      <c r="G614" s="16"/>
      <c r="H614" s="16"/>
      <c r="I614" s="14"/>
    </row>
    <row r="615">
      <c r="A615" s="30"/>
      <c r="B615" s="12"/>
      <c r="C615" s="14"/>
      <c r="D615" s="14"/>
      <c r="E615" s="14"/>
      <c r="G615" s="16"/>
      <c r="H615" s="16"/>
      <c r="I615" s="14"/>
    </row>
    <row r="616">
      <c r="A616" s="30"/>
      <c r="B616" s="12"/>
      <c r="C616" s="14"/>
      <c r="D616" s="14"/>
      <c r="E616" s="14"/>
      <c r="G616" s="16"/>
      <c r="H616" s="16"/>
      <c r="I616" s="14"/>
    </row>
    <row r="617">
      <c r="A617" s="30"/>
      <c r="B617" s="12"/>
      <c r="C617" s="14"/>
      <c r="D617" s="14"/>
      <c r="E617" s="14"/>
      <c r="G617" s="16"/>
      <c r="H617" s="16"/>
      <c r="I617" s="14"/>
    </row>
    <row r="618">
      <c r="A618" s="30"/>
      <c r="B618" s="12"/>
      <c r="C618" s="14"/>
      <c r="D618" s="14"/>
      <c r="E618" s="14"/>
      <c r="G618" s="16"/>
      <c r="H618" s="16"/>
      <c r="I618" s="14"/>
    </row>
    <row r="619">
      <c r="A619" s="30"/>
      <c r="B619" s="12"/>
      <c r="C619" s="14"/>
      <c r="D619" s="14"/>
      <c r="E619" s="14"/>
      <c r="G619" s="16"/>
      <c r="H619" s="16"/>
      <c r="I619" s="14"/>
    </row>
    <row r="620">
      <c r="A620" s="30"/>
      <c r="B620" s="12"/>
      <c r="C620" s="14"/>
      <c r="D620" s="14"/>
      <c r="E620" s="14"/>
      <c r="G620" s="16"/>
      <c r="H620" s="16"/>
      <c r="I620" s="14"/>
    </row>
    <row r="621">
      <c r="A621" s="30"/>
      <c r="B621" s="12"/>
      <c r="C621" s="14"/>
      <c r="D621" s="14"/>
      <c r="E621" s="14"/>
      <c r="G621" s="16"/>
      <c r="H621" s="16"/>
      <c r="I621" s="14"/>
    </row>
    <row r="622">
      <c r="A622" s="30"/>
      <c r="B622" s="12"/>
      <c r="C622" s="14"/>
      <c r="D622" s="14"/>
      <c r="E622" s="14"/>
      <c r="G622" s="16"/>
      <c r="H622" s="16"/>
      <c r="I622" s="14"/>
    </row>
    <row r="623">
      <c r="A623" s="30"/>
      <c r="B623" s="12"/>
      <c r="C623" s="14"/>
      <c r="D623" s="14"/>
      <c r="E623" s="14"/>
      <c r="G623" s="16"/>
      <c r="H623" s="16"/>
      <c r="I623" s="14"/>
    </row>
    <row r="624">
      <c r="A624" s="30"/>
      <c r="B624" s="12"/>
      <c r="C624" s="14"/>
      <c r="D624" s="14"/>
      <c r="E624" s="14"/>
      <c r="G624" s="16"/>
      <c r="H624" s="16"/>
      <c r="I624" s="14"/>
    </row>
    <row r="625">
      <c r="A625" s="30"/>
      <c r="B625" s="12"/>
      <c r="C625" s="14"/>
      <c r="D625" s="14"/>
      <c r="E625" s="14"/>
      <c r="G625" s="16"/>
      <c r="H625" s="16"/>
      <c r="I625" s="14"/>
    </row>
    <row r="626">
      <c r="A626" s="30"/>
      <c r="B626" s="12"/>
      <c r="C626" s="14"/>
      <c r="D626" s="14"/>
      <c r="E626" s="14"/>
      <c r="G626" s="16"/>
      <c r="H626" s="16"/>
      <c r="I626" s="14"/>
    </row>
    <row r="627">
      <c r="A627" s="30"/>
      <c r="B627" s="12"/>
      <c r="C627" s="14"/>
      <c r="D627" s="14"/>
      <c r="E627" s="14"/>
      <c r="G627" s="16"/>
      <c r="H627" s="16"/>
      <c r="I627" s="14"/>
    </row>
    <row r="628">
      <c r="A628" s="30"/>
      <c r="B628" s="12"/>
      <c r="C628" s="14"/>
      <c r="D628" s="14"/>
      <c r="E628" s="14"/>
      <c r="G628" s="16"/>
      <c r="H628" s="16"/>
      <c r="I628" s="14"/>
    </row>
    <row r="629">
      <c r="A629" s="30"/>
      <c r="B629" s="12"/>
      <c r="C629" s="14"/>
      <c r="D629" s="14"/>
      <c r="E629" s="14"/>
      <c r="G629" s="16"/>
      <c r="H629" s="16"/>
      <c r="I629" s="14"/>
    </row>
    <row r="630">
      <c r="A630" s="30"/>
      <c r="B630" s="12"/>
      <c r="C630" s="14"/>
      <c r="D630" s="14"/>
      <c r="E630" s="14"/>
      <c r="G630" s="16"/>
      <c r="H630" s="16"/>
      <c r="I630" s="14"/>
    </row>
    <row r="631">
      <c r="A631" s="30"/>
      <c r="B631" s="12"/>
      <c r="C631" s="14"/>
      <c r="D631" s="14"/>
      <c r="E631" s="14"/>
      <c r="G631" s="16"/>
      <c r="H631" s="16"/>
      <c r="I631" s="14"/>
    </row>
    <row r="632">
      <c r="A632" s="30"/>
      <c r="B632" s="12"/>
      <c r="C632" s="14"/>
      <c r="D632" s="14"/>
      <c r="E632" s="14"/>
      <c r="G632" s="16"/>
      <c r="H632" s="16"/>
      <c r="I632" s="14"/>
    </row>
    <row r="633">
      <c r="A633" s="30"/>
      <c r="B633" s="12"/>
      <c r="C633" s="14"/>
      <c r="D633" s="14"/>
      <c r="E633" s="14"/>
      <c r="G633" s="16"/>
      <c r="H633" s="16"/>
      <c r="I633" s="14"/>
    </row>
    <row r="634">
      <c r="A634" s="30"/>
      <c r="B634" s="12"/>
      <c r="C634" s="14"/>
      <c r="D634" s="14"/>
      <c r="E634" s="14"/>
      <c r="G634" s="16"/>
      <c r="H634" s="16"/>
      <c r="I634" s="14"/>
    </row>
    <row r="635">
      <c r="A635" s="30"/>
      <c r="B635" s="12"/>
      <c r="C635" s="14"/>
      <c r="D635" s="14"/>
      <c r="E635" s="14"/>
      <c r="G635" s="16"/>
      <c r="H635" s="16"/>
      <c r="I635" s="14"/>
    </row>
    <row r="636">
      <c r="A636" s="30"/>
      <c r="B636" s="12"/>
      <c r="C636" s="14"/>
      <c r="D636" s="14"/>
      <c r="E636" s="14"/>
      <c r="G636" s="16"/>
      <c r="H636" s="16"/>
      <c r="I636" s="14"/>
    </row>
    <row r="637">
      <c r="A637" s="30"/>
      <c r="B637" s="12"/>
      <c r="C637" s="14"/>
      <c r="D637" s="14"/>
      <c r="E637" s="14"/>
      <c r="G637" s="16"/>
      <c r="H637" s="16"/>
      <c r="I637" s="14"/>
    </row>
    <row r="638">
      <c r="A638" s="30"/>
      <c r="B638" s="12"/>
      <c r="C638" s="14"/>
      <c r="D638" s="14"/>
      <c r="E638" s="14"/>
      <c r="G638" s="16"/>
      <c r="H638" s="16"/>
      <c r="I638" s="14"/>
    </row>
    <row r="639">
      <c r="A639" s="30"/>
      <c r="B639" s="12"/>
      <c r="C639" s="14"/>
      <c r="D639" s="14"/>
      <c r="E639" s="14"/>
      <c r="G639" s="16"/>
      <c r="H639" s="16"/>
      <c r="I639" s="14"/>
    </row>
    <row r="640">
      <c r="A640" s="30"/>
      <c r="B640" s="12"/>
      <c r="C640" s="14"/>
      <c r="D640" s="14"/>
      <c r="E640" s="14"/>
      <c r="G640" s="16"/>
      <c r="H640" s="16"/>
      <c r="I640" s="14"/>
    </row>
    <row r="641">
      <c r="A641" s="30"/>
      <c r="B641" s="12"/>
      <c r="C641" s="14"/>
      <c r="D641" s="14"/>
      <c r="E641" s="14"/>
      <c r="G641" s="16"/>
      <c r="H641" s="16"/>
      <c r="I641" s="14"/>
    </row>
    <row r="642">
      <c r="A642" s="30"/>
      <c r="B642" s="12"/>
      <c r="C642" s="14"/>
      <c r="D642" s="14"/>
      <c r="E642" s="14"/>
      <c r="G642" s="16"/>
      <c r="H642" s="16"/>
      <c r="I642" s="14"/>
    </row>
    <row r="643">
      <c r="A643" s="30"/>
      <c r="B643" s="12"/>
      <c r="C643" s="14"/>
      <c r="D643" s="14"/>
      <c r="E643" s="14"/>
      <c r="G643" s="16"/>
      <c r="H643" s="16"/>
      <c r="I643" s="14"/>
    </row>
    <row r="644">
      <c r="A644" s="30"/>
      <c r="B644" s="12"/>
      <c r="C644" s="14"/>
      <c r="D644" s="14"/>
      <c r="E644" s="14"/>
      <c r="G644" s="16"/>
      <c r="H644" s="16"/>
      <c r="I644" s="14"/>
    </row>
    <row r="645">
      <c r="A645" s="30"/>
      <c r="B645" s="12"/>
      <c r="C645" s="14"/>
      <c r="D645" s="14"/>
      <c r="E645" s="14"/>
      <c r="G645" s="16"/>
      <c r="H645" s="16"/>
      <c r="I645" s="14"/>
    </row>
    <row r="646">
      <c r="A646" s="30"/>
      <c r="B646" s="12"/>
      <c r="C646" s="14"/>
      <c r="D646" s="14"/>
      <c r="E646" s="14"/>
      <c r="G646" s="16"/>
      <c r="H646" s="16"/>
      <c r="I646" s="14"/>
    </row>
    <row r="647">
      <c r="A647" s="30"/>
      <c r="B647" s="12"/>
      <c r="C647" s="14"/>
      <c r="D647" s="14"/>
      <c r="E647" s="14"/>
      <c r="G647" s="16"/>
      <c r="H647" s="16"/>
      <c r="I647" s="14"/>
    </row>
    <row r="648">
      <c r="A648" s="30"/>
      <c r="B648" s="12"/>
      <c r="C648" s="14"/>
      <c r="D648" s="14"/>
      <c r="E648" s="14"/>
      <c r="G648" s="16"/>
      <c r="H648" s="16"/>
      <c r="I648" s="14"/>
    </row>
    <row r="649">
      <c r="A649" s="30"/>
      <c r="B649" s="12"/>
      <c r="C649" s="14"/>
      <c r="D649" s="14"/>
      <c r="E649" s="14"/>
      <c r="G649" s="16"/>
      <c r="H649" s="16"/>
      <c r="I649" s="14"/>
    </row>
    <row r="650">
      <c r="A650" s="30"/>
      <c r="B650" s="12"/>
      <c r="C650" s="14"/>
      <c r="D650" s="14"/>
      <c r="E650" s="14"/>
      <c r="G650" s="16"/>
      <c r="H650" s="16"/>
      <c r="I650" s="14"/>
    </row>
    <row r="651">
      <c r="A651" s="30"/>
      <c r="B651" s="12"/>
      <c r="C651" s="14"/>
      <c r="D651" s="14"/>
      <c r="E651" s="14"/>
      <c r="G651" s="16"/>
      <c r="H651" s="16"/>
      <c r="I651" s="14"/>
    </row>
    <row r="652">
      <c r="A652" s="30"/>
      <c r="B652" s="12"/>
      <c r="C652" s="14"/>
      <c r="D652" s="14"/>
      <c r="E652" s="14"/>
      <c r="G652" s="16"/>
      <c r="H652" s="16"/>
      <c r="I652" s="14"/>
    </row>
    <row r="653">
      <c r="A653" s="30"/>
      <c r="B653" s="12"/>
      <c r="C653" s="14"/>
      <c r="D653" s="14"/>
      <c r="E653" s="14"/>
      <c r="G653" s="16"/>
      <c r="H653" s="16"/>
      <c r="I653" s="14"/>
    </row>
    <row r="654">
      <c r="A654" s="30"/>
      <c r="B654" s="12"/>
      <c r="C654" s="14"/>
      <c r="D654" s="14"/>
      <c r="E654" s="14"/>
      <c r="G654" s="16"/>
      <c r="H654" s="16"/>
      <c r="I654" s="14"/>
    </row>
    <row r="655">
      <c r="A655" s="30"/>
      <c r="B655" s="12"/>
      <c r="C655" s="14"/>
      <c r="D655" s="14"/>
      <c r="E655" s="14"/>
      <c r="G655" s="16"/>
      <c r="H655" s="16"/>
      <c r="I655" s="14"/>
    </row>
    <row r="656">
      <c r="A656" s="30"/>
      <c r="B656" s="12"/>
      <c r="C656" s="14"/>
      <c r="D656" s="14"/>
      <c r="E656" s="14"/>
      <c r="G656" s="16"/>
      <c r="H656" s="16"/>
      <c r="I656" s="14"/>
    </row>
    <row r="657">
      <c r="A657" s="30"/>
      <c r="B657" s="12"/>
      <c r="C657" s="14"/>
      <c r="D657" s="14"/>
      <c r="E657" s="14"/>
      <c r="G657" s="16"/>
      <c r="H657" s="16"/>
      <c r="I657" s="14"/>
    </row>
    <row r="658">
      <c r="A658" s="30"/>
      <c r="B658" s="12"/>
      <c r="C658" s="14"/>
      <c r="D658" s="14"/>
      <c r="E658" s="14"/>
      <c r="G658" s="16"/>
      <c r="H658" s="16"/>
      <c r="I658" s="14"/>
    </row>
    <row r="659">
      <c r="A659" s="30"/>
      <c r="B659" s="12"/>
      <c r="C659" s="14"/>
      <c r="D659" s="14"/>
      <c r="E659" s="14"/>
      <c r="G659" s="16"/>
      <c r="H659" s="16"/>
      <c r="I659" s="14"/>
    </row>
    <row r="660">
      <c r="A660" s="30"/>
      <c r="B660" s="12"/>
      <c r="C660" s="14"/>
      <c r="D660" s="14"/>
      <c r="E660" s="14"/>
      <c r="G660" s="16"/>
      <c r="H660" s="16"/>
      <c r="I660" s="14"/>
    </row>
    <row r="661">
      <c r="A661" s="30"/>
      <c r="B661" s="12"/>
      <c r="C661" s="14"/>
      <c r="D661" s="14"/>
      <c r="E661" s="14"/>
      <c r="G661" s="16"/>
      <c r="H661" s="16"/>
      <c r="I661" s="14"/>
    </row>
    <row r="662">
      <c r="A662" s="30"/>
      <c r="B662" s="12"/>
      <c r="C662" s="14"/>
      <c r="D662" s="14"/>
      <c r="E662" s="14"/>
      <c r="G662" s="16"/>
      <c r="H662" s="16"/>
      <c r="I662" s="14"/>
    </row>
    <row r="663">
      <c r="A663" s="30"/>
      <c r="B663" s="12"/>
      <c r="C663" s="14"/>
      <c r="D663" s="14"/>
      <c r="E663" s="14"/>
      <c r="G663" s="16"/>
      <c r="H663" s="16"/>
      <c r="I663" s="14"/>
    </row>
    <row r="664">
      <c r="A664" s="30"/>
      <c r="B664" s="12"/>
      <c r="C664" s="14"/>
      <c r="D664" s="14"/>
      <c r="E664" s="14"/>
      <c r="G664" s="16"/>
      <c r="H664" s="16"/>
      <c r="I664" s="14"/>
    </row>
    <row r="665">
      <c r="A665" s="30"/>
      <c r="B665" s="12"/>
      <c r="C665" s="14"/>
      <c r="D665" s="14"/>
      <c r="E665" s="14"/>
      <c r="G665" s="16"/>
      <c r="H665" s="16"/>
      <c r="I665" s="14"/>
    </row>
    <row r="666">
      <c r="A666" s="30"/>
      <c r="B666" s="12"/>
      <c r="C666" s="14"/>
      <c r="D666" s="14"/>
      <c r="E666" s="14"/>
      <c r="G666" s="16"/>
      <c r="H666" s="16"/>
      <c r="I666" s="14"/>
    </row>
    <row r="667">
      <c r="A667" s="30"/>
      <c r="B667" s="12"/>
      <c r="C667" s="14"/>
      <c r="D667" s="14"/>
      <c r="E667" s="14"/>
      <c r="G667" s="16"/>
      <c r="H667" s="16"/>
      <c r="I667" s="14"/>
    </row>
    <row r="668">
      <c r="A668" s="30"/>
      <c r="B668" s="12"/>
      <c r="C668" s="14"/>
      <c r="D668" s="14"/>
      <c r="E668" s="14"/>
      <c r="G668" s="16"/>
      <c r="H668" s="16"/>
      <c r="I668" s="14"/>
    </row>
    <row r="669">
      <c r="A669" s="30"/>
      <c r="B669" s="12"/>
      <c r="C669" s="14"/>
      <c r="D669" s="14"/>
      <c r="E669" s="14"/>
      <c r="G669" s="16"/>
      <c r="H669" s="16"/>
      <c r="I669" s="14"/>
    </row>
    <row r="670">
      <c r="A670" s="30"/>
      <c r="B670" s="12"/>
      <c r="C670" s="14"/>
      <c r="D670" s="14"/>
      <c r="E670" s="14"/>
      <c r="G670" s="16"/>
      <c r="H670" s="16"/>
      <c r="I670" s="14"/>
    </row>
    <row r="671">
      <c r="A671" s="30"/>
      <c r="B671" s="12"/>
      <c r="C671" s="14"/>
      <c r="D671" s="14"/>
      <c r="E671" s="14"/>
      <c r="G671" s="16"/>
      <c r="H671" s="16"/>
      <c r="I671" s="14"/>
    </row>
    <row r="672">
      <c r="A672" s="30"/>
      <c r="B672" s="12"/>
      <c r="C672" s="14"/>
      <c r="D672" s="14"/>
      <c r="E672" s="14"/>
      <c r="G672" s="16"/>
      <c r="H672" s="16"/>
      <c r="I672" s="14"/>
    </row>
    <row r="673">
      <c r="A673" s="30"/>
      <c r="B673" s="12"/>
      <c r="C673" s="14"/>
      <c r="D673" s="14"/>
      <c r="E673" s="14"/>
      <c r="G673" s="16"/>
      <c r="H673" s="16"/>
      <c r="I673" s="14"/>
    </row>
    <row r="674">
      <c r="A674" s="30"/>
      <c r="B674" s="12"/>
      <c r="C674" s="14"/>
      <c r="D674" s="14"/>
      <c r="E674" s="14"/>
      <c r="G674" s="16"/>
      <c r="H674" s="16"/>
      <c r="I674" s="14"/>
    </row>
    <row r="675">
      <c r="A675" s="30"/>
      <c r="B675" s="12"/>
      <c r="C675" s="14"/>
      <c r="D675" s="14"/>
      <c r="E675" s="14"/>
      <c r="G675" s="16"/>
      <c r="H675" s="16"/>
      <c r="I675" s="14"/>
    </row>
    <row r="676">
      <c r="A676" s="30"/>
      <c r="B676" s="12"/>
      <c r="C676" s="14"/>
      <c r="D676" s="14"/>
      <c r="E676" s="14"/>
      <c r="G676" s="16"/>
      <c r="H676" s="16"/>
      <c r="I676" s="14"/>
    </row>
    <row r="677">
      <c r="A677" s="30"/>
      <c r="B677" s="12"/>
      <c r="C677" s="14"/>
      <c r="D677" s="14"/>
      <c r="E677" s="14"/>
      <c r="G677" s="16"/>
      <c r="H677" s="16"/>
      <c r="I677" s="14"/>
    </row>
    <row r="678">
      <c r="A678" s="30"/>
      <c r="B678" s="12"/>
      <c r="C678" s="14"/>
      <c r="D678" s="14"/>
      <c r="E678" s="14"/>
      <c r="G678" s="16"/>
      <c r="H678" s="16"/>
      <c r="I678" s="14"/>
    </row>
    <row r="679">
      <c r="A679" s="30"/>
      <c r="B679" s="12"/>
      <c r="C679" s="14"/>
      <c r="D679" s="14"/>
      <c r="E679" s="14"/>
      <c r="G679" s="16"/>
      <c r="H679" s="16"/>
      <c r="I679" s="14"/>
    </row>
    <row r="680">
      <c r="A680" s="30"/>
      <c r="B680" s="12"/>
      <c r="C680" s="14"/>
      <c r="D680" s="14"/>
      <c r="E680" s="14"/>
      <c r="G680" s="16"/>
      <c r="H680" s="16"/>
      <c r="I680" s="14"/>
    </row>
    <row r="681">
      <c r="A681" s="30"/>
      <c r="B681" s="12"/>
      <c r="C681" s="14"/>
      <c r="D681" s="14"/>
      <c r="E681" s="14"/>
      <c r="G681" s="16"/>
      <c r="H681" s="16"/>
      <c r="I681" s="14"/>
    </row>
    <row r="682">
      <c r="A682" s="30"/>
      <c r="B682" s="12"/>
      <c r="C682" s="14"/>
      <c r="D682" s="14"/>
      <c r="E682" s="14"/>
      <c r="G682" s="16"/>
      <c r="H682" s="16"/>
      <c r="I682" s="14"/>
    </row>
    <row r="683">
      <c r="A683" s="30"/>
      <c r="B683" s="12"/>
      <c r="C683" s="14"/>
      <c r="D683" s="14"/>
      <c r="E683" s="14"/>
      <c r="G683" s="16"/>
      <c r="H683" s="16"/>
      <c r="I683" s="14"/>
    </row>
    <row r="684">
      <c r="A684" s="30"/>
      <c r="B684" s="12"/>
      <c r="C684" s="14"/>
      <c r="D684" s="14"/>
      <c r="E684" s="14"/>
      <c r="G684" s="16"/>
      <c r="H684" s="16"/>
      <c r="I684" s="14"/>
    </row>
    <row r="685">
      <c r="A685" s="30"/>
      <c r="B685" s="12"/>
      <c r="C685" s="14"/>
      <c r="D685" s="14"/>
      <c r="E685" s="14"/>
      <c r="G685" s="16"/>
      <c r="H685" s="16"/>
      <c r="I685" s="14"/>
    </row>
    <row r="686">
      <c r="A686" s="30"/>
      <c r="B686" s="12"/>
      <c r="C686" s="14"/>
      <c r="D686" s="14"/>
      <c r="E686" s="14"/>
      <c r="G686" s="16"/>
      <c r="H686" s="16"/>
      <c r="I686" s="14"/>
    </row>
    <row r="687">
      <c r="A687" s="30"/>
      <c r="B687" s="12"/>
      <c r="C687" s="14"/>
      <c r="D687" s="14"/>
      <c r="E687" s="14"/>
      <c r="G687" s="16"/>
      <c r="H687" s="16"/>
      <c r="I687" s="14"/>
    </row>
    <row r="688">
      <c r="A688" s="30"/>
      <c r="B688" s="12"/>
      <c r="C688" s="14"/>
      <c r="D688" s="14"/>
      <c r="E688" s="14"/>
      <c r="G688" s="16"/>
      <c r="H688" s="16"/>
      <c r="I688" s="14"/>
    </row>
    <row r="689">
      <c r="A689" s="30"/>
      <c r="B689" s="12"/>
      <c r="C689" s="14"/>
      <c r="D689" s="14"/>
      <c r="E689" s="14"/>
      <c r="G689" s="16"/>
      <c r="H689" s="16"/>
      <c r="I689" s="14"/>
    </row>
    <row r="690">
      <c r="A690" s="30"/>
      <c r="B690" s="12"/>
      <c r="C690" s="14"/>
      <c r="D690" s="14"/>
      <c r="E690" s="14"/>
      <c r="G690" s="16"/>
      <c r="H690" s="16"/>
      <c r="I690" s="14"/>
    </row>
    <row r="691">
      <c r="A691" s="30"/>
      <c r="B691" s="12"/>
      <c r="C691" s="14"/>
      <c r="D691" s="14"/>
      <c r="E691" s="14"/>
      <c r="G691" s="16"/>
      <c r="H691" s="16"/>
      <c r="I691" s="14"/>
    </row>
    <row r="692">
      <c r="A692" s="30"/>
      <c r="B692" s="12"/>
      <c r="C692" s="14"/>
      <c r="D692" s="14"/>
      <c r="E692" s="14"/>
      <c r="G692" s="16"/>
      <c r="H692" s="16"/>
      <c r="I692" s="14"/>
    </row>
    <row r="693">
      <c r="A693" s="30"/>
      <c r="B693" s="12"/>
      <c r="C693" s="14"/>
      <c r="D693" s="14"/>
      <c r="E693" s="14"/>
      <c r="G693" s="16"/>
      <c r="H693" s="16"/>
      <c r="I693" s="14"/>
    </row>
    <row r="694">
      <c r="A694" s="30"/>
      <c r="B694" s="12"/>
      <c r="C694" s="14"/>
      <c r="D694" s="14"/>
      <c r="E694" s="14"/>
      <c r="G694" s="16"/>
      <c r="H694" s="16"/>
      <c r="I694" s="14"/>
    </row>
    <row r="695">
      <c r="A695" s="30"/>
      <c r="B695" s="12"/>
      <c r="C695" s="14"/>
      <c r="D695" s="14"/>
      <c r="E695" s="14"/>
      <c r="G695" s="16"/>
      <c r="H695" s="16"/>
      <c r="I695" s="14"/>
    </row>
    <row r="696">
      <c r="A696" s="30"/>
      <c r="B696" s="12"/>
      <c r="C696" s="14"/>
      <c r="D696" s="14"/>
      <c r="E696" s="14"/>
      <c r="G696" s="16"/>
      <c r="H696" s="16"/>
      <c r="I696" s="14"/>
    </row>
    <row r="697">
      <c r="A697" s="30"/>
      <c r="B697" s="12"/>
      <c r="C697" s="14"/>
      <c r="D697" s="14"/>
      <c r="E697" s="14"/>
      <c r="G697" s="16"/>
      <c r="H697" s="16"/>
      <c r="I697" s="14"/>
    </row>
    <row r="698">
      <c r="A698" s="30"/>
      <c r="B698" s="12"/>
      <c r="C698" s="14"/>
      <c r="D698" s="14"/>
      <c r="E698" s="14"/>
      <c r="G698" s="16"/>
      <c r="H698" s="16"/>
      <c r="I698" s="14"/>
    </row>
    <row r="699">
      <c r="A699" s="30"/>
      <c r="B699" s="12"/>
      <c r="C699" s="14"/>
      <c r="D699" s="14"/>
      <c r="E699" s="14"/>
      <c r="G699" s="16"/>
      <c r="H699" s="16"/>
      <c r="I699" s="14"/>
    </row>
    <row r="700">
      <c r="A700" s="30"/>
      <c r="B700" s="12"/>
      <c r="C700" s="14"/>
      <c r="D700" s="14"/>
      <c r="E700" s="14"/>
      <c r="G700" s="16"/>
      <c r="H700" s="16"/>
      <c r="I700" s="14"/>
    </row>
    <row r="701">
      <c r="A701" s="30"/>
      <c r="B701" s="12"/>
      <c r="C701" s="14"/>
      <c r="D701" s="14"/>
      <c r="E701" s="14"/>
      <c r="G701" s="16"/>
      <c r="H701" s="16"/>
      <c r="I701" s="14"/>
    </row>
    <row r="702">
      <c r="A702" s="30"/>
      <c r="B702" s="12"/>
      <c r="C702" s="14"/>
      <c r="D702" s="14"/>
      <c r="E702" s="14"/>
      <c r="G702" s="16"/>
      <c r="H702" s="16"/>
      <c r="I702" s="14"/>
    </row>
    <row r="703">
      <c r="A703" s="30"/>
      <c r="B703" s="12"/>
      <c r="C703" s="14"/>
      <c r="D703" s="14"/>
      <c r="E703" s="14"/>
      <c r="G703" s="16"/>
      <c r="H703" s="16"/>
      <c r="I703" s="14"/>
    </row>
    <row r="704">
      <c r="A704" s="30"/>
      <c r="B704" s="12"/>
      <c r="C704" s="14"/>
      <c r="D704" s="14"/>
      <c r="E704" s="14"/>
      <c r="G704" s="16"/>
      <c r="H704" s="16"/>
      <c r="I704" s="14"/>
    </row>
    <row r="705">
      <c r="A705" s="30"/>
      <c r="B705" s="12"/>
      <c r="C705" s="14"/>
      <c r="D705" s="14"/>
      <c r="E705" s="14"/>
      <c r="G705" s="16"/>
      <c r="H705" s="16"/>
      <c r="I705" s="14"/>
    </row>
    <row r="706">
      <c r="A706" s="30"/>
      <c r="B706" s="12"/>
      <c r="C706" s="14"/>
      <c r="D706" s="14"/>
      <c r="E706" s="14"/>
      <c r="G706" s="16"/>
      <c r="H706" s="16"/>
      <c r="I706" s="14"/>
    </row>
    <row r="707">
      <c r="A707" s="30"/>
      <c r="B707" s="12"/>
      <c r="C707" s="14"/>
      <c r="D707" s="14"/>
      <c r="E707" s="14"/>
      <c r="G707" s="16"/>
      <c r="H707" s="16"/>
      <c r="I707" s="14"/>
    </row>
    <row r="708">
      <c r="A708" s="30"/>
      <c r="B708" s="12"/>
      <c r="C708" s="14"/>
      <c r="D708" s="14"/>
      <c r="E708" s="14"/>
      <c r="G708" s="16"/>
      <c r="H708" s="16"/>
      <c r="I708" s="14"/>
    </row>
    <row r="709">
      <c r="A709" s="30"/>
      <c r="B709" s="12"/>
      <c r="C709" s="14"/>
      <c r="D709" s="14"/>
      <c r="E709" s="14"/>
      <c r="G709" s="16"/>
      <c r="H709" s="16"/>
      <c r="I709" s="14"/>
    </row>
    <row r="710">
      <c r="A710" s="30"/>
      <c r="B710" s="12"/>
      <c r="C710" s="14"/>
      <c r="D710" s="14"/>
      <c r="E710" s="14"/>
      <c r="G710" s="16"/>
      <c r="H710" s="16"/>
      <c r="I710" s="14"/>
    </row>
    <row r="711">
      <c r="A711" s="30"/>
      <c r="B711" s="12"/>
      <c r="C711" s="14"/>
      <c r="D711" s="14"/>
      <c r="E711" s="14"/>
      <c r="G711" s="16"/>
      <c r="H711" s="16"/>
      <c r="I711" s="14"/>
    </row>
    <row r="712">
      <c r="A712" s="30"/>
      <c r="B712" s="12"/>
      <c r="C712" s="14"/>
      <c r="D712" s="14"/>
      <c r="E712" s="14"/>
      <c r="G712" s="16"/>
      <c r="H712" s="16"/>
      <c r="I712" s="14"/>
    </row>
    <row r="713">
      <c r="A713" s="30"/>
      <c r="B713" s="12"/>
      <c r="C713" s="14"/>
      <c r="D713" s="14"/>
      <c r="E713" s="14"/>
      <c r="G713" s="16"/>
      <c r="H713" s="16"/>
      <c r="I713" s="14"/>
    </row>
    <row r="714">
      <c r="A714" s="30"/>
      <c r="B714" s="12"/>
      <c r="C714" s="14"/>
      <c r="D714" s="14"/>
      <c r="E714" s="14"/>
      <c r="G714" s="16"/>
      <c r="H714" s="16"/>
      <c r="I714" s="14"/>
    </row>
    <row r="715">
      <c r="A715" s="30"/>
      <c r="B715" s="12"/>
      <c r="C715" s="14"/>
      <c r="D715" s="14"/>
      <c r="E715" s="14"/>
      <c r="G715" s="16"/>
      <c r="H715" s="16"/>
      <c r="I715" s="14"/>
    </row>
    <row r="716">
      <c r="A716" s="30"/>
      <c r="B716" s="12"/>
      <c r="C716" s="14"/>
      <c r="D716" s="14"/>
      <c r="E716" s="14"/>
      <c r="G716" s="16"/>
      <c r="H716" s="16"/>
      <c r="I716" s="14"/>
    </row>
    <row r="717">
      <c r="A717" s="30"/>
      <c r="B717" s="12"/>
      <c r="C717" s="14"/>
      <c r="D717" s="14"/>
      <c r="E717" s="14"/>
      <c r="G717" s="16"/>
      <c r="H717" s="16"/>
      <c r="I717" s="14"/>
    </row>
    <row r="718">
      <c r="A718" s="30"/>
      <c r="B718" s="12"/>
      <c r="C718" s="14"/>
      <c r="D718" s="14"/>
      <c r="E718" s="14"/>
      <c r="G718" s="16"/>
      <c r="H718" s="16"/>
      <c r="I718" s="14"/>
    </row>
    <row r="719">
      <c r="A719" s="30"/>
      <c r="B719" s="12"/>
      <c r="C719" s="14"/>
      <c r="D719" s="14"/>
      <c r="E719" s="14"/>
      <c r="G719" s="16"/>
      <c r="H719" s="16"/>
      <c r="I719" s="14"/>
    </row>
    <row r="720">
      <c r="A720" s="30"/>
      <c r="B720" s="12"/>
      <c r="C720" s="14"/>
      <c r="D720" s="14"/>
      <c r="E720" s="14"/>
      <c r="G720" s="16"/>
      <c r="H720" s="16"/>
      <c r="I720" s="14"/>
    </row>
    <row r="721">
      <c r="A721" s="30"/>
      <c r="B721" s="12"/>
      <c r="C721" s="14"/>
      <c r="D721" s="14"/>
      <c r="E721" s="14"/>
      <c r="G721" s="16"/>
      <c r="H721" s="16"/>
      <c r="I721" s="14"/>
    </row>
    <row r="722">
      <c r="A722" s="30"/>
      <c r="B722" s="12"/>
      <c r="C722" s="14"/>
      <c r="D722" s="14"/>
      <c r="E722" s="14"/>
      <c r="G722" s="16"/>
      <c r="H722" s="16"/>
      <c r="I722" s="14"/>
    </row>
    <row r="723">
      <c r="A723" s="30"/>
      <c r="B723" s="12"/>
      <c r="C723" s="14"/>
      <c r="D723" s="14"/>
      <c r="E723" s="14"/>
      <c r="G723" s="16"/>
      <c r="H723" s="16"/>
      <c r="I723" s="14"/>
    </row>
    <row r="724">
      <c r="A724" s="30"/>
      <c r="B724" s="12"/>
      <c r="C724" s="14"/>
      <c r="D724" s="14"/>
      <c r="E724" s="14"/>
      <c r="G724" s="16"/>
      <c r="H724" s="16"/>
      <c r="I724" s="14"/>
    </row>
    <row r="725">
      <c r="A725" s="30"/>
      <c r="B725" s="12"/>
      <c r="C725" s="14"/>
      <c r="D725" s="14"/>
      <c r="E725" s="14"/>
      <c r="G725" s="16"/>
      <c r="H725" s="16"/>
      <c r="I725" s="14"/>
    </row>
    <row r="726">
      <c r="A726" s="30"/>
      <c r="B726" s="12"/>
      <c r="C726" s="14"/>
      <c r="D726" s="14"/>
      <c r="E726" s="14"/>
      <c r="G726" s="16"/>
      <c r="H726" s="16"/>
      <c r="I726" s="14"/>
    </row>
    <row r="727">
      <c r="A727" s="30"/>
      <c r="B727" s="12"/>
      <c r="C727" s="14"/>
      <c r="D727" s="14"/>
      <c r="E727" s="14"/>
      <c r="G727" s="16"/>
      <c r="H727" s="16"/>
      <c r="I727" s="14"/>
    </row>
    <row r="728">
      <c r="A728" s="30"/>
      <c r="B728" s="12"/>
      <c r="C728" s="14"/>
      <c r="D728" s="14"/>
      <c r="E728" s="14"/>
      <c r="G728" s="16"/>
      <c r="H728" s="16"/>
      <c r="I728" s="14"/>
    </row>
    <row r="729">
      <c r="A729" s="30"/>
      <c r="B729" s="12"/>
      <c r="C729" s="14"/>
      <c r="D729" s="14"/>
      <c r="E729" s="14"/>
      <c r="G729" s="16"/>
      <c r="H729" s="16"/>
      <c r="I729" s="14"/>
    </row>
    <row r="730">
      <c r="A730" s="30"/>
      <c r="B730" s="12"/>
      <c r="C730" s="14"/>
      <c r="D730" s="14"/>
      <c r="E730" s="14"/>
      <c r="G730" s="16"/>
      <c r="H730" s="16"/>
      <c r="I730" s="14"/>
    </row>
    <row r="731">
      <c r="A731" s="30"/>
      <c r="B731" s="12"/>
      <c r="C731" s="14"/>
      <c r="D731" s="14"/>
      <c r="E731" s="14"/>
      <c r="G731" s="16"/>
      <c r="H731" s="16"/>
      <c r="I731" s="14"/>
    </row>
    <row r="732">
      <c r="A732" s="30"/>
      <c r="B732" s="12"/>
      <c r="C732" s="14"/>
      <c r="D732" s="14"/>
      <c r="E732" s="14"/>
      <c r="G732" s="16"/>
      <c r="H732" s="16"/>
      <c r="I732" s="14"/>
    </row>
    <row r="733">
      <c r="A733" s="30"/>
      <c r="B733" s="12"/>
      <c r="C733" s="14"/>
      <c r="D733" s="14"/>
      <c r="E733" s="14"/>
      <c r="G733" s="16"/>
      <c r="H733" s="16"/>
      <c r="I733" s="14"/>
    </row>
    <row r="734">
      <c r="A734" s="30"/>
      <c r="B734" s="12"/>
      <c r="C734" s="14"/>
      <c r="D734" s="14"/>
      <c r="E734" s="14"/>
      <c r="G734" s="16"/>
      <c r="H734" s="16"/>
      <c r="I734" s="14"/>
    </row>
    <row r="735">
      <c r="A735" s="30"/>
      <c r="B735" s="12"/>
      <c r="C735" s="14"/>
      <c r="D735" s="14"/>
      <c r="E735" s="14"/>
      <c r="G735" s="16"/>
      <c r="H735" s="16"/>
      <c r="I735" s="14"/>
    </row>
    <row r="736">
      <c r="A736" s="30"/>
      <c r="B736" s="12"/>
      <c r="C736" s="14"/>
      <c r="D736" s="14"/>
      <c r="E736" s="14"/>
      <c r="G736" s="16"/>
      <c r="H736" s="16"/>
      <c r="I736" s="14"/>
    </row>
    <row r="737">
      <c r="A737" s="30"/>
      <c r="B737" s="12"/>
      <c r="C737" s="14"/>
      <c r="D737" s="14"/>
      <c r="E737" s="14"/>
      <c r="G737" s="16"/>
      <c r="H737" s="16"/>
      <c r="I737" s="14"/>
    </row>
    <row r="738">
      <c r="A738" s="30"/>
      <c r="B738" s="12"/>
      <c r="C738" s="14"/>
      <c r="D738" s="14"/>
      <c r="E738" s="14"/>
      <c r="G738" s="16"/>
      <c r="H738" s="16"/>
      <c r="I738" s="14"/>
    </row>
    <row r="739">
      <c r="A739" s="30"/>
      <c r="B739" s="12"/>
      <c r="C739" s="14"/>
      <c r="D739" s="14"/>
      <c r="E739" s="14"/>
      <c r="G739" s="16"/>
      <c r="H739" s="16"/>
      <c r="I739" s="14"/>
    </row>
    <row r="740">
      <c r="A740" s="30"/>
      <c r="B740" s="12"/>
      <c r="C740" s="14"/>
      <c r="D740" s="14"/>
      <c r="E740" s="14"/>
      <c r="G740" s="16"/>
      <c r="H740" s="16"/>
      <c r="I740" s="14"/>
    </row>
    <row r="741">
      <c r="A741" s="30"/>
      <c r="B741" s="12"/>
      <c r="C741" s="14"/>
      <c r="D741" s="14"/>
      <c r="E741" s="14"/>
      <c r="G741" s="16"/>
      <c r="H741" s="16"/>
      <c r="I741" s="14"/>
    </row>
    <row r="742">
      <c r="A742" s="30"/>
      <c r="B742" s="12"/>
      <c r="C742" s="14"/>
      <c r="D742" s="14"/>
      <c r="E742" s="14"/>
      <c r="G742" s="16"/>
      <c r="H742" s="16"/>
      <c r="I742" s="14"/>
    </row>
    <row r="743">
      <c r="A743" s="30"/>
      <c r="B743" s="12"/>
      <c r="C743" s="14"/>
      <c r="D743" s="14"/>
      <c r="E743" s="14"/>
      <c r="G743" s="16"/>
      <c r="H743" s="16"/>
      <c r="I743" s="14"/>
    </row>
    <row r="744">
      <c r="A744" s="30"/>
      <c r="B744" s="12"/>
      <c r="C744" s="14"/>
      <c r="D744" s="14"/>
      <c r="E744" s="14"/>
      <c r="G744" s="16"/>
      <c r="H744" s="16"/>
      <c r="I744" s="14"/>
    </row>
    <row r="745">
      <c r="A745" s="30"/>
      <c r="B745" s="12"/>
      <c r="C745" s="14"/>
      <c r="D745" s="14"/>
      <c r="E745" s="14"/>
      <c r="G745" s="16"/>
      <c r="H745" s="16"/>
      <c r="I745" s="14"/>
    </row>
    <row r="746">
      <c r="A746" s="30"/>
      <c r="B746" s="12"/>
      <c r="C746" s="14"/>
      <c r="D746" s="14"/>
      <c r="E746" s="14"/>
      <c r="G746" s="16"/>
      <c r="H746" s="16"/>
      <c r="I746" s="14"/>
    </row>
    <row r="747">
      <c r="A747" s="30"/>
      <c r="B747" s="12"/>
      <c r="C747" s="14"/>
      <c r="D747" s="14"/>
      <c r="E747" s="14"/>
      <c r="G747" s="16"/>
      <c r="H747" s="16"/>
      <c r="I747" s="14"/>
    </row>
    <row r="748">
      <c r="A748" s="30"/>
      <c r="B748" s="12"/>
      <c r="C748" s="14"/>
      <c r="D748" s="14"/>
      <c r="E748" s="14"/>
      <c r="G748" s="16"/>
      <c r="H748" s="16"/>
      <c r="I748" s="14"/>
    </row>
    <row r="749">
      <c r="A749" s="30"/>
      <c r="B749" s="12"/>
      <c r="C749" s="14"/>
      <c r="D749" s="14"/>
      <c r="E749" s="14"/>
      <c r="G749" s="16"/>
      <c r="H749" s="16"/>
      <c r="I749" s="14"/>
    </row>
    <row r="750">
      <c r="A750" s="30"/>
      <c r="B750" s="12"/>
      <c r="C750" s="14"/>
      <c r="D750" s="14"/>
      <c r="E750" s="14"/>
      <c r="G750" s="16"/>
      <c r="H750" s="16"/>
      <c r="I750" s="14"/>
    </row>
    <row r="751">
      <c r="A751" s="30"/>
      <c r="B751" s="12"/>
      <c r="C751" s="14"/>
      <c r="D751" s="14"/>
      <c r="E751" s="14"/>
      <c r="G751" s="16"/>
      <c r="H751" s="16"/>
      <c r="I751" s="14"/>
    </row>
    <row r="752">
      <c r="A752" s="30"/>
      <c r="B752" s="12"/>
      <c r="C752" s="14"/>
      <c r="D752" s="14"/>
      <c r="E752" s="14"/>
      <c r="G752" s="16"/>
      <c r="H752" s="16"/>
      <c r="I752" s="14"/>
    </row>
    <row r="753">
      <c r="A753" s="30"/>
      <c r="B753" s="12"/>
      <c r="C753" s="14"/>
      <c r="D753" s="14"/>
      <c r="E753" s="14"/>
      <c r="G753" s="16"/>
      <c r="H753" s="16"/>
      <c r="I753" s="14"/>
    </row>
    <row r="754">
      <c r="A754" s="30"/>
      <c r="B754" s="12"/>
      <c r="C754" s="14"/>
      <c r="D754" s="14"/>
      <c r="E754" s="14"/>
      <c r="G754" s="16"/>
      <c r="H754" s="16"/>
      <c r="I754" s="14"/>
    </row>
    <row r="755">
      <c r="A755" s="30"/>
      <c r="B755" s="12"/>
      <c r="C755" s="14"/>
      <c r="D755" s="14"/>
      <c r="E755" s="14"/>
      <c r="G755" s="16"/>
      <c r="H755" s="16"/>
      <c r="I755" s="14"/>
    </row>
    <row r="756">
      <c r="A756" s="30"/>
      <c r="B756" s="12"/>
      <c r="C756" s="14"/>
      <c r="D756" s="14"/>
      <c r="E756" s="14"/>
      <c r="G756" s="16"/>
      <c r="H756" s="16"/>
      <c r="I756" s="14"/>
    </row>
    <row r="757">
      <c r="A757" s="30"/>
      <c r="B757" s="12"/>
      <c r="C757" s="14"/>
      <c r="D757" s="14"/>
      <c r="E757" s="14"/>
      <c r="G757" s="16"/>
      <c r="H757" s="16"/>
      <c r="I757" s="14"/>
    </row>
    <row r="758">
      <c r="A758" s="30"/>
      <c r="B758" s="12"/>
      <c r="C758" s="14"/>
      <c r="D758" s="14"/>
      <c r="E758" s="14"/>
      <c r="G758" s="16"/>
      <c r="H758" s="16"/>
      <c r="I758" s="14"/>
    </row>
    <row r="759">
      <c r="A759" s="30"/>
      <c r="B759" s="12"/>
      <c r="C759" s="14"/>
      <c r="D759" s="14"/>
      <c r="E759" s="14"/>
      <c r="G759" s="16"/>
      <c r="H759" s="16"/>
      <c r="I759" s="14"/>
    </row>
    <row r="760">
      <c r="A760" s="30"/>
      <c r="B760" s="12"/>
      <c r="C760" s="14"/>
      <c r="D760" s="14"/>
      <c r="E760" s="14"/>
      <c r="G760" s="16"/>
      <c r="H760" s="16"/>
      <c r="I760" s="14"/>
    </row>
    <row r="761">
      <c r="A761" s="30"/>
      <c r="B761" s="12"/>
      <c r="C761" s="14"/>
      <c r="D761" s="14"/>
      <c r="E761" s="14"/>
      <c r="G761" s="16"/>
      <c r="H761" s="16"/>
      <c r="I761" s="14"/>
    </row>
    <row r="762">
      <c r="A762" s="30"/>
      <c r="B762" s="12"/>
      <c r="C762" s="14"/>
      <c r="D762" s="14"/>
      <c r="E762" s="14"/>
      <c r="G762" s="16"/>
      <c r="H762" s="16"/>
      <c r="I762" s="14"/>
    </row>
    <row r="763">
      <c r="A763" s="30"/>
      <c r="B763" s="12"/>
      <c r="C763" s="14"/>
      <c r="D763" s="14"/>
      <c r="E763" s="14"/>
      <c r="G763" s="16"/>
      <c r="H763" s="16"/>
      <c r="I763" s="14"/>
    </row>
    <row r="764">
      <c r="A764" s="30"/>
      <c r="B764" s="12"/>
      <c r="C764" s="14"/>
      <c r="D764" s="14"/>
      <c r="E764" s="14"/>
      <c r="G764" s="16"/>
      <c r="H764" s="16"/>
      <c r="I764" s="14"/>
    </row>
    <row r="765">
      <c r="A765" s="30"/>
      <c r="B765" s="12"/>
      <c r="C765" s="14"/>
      <c r="D765" s="14"/>
      <c r="E765" s="14"/>
      <c r="G765" s="16"/>
      <c r="H765" s="16"/>
      <c r="I765" s="14"/>
    </row>
    <row r="766">
      <c r="A766" s="30"/>
      <c r="B766" s="12"/>
      <c r="C766" s="14"/>
      <c r="D766" s="14"/>
      <c r="E766" s="14"/>
      <c r="G766" s="16"/>
      <c r="H766" s="16"/>
      <c r="I766" s="14"/>
    </row>
    <row r="767">
      <c r="A767" s="30"/>
      <c r="B767" s="12"/>
      <c r="C767" s="14"/>
      <c r="D767" s="14"/>
      <c r="E767" s="14"/>
      <c r="G767" s="16"/>
      <c r="H767" s="16"/>
      <c r="I767" s="14"/>
    </row>
    <row r="768">
      <c r="A768" s="30"/>
      <c r="B768" s="12"/>
      <c r="C768" s="14"/>
      <c r="D768" s="14"/>
      <c r="E768" s="14"/>
      <c r="G768" s="16"/>
      <c r="H768" s="16"/>
      <c r="I768" s="14"/>
    </row>
    <row r="769">
      <c r="A769" s="30"/>
      <c r="B769" s="12"/>
      <c r="C769" s="14"/>
      <c r="D769" s="14"/>
      <c r="E769" s="14"/>
      <c r="G769" s="16"/>
      <c r="H769" s="16"/>
      <c r="I769" s="14"/>
    </row>
    <row r="770">
      <c r="A770" s="30"/>
      <c r="B770" s="12"/>
      <c r="C770" s="14"/>
      <c r="D770" s="14"/>
      <c r="E770" s="14"/>
      <c r="G770" s="16"/>
      <c r="H770" s="16"/>
      <c r="I770" s="14"/>
    </row>
    <row r="771">
      <c r="A771" s="30"/>
      <c r="B771" s="12"/>
      <c r="C771" s="14"/>
      <c r="D771" s="14"/>
      <c r="E771" s="14"/>
      <c r="G771" s="16"/>
      <c r="H771" s="16"/>
      <c r="I771" s="14"/>
    </row>
    <row r="772">
      <c r="A772" s="30"/>
      <c r="B772" s="12"/>
      <c r="C772" s="14"/>
      <c r="D772" s="14"/>
      <c r="E772" s="14"/>
      <c r="G772" s="16"/>
      <c r="H772" s="16"/>
      <c r="I772" s="14"/>
    </row>
    <row r="773">
      <c r="A773" s="30"/>
      <c r="B773" s="12"/>
      <c r="C773" s="14"/>
      <c r="D773" s="14"/>
      <c r="E773" s="14"/>
      <c r="G773" s="16"/>
      <c r="H773" s="16"/>
      <c r="I773" s="14"/>
    </row>
    <row r="774">
      <c r="A774" s="30"/>
      <c r="B774" s="12"/>
      <c r="C774" s="14"/>
      <c r="D774" s="14"/>
      <c r="E774" s="14"/>
      <c r="G774" s="16"/>
      <c r="H774" s="16"/>
      <c r="I774" s="14"/>
    </row>
    <row r="775">
      <c r="A775" s="30"/>
      <c r="B775" s="12"/>
      <c r="C775" s="14"/>
      <c r="D775" s="14"/>
      <c r="E775" s="14"/>
      <c r="G775" s="16"/>
      <c r="H775" s="16"/>
      <c r="I775" s="14"/>
    </row>
    <row r="776">
      <c r="A776" s="30"/>
      <c r="B776" s="12"/>
      <c r="C776" s="14"/>
      <c r="D776" s="14"/>
      <c r="E776" s="14"/>
      <c r="G776" s="16"/>
      <c r="H776" s="16"/>
      <c r="I776" s="14"/>
    </row>
    <row r="777">
      <c r="A777" s="30"/>
      <c r="B777" s="12"/>
      <c r="C777" s="14"/>
      <c r="D777" s="14"/>
      <c r="E777" s="14"/>
      <c r="G777" s="16"/>
      <c r="H777" s="16"/>
      <c r="I777" s="14"/>
    </row>
    <row r="778">
      <c r="A778" s="30"/>
      <c r="B778" s="12"/>
      <c r="C778" s="14"/>
      <c r="D778" s="14"/>
      <c r="E778" s="14"/>
      <c r="G778" s="16"/>
      <c r="H778" s="16"/>
      <c r="I778" s="14"/>
    </row>
    <row r="779">
      <c r="A779" s="30"/>
      <c r="B779" s="12"/>
      <c r="C779" s="14"/>
      <c r="D779" s="14"/>
      <c r="E779" s="14"/>
      <c r="G779" s="16"/>
      <c r="H779" s="16"/>
      <c r="I779" s="14"/>
    </row>
    <row r="780">
      <c r="A780" s="30"/>
      <c r="B780" s="12"/>
      <c r="C780" s="14"/>
      <c r="D780" s="14"/>
      <c r="E780" s="14"/>
      <c r="G780" s="16"/>
      <c r="H780" s="16"/>
      <c r="I780" s="14"/>
    </row>
    <row r="781">
      <c r="A781" s="30"/>
      <c r="B781" s="12"/>
      <c r="C781" s="14"/>
      <c r="D781" s="14"/>
      <c r="E781" s="14"/>
      <c r="G781" s="16"/>
      <c r="H781" s="16"/>
      <c r="I781" s="14"/>
    </row>
    <row r="782">
      <c r="A782" s="30"/>
      <c r="B782" s="12"/>
      <c r="C782" s="14"/>
      <c r="D782" s="14"/>
      <c r="E782" s="14"/>
      <c r="G782" s="16"/>
      <c r="H782" s="16"/>
      <c r="I782" s="14"/>
    </row>
    <row r="783">
      <c r="A783" s="30"/>
      <c r="B783" s="12"/>
      <c r="C783" s="14"/>
      <c r="D783" s="14"/>
      <c r="E783" s="14"/>
      <c r="G783" s="16"/>
      <c r="H783" s="16"/>
      <c r="I783" s="14"/>
    </row>
    <row r="784">
      <c r="A784" s="30"/>
      <c r="B784" s="12"/>
      <c r="C784" s="14"/>
      <c r="D784" s="14"/>
      <c r="E784" s="14"/>
      <c r="G784" s="16"/>
      <c r="H784" s="16"/>
      <c r="I784" s="14"/>
    </row>
    <row r="785">
      <c r="A785" s="30"/>
      <c r="B785" s="12"/>
      <c r="C785" s="14"/>
      <c r="D785" s="14"/>
      <c r="E785" s="14"/>
      <c r="G785" s="16"/>
      <c r="H785" s="16"/>
      <c r="I785" s="14"/>
    </row>
    <row r="786">
      <c r="A786" s="30"/>
      <c r="B786" s="12"/>
      <c r="C786" s="14"/>
      <c r="D786" s="14"/>
      <c r="E786" s="14"/>
      <c r="G786" s="16"/>
      <c r="H786" s="16"/>
      <c r="I786" s="14"/>
    </row>
    <row r="787">
      <c r="A787" s="30"/>
      <c r="B787" s="12"/>
      <c r="C787" s="14"/>
      <c r="D787" s="14"/>
      <c r="E787" s="14"/>
      <c r="G787" s="16"/>
      <c r="H787" s="16"/>
      <c r="I787" s="14"/>
    </row>
    <row r="788">
      <c r="A788" s="30"/>
      <c r="B788" s="12"/>
      <c r="C788" s="14"/>
      <c r="D788" s="14"/>
      <c r="E788" s="14"/>
      <c r="G788" s="16"/>
      <c r="H788" s="16"/>
      <c r="I788" s="14"/>
    </row>
    <row r="789">
      <c r="A789" s="30"/>
      <c r="B789" s="12"/>
      <c r="C789" s="14"/>
      <c r="D789" s="14"/>
      <c r="E789" s="14"/>
      <c r="G789" s="16"/>
      <c r="H789" s="16"/>
      <c r="I789" s="14"/>
    </row>
    <row r="790">
      <c r="A790" s="30"/>
      <c r="B790" s="12"/>
      <c r="C790" s="14"/>
      <c r="D790" s="14"/>
      <c r="E790" s="14"/>
      <c r="G790" s="16"/>
      <c r="H790" s="16"/>
      <c r="I790" s="14"/>
    </row>
    <row r="791">
      <c r="A791" s="30"/>
      <c r="B791" s="12"/>
      <c r="C791" s="14"/>
      <c r="D791" s="14"/>
      <c r="E791" s="14"/>
      <c r="G791" s="16"/>
      <c r="H791" s="16"/>
      <c r="I791" s="14"/>
    </row>
    <row r="792">
      <c r="A792" s="30"/>
      <c r="B792" s="12"/>
      <c r="C792" s="14"/>
      <c r="D792" s="14"/>
      <c r="E792" s="14"/>
      <c r="G792" s="16"/>
      <c r="H792" s="16"/>
      <c r="I792" s="14"/>
    </row>
    <row r="793">
      <c r="A793" s="30"/>
      <c r="B793" s="12"/>
      <c r="C793" s="14"/>
      <c r="D793" s="14"/>
      <c r="E793" s="14"/>
      <c r="G793" s="16"/>
      <c r="H793" s="16"/>
      <c r="I793" s="14"/>
    </row>
    <row r="794">
      <c r="A794" s="30"/>
      <c r="B794" s="12"/>
      <c r="C794" s="14"/>
      <c r="D794" s="14"/>
      <c r="E794" s="14"/>
      <c r="G794" s="16"/>
      <c r="H794" s="16"/>
      <c r="I794" s="14"/>
    </row>
    <row r="795">
      <c r="A795" s="30"/>
      <c r="B795" s="12"/>
      <c r="C795" s="14"/>
      <c r="D795" s="14"/>
      <c r="E795" s="14"/>
      <c r="G795" s="16"/>
      <c r="H795" s="16"/>
      <c r="I795" s="14"/>
    </row>
    <row r="796">
      <c r="A796" s="30"/>
      <c r="B796" s="12"/>
      <c r="C796" s="14"/>
      <c r="D796" s="14"/>
      <c r="E796" s="14"/>
      <c r="G796" s="16"/>
      <c r="H796" s="16"/>
      <c r="I796" s="14"/>
    </row>
    <row r="797">
      <c r="A797" s="30"/>
      <c r="B797" s="12"/>
      <c r="C797" s="14"/>
      <c r="D797" s="14"/>
      <c r="E797" s="14"/>
      <c r="G797" s="16"/>
      <c r="H797" s="16"/>
      <c r="I797" s="14"/>
    </row>
    <row r="798">
      <c r="A798" s="30"/>
      <c r="B798" s="12"/>
      <c r="C798" s="14"/>
      <c r="D798" s="14"/>
      <c r="E798" s="14"/>
      <c r="G798" s="16"/>
      <c r="H798" s="16"/>
      <c r="I798" s="14"/>
    </row>
    <row r="799">
      <c r="A799" s="30"/>
      <c r="B799" s="12"/>
      <c r="C799" s="14"/>
      <c r="D799" s="14"/>
      <c r="E799" s="14"/>
      <c r="G799" s="16"/>
      <c r="H799" s="16"/>
      <c r="I799" s="14"/>
    </row>
    <row r="800">
      <c r="A800" s="30"/>
      <c r="B800" s="12"/>
      <c r="C800" s="14"/>
      <c r="D800" s="14"/>
      <c r="E800" s="14"/>
      <c r="G800" s="16"/>
      <c r="H800" s="16"/>
      <c r="I800" s="14"/>
    </row>
    <row r="801">
      <c r="A801" s="30"/>
      <c r="B801" s="12"/>
      <c r="C801" s="14"/>
      <c r="D801" s="14"/>
      <c r="E801" s="14"/>
      <c r="G801" s="16"/>
      <c r="H801" s="16"/>
      <c r="I801" s="14"/>
    </row>
    <row r="802">
      <c r="A802" s="30"/>
      <c r="B802" s="12"/>
      <c r="C802" s="14"/>
      <c r="D802" s="14"/>
      <c r="E802" s="14"/>
      <c r="G802" s="16"/>
      <c r="H802" s="16"/>
      <c r="I802" s="14"/>
    </row>
    <row r="803">
      <c r="A803" s="30"/>
      <c r="B803" s="12"/>
      <c r="C803" s="14"/>
      <c r="D803" s="14"/>
      <c r="E803" s="14"/>
      <c r="G803" s="16"/>
      <c r="H803" s="16"/>
      <c r="I803" s="14"/>
    </row>
    <row r="804">
      <c r="A804" s="30"/>
      <c r="B804" s="12"/>
      <c r="C804" s="14"/>
      <c r="D804" s="14"/>
      <c r="E804" s="14"/>
      <c r="G804" s="16"/>
      <c r="H804" s="16"/>
      <c r="I804" s="14"/>
    </row>
    <row r="805">
      <c r="A805" s="30"/>
      <c r="B805" s="12"/>
      <c r="C805" s="14"/>
      <c r="D805" s="14"/>
      <c r="E805" s="14"/>
      <c r="G805" s="16"/>
      <c r="H805" s="16"/>
      <c r="I805" s="14"/>
    </row>
    <row r="806">
      <c r="A806" s="30"/>
      <c r="B806" s="12"/>
      <c r="C806" s="14"/>
      <c r="D806" s="14"/>
      <c r="E806" s="14"/>
      <c r="G806" s="16"/>
      <c r="H806" s="16"/>
      <c r="I806" s="14"/>
    </row>
    <row r="807">
      <c r="A807" s="30"/>
      <c r="B807" s="12"/>
      <c r="C807" s="14"/>
      <c r="D807" s="14"/>
      <c r="E807" s="14"/>
      <c r="G807" s="16"/>
      <c r="H807" s="16"/>
      <c r="I807" s="14"/>
    </row>
    <row r="808">
      <c r="A808" s="30"/>
      <c r="B808" s="12"/>
      <c r="C808" s="14"/>
      <c r="D808" s="14"/>
      <c r="E808" s="14"/>
      <c r="G808" s="16"/>
      <c r="H808" s="16"/>
      <c r="I808" s="14"/>
    </row>
    <row r="809">
      <c r="A809" s="30"/>
      <c r="B809" s="12"/>
      <c r="C809" s="14"/>
      <c r="D809" s="14"/>
      <c r="E809" s="14"/>
      <c r="G809" s="16"/>
      <c r="H809" s="16"/>
      <c r="I809" s="14"/>
    </row>
    <row r="810">
      <c r="A810" s="30"/>
      <c r="B810" s="12"/>
      <c r="C810" s="14"/>
      <c r="D810" s="14"/>
      <c r="E810" s="14"/>
      <c r="G810" s="16"/>
      <c r="H810" s="16"/>
      <c r="I810" s="14"/>
    </row>
    <row r="811">
      <c r="A811" s="30"/>
      <c r="B811" s="12"/>
      <c r="C811" s="14"/>
      <c r="D811" s="14"/>
      <c r="E811" s="14"/>
      <c r="G811" s="16"/>
      <c r="H811" s="16"/>
      <c r="I811" s="14"/>
    </row>
    <row r="812">
      <c r="A812" s="30"/>
      <c r="B812" s="12"/>
      <c r="C812" s="14"/>
      <c r="D812" s="14"/>
      <c r="E812" s="14"/>
      <c r="G812" s="16"/>
      <c r="H812" s="16"/>
      <c r="I812" s="14"/>
    </row>
    <row r="813">
      <c r="A813" s="30"/>
      <c r="B813" s="12"/>
      <c r="C813" s="14"/>
      <c r="D813" s="14"/>
      <c r="E813" s="14"/>
      <c r="G813" s="16"/>
      <c r="H813" s="16"/>
      <c r="I813" s="14"/>
    </row>
    <row r="814">
      <c r="A814" s="30"/>
      <c r="B814" s="12"/>
      <c r="C814" s="14"/>
      <c r="D814" s="14"/>
      <c r="E814" s="14"/>
      <c r="G814" s="16"/>
      <c r="H814" s="16"/>
      <c r="I814" s="14"/>
    </row>
    <row r="815">
      <c r="A815" s="30"/>
      <c r="B815" s="12"/>
      <c r="C815" s="14"/>
      <c r="D815" s="14"/>
      <c r="E815" s="14"/>
      <c r="G815" s="16"/>
      <c r="H815" s="16"/>
      <c r="I815" s="14"/>
    </row>
    <row r="816">
      <c r="A816" s="30"/>
      <c r="B816" s="12"/>
      <c r="C816" s="14"/>
      <c r="D816" s="14"/>
      <c r="E816" s="14"/>
      <c r="G816" s="16"/>
      <c r="H816" s="16"/>
      <c r="I816" s="14"/>
    </row>
    <row r="817">
      <c r="A817" s="30"/>
      <c r="B817" s="12"/>
      <c r="C817" s="14"/>
      <c r="D817" s="14"/>
      <c r="E817" s="14"/>
      <c r="G817" s="16"/>
      <c r="H817" s="16"/>
      <c r="I817" s="14"/>
    </row>
    <row r="818">
      <c r="A818" s="30"/>
      <c r="B818" s="12"/>
      <c r="C818" s="14"/>
      <c r="D818" s="14"/>
      <c r="E818" s="14"/>
      <c r="G818" s="16"/>
      <c r="H818" s="16"/>
      <c r="I818" s="14"/>
    </row>
    <row r="819">
      <c r="A819" s="30"/>
      <c r="B819" s="12"/>
      <c r="C819" s="14"/>
      <c r="D819" s="14"/>
      <c r="E819" s="14"/>
      <c r="G819" s="16"/>
      <c r="H819" s="16"/>
      <c r="I819" s="14"/>
    </row>
    <row r="820">
      <c r="A820" s="30"/>
      <c r="B820" s="12"/>
      <c r="C820" s="14"/>
      <c r="D820" s="14"/>
      <c r="E820" s="14"/>
      <c r="G820" s="16"/>
      <c r="H820" s="16"/>
      <c r="I820" s="14"/>
    </row>
    <row r="821">
      <c r="A821" s="30"/>
      <c r="B821" s="12"/>
      <c r="C821" s="14"/>
      <c r="D821" s="14"/>
      <c r="E821" s="14"/>
      <c r="G821" s="16"/>
      <c r="H821" s="16"/>
      <c r="I821" s="14"/>
    </row>
    <row r="822">
      <c r="A822" s="30"/>
      <c r="B822" s="12"/>
      <c r="C822" s="14"/>
      <c r="D822" s="14"/>
      <c r="E822" s="14"/>
      <c r="G822" s="16"/>
      <c r="H822" s="16"/>
      <c r="I822" s="14"/>
    </row>
    <row r="823">
      <c r="A823" s="30"/>
      <c r="B823" s="12"/>
      <c r="C823" s="14"/>
      <c r="D823" s="14"/>
      <c r="E823" s="14"/>
      <c r="G823" s="16"/>
      <c r="H823" s="16"/>
      <c r="I823" s="14"/>
    </row>
    <row r="824">
      <c r="A824" s="30"/>
      <c r="B824" s="12"/>
      <c r="C824" s="14"/>
      <c r="D824" s="14"/>
      <c r="E824" s="14"/>
      <c r="G824" s="16"/>
      <c r="H824" s="16"/>
      <c r="I824" s="14"/>
    </row>
    <row r="825">
      <c r="A825" s="30"/>
      <c r="B825" s="12"/>
      <c r="C825" s="14"/>
      <c r="D825" s="14"/>
      <c r="E825" s="14"/>
      <c r="G825" s="16"/>
      <c r="H825" s="16"/>
      <c r="I825" s="14"/>
    </row>
    <row r="826">
      <c r="A826" s="30"/>
      <c r="B826" s="12"/>
      <c r="C826" s="14"/>
      <c r="D826" s="14"/>
      <c r="E826" s="14"/>
      <c r="G826" s="16"/>
      <c r="H826" s="16"/>
      <c r="I826" s="14"/>
    </row>
    <row r="827">
      <c r="A827" s="30"/>
      <c r="B827" s="12"/>
      <c r="C827" s="14"/>
      <c r="D827" s="14"/>
      <c r="E827" s="14"/>
      <c r="G827" s="16"/>
      <c r="H827" s="16"/>
      <c r="I827" s="14"/>
    </row>
    <row r="828">
      <c r="A828" s="30"/>
      <c r="B828" s="12"/>
      <c r="C828" s="14"/>
      <c r="D828" s="14"/>
      <c r="E828" s="14"/>
      <c r="G828" s="16"/>
      <c r="H828" s="16"/>
      <c r="I828" s="14"/>
    </row>
    <row r="829">
      <c r="A829" s="30"/>
      <c r="B829" s="12"/>
      <c r="C829" s="14"/>
      <c r="D829" s="14"/>
      <c r="E829" s="14"/>
      <c r="G829" s="16"/>
      <c r="H829" s="16"/>
      <c r="I829" s="14"/>
    </row>
    <row r="830">
      <c r="A830" s="30"/>
      <c r="B830" s="12"/>
      <c r="C830" s="14"/>
      <c r="D830" s="14"/>
      <c r="E830" s="14"/>
      <c r="G830" s="16"/>
      <c r="H830" s="16"/>
      <c r="I830" s="14"/>
    </row>
    <row r="831">
      <c r="A831" s="30"/>
      <c r="B831" s="12"/>
      <c r="C831" s="14"/>
      <c r="D831" s="14"/>
      <c r="E831" s="14"/>
      <c r="G831" s="16"/>
      <c r="H831" s="16"/>
      <c r="I831" s="14"/>
    </row>
    <row r="832">
      <c r="A832" s="30"/>
      <c r="B832" s="12"/>
      <c r="C832" s="14"/>
      <c r="D832" s="14"/>
      <c r="E832" s="14"/>
      <c r="G832" s="16"/>
      <c r="H832" s="16"/>
      <c r="I832" s="14"/>
    </row>
    <row r="833">
      <c r="A833" s="30"/>
      <c r="B833" s="12"/>
      <c r="C833" s="14"/>
      <c r="D833" s="14"/>
      <c r="E833" s="14"/>
      <c r="G833" s="16"/>
      <c r="H833" s="16"/>
      <c r="I833" s="14"/>
    </row>
    <row r="834">
      <c r="A834" s="30"/>
      <c r="B834" s="12"/>
      <c r="C834" s="14"/>
      <c r="D834" s="14"/>
      <c r="E834" s="14"/>
      <c r="G834" s="16"/>
      <c r="H834" s="16"/>
      <c r="I834" s="14"/>
    </row>
    <row r="835">
      <c r="A835" s="30"/>
      <c r="B835" s="12"/>
      <c r="C835" s="14"/>
      <c r="D835" s="14"/>
      <c r="E835" s="14"/>
      <c r="G835" s="16"/>
      <c r="H835" s="16"/>
      <c r="I835" s="14"/>
    </row>
    <row r="836">
      <c r="A836" s="30"/>
      <c r="B836" s="12"/>
      <c r="C836" s="14"/>
      <c r="D836" s="14"/>
      <c r="E836" s="14"/>
      <c r="G836" s="16"/>
      <c r="H836" s="16"/>
      <c r="I836" s="14"/>
    </row>
    <row r="837">
      <c r="A837" s="30"/>
      <c r="B837" s="12"/>
      <c r="C837" s="14"/>
      <c r="D837" s="14"/>
      <c r="E837" s="14"/>
      <c r="G837" s="16"/>
      <c r="H837" s="16"/>
      <c r="I837" s="14"/>
    </row>
    <row r="838">
      <c r="A838" s="30"/>
      <c r="B838" s="12"/>
      <c r="C838" s="14"/>
      <c r="D838" s="14"/>
      <c r="E838" s="14"/>
      <c r="G838" s="16"/>
      <c r="H838" s="16"/>
      <c r="I838" s="14"/>
    </row>
    <row r="839">
      <c r="A839" s="30"/>
      <c r="B839" s="12"/>
      <c r="C839" s="14"/>
      <c r="D839" s="14"/>
      <c r="E839" s="14"/>
      <c r="G839" s="16"/>
      <c r="H839" s="16"/>
      <c r="I839" s="14"/>
    </row>
    <row r="840">
      <c r="A840" s="30"/>
      <c r="B840" s="12"/>
      <c r="C840" s="14"/>
      <c r="D840" s="14"/>
      <c r="E840" s="14"/>
      <c r="G840" s="16"/>
      <c r="H840" s="16"/>
      <c r="I840" s="14"/>
    </row>
    <row r="841">
      <c r="A841" s="30"/>
      <c r="B841" s="12"/>
      <c r="C841" s="14"/>
      <c r="D841" s="14"/>
      <c r="E841" s="14"/>
      <c r="G841" s="16"/>
      <c r="H841" s="16"/>
      <c r="I841" s="14"/>
    </row>
    <row r="842">
      <c r="A842" s="30"/>
      <c r="B842" s="12"/>
      <c r="C842" s="14"/>
      <c r="D842" s="14"/>
      <c r="E842" s="14"/>
      <c r="G842" s="16"/>
      <c r="H842" s="16"/>
      <c r="I842" s="14"/>
    </row>
    <row r="843">
      <c r="A843" s="30"/>
      <c r="B843" s="12"/>
      <c r="C843" s="14"/>
      <c r="D843" s="14"/>
      <c r="E843" s="14"/>
      <c r="G843" s="16"/>
      <c r="H843" s="16"/>
      <c r="I843" s="14"/>
    </row>
    <row r="844">
      <c r="A844" s="30"/>
      <c r="B844" s="12"/>
      <c r="C844" s="14"/>
      <c r="D844" s="14"/>
      <c r="E844" s="14"/>
      <c r="G844" s="16"/>
      <c r="H844" s="16"/>
      <c r="I844" s="14"/>
    </row>
    <row r="845">
      <c r="A845" s="30"/>
      <c r="B845" s="12"/>
      <c r="C845" s="14"/>
      <c r="D845" s="14"/>
      <c r="E845" s="14"/>
      <c r="G845" s="16"/>
      <c r="H845" s="16"/>
      <c r="I845" s="14"/>
    </row>
    <row r="846">
      <c r="A846" s="30"/>
      <c r="B846" s="12"/>
      <c r="C846" s="14"/>
      <c r="D846" s="14"/>
      <c r="E846" s="14"/>
      <c r="G846" s="16"/>
      <c r="H846" s="16"/>
      <c r="I846" s="14"/>
    </row>
    <row r="847">
      <c r="A847" s="30"/>
      <c r="B847" s="12"/>
      <c r="C847" s="14"/>
      <c r="D847" s="14"/>
      <c r="E847" s="14"/>
      <c r="G847" s="16"/>
      <c r="H847" s="16"/>
      <c r="I847" s="14"/>
    </row>
    <row r="848">
      <c r="A848" s="30"/>
      <c r="B848" s="12"/>
      <c r="C848" s="14"/>
      <c r="D848" s="14"/>
      <c r="E848" s="14"/>
      <c r="G848" s="16"/>
      <c r="H848" s="16"/>
      <c r="I848" s="14"/>
    </row>
    <row r="849">
      <c r="A849" s="30"/>
      <c r="B849" s="12"/>
      <c r="C849" s="14"/>
      <c r="D849" s="14"/>
      <c r="E849" s="14"/>
      <c r="G849" s="16"/>
      <c r="H849" s="16"/>
      <c r="I849" s="14"/>
    </row>
    <row r="850">
      <c r="A850" s="30"/>
      <c r="B850" s="12"/>
      <c r="C850" s="14"/>
      <c r="D850" s="14"/>
      <c r="E850" s="14"/>
      <c r="G850" s="16"/>
      <c r="H850" s="16"/>
      <c r="I850" s="14"/>
    </row>
    <row r="851">
      <c r="A851" s="30"/>
      <c r="B851" s="12"/>
      <c r="C851" s="14"/>
      <c r="D851" s="14"/>
      <c r="E851" s="14"/>
      <c r="G851" s="16"/>
      <c r="H851" s="16"/>
      <c r="I851" s="14"/>
    </row>
    <row r="852">
      <c r="A852" s="30"/>
      <c r="B852" s="12"/>
      <c r="C852" s="14"/>
      <c r="D852" s="14"/>
      <c r="E852" s="14"/>
      <c r="G852" s="16"/>
      <c r="H852" s="16"/>
      <c r="I852" s="14"/>
    </row>
    <row r="853">
      <c r="A853" s="30"/>
      <c r="B853" s="12"/>
      <c r="C853" s="14"/>
      <c r="D853" s="14"/>
      <c r="E853" s="14"/>
      <c r="G853" s="16"/>
      <c r="H853" s="16"/>
      <c r="I853" s="14"/>
    </row>
    <row r="854">
      <c r="A854" s="30"/>
      <c r="B854" s="12"/>
      <c r="C854" s="14"/>
      <c r="D854" s="14"/>
      <c r="E854" s="14"/>
      <c r="G854" s="16"/>
      <c r="H854" s="16"/>
      <c r="I854" s="14"/>
    </row>
    <row r="855">
      <c r="A855" s="30"/>
      <c r="B855" s="12"/>
      <c r="C855" s="14"/>
      <c r="D855" s="14"/>
      <c r="E855" s="14"/>
      <c r="G855" s="16"/>
      <c r="H855" s="16"/>
      <c r="I855" s="14"/>
    </row>
    <row r="856">
      <c r="A856" s="30"/>
      <c r="B856" s="12"/>
      <c r="C856" s="14"/>
      <c r="D856" s="14"/>
      <c r="E856" s="14"/>
      <c r="G856" s="16"/>
      <c r="H856" s="16"/>
      <c r="I856" s="14"/>
    </row>
    <row r="857">
      <c r="A857" s="30"/>
      <c r="B857" s="12"/>
      <c r="C857" s="14"/>
      <c r="D857" s="14"/>
      <c r="E857" s="14"/>
      <c r="G857" s="16"/>
      <c r="H857" s="16"/>
      <c r="I857" s="14"/>
    </row>
    <row r="858">
      <c r="A858" s="30"/>
      <c r="B858" s="12"/>
      <c r="C858" s="14"/>
      <c r="D858" s="14"/>
      <c r="E858" s="14"/>
      <c r="G858" s="16"/>
      <c r="H858" s="16"/>
      <c r="I858" s="14"/>
    </row>
    <row r="859">
      <c r="A859" s="30"/>
      <c r="B859" s="12"/>
      <c r="C859" s="14"/>
      <c r="D859" s="14"/>
      <c r="E859" s="14"/>
      <c r="G859" s="16"/>
      <c r="H859" s="16"/>
      <c r="I859" s="14"/>
    </row>
    <row r="860">
      <c r="A860" s="30"/>
      <c r="B860" s="12"/>
      <c r="C860" s="14"/>
      <c r="D860" s="14"/>
      <c r="E860" s="14"/>
      <c r="G860" s="16"/>
      <c r="H860" s="16"/>
      <c r="I860" s="14"/>
    </row>
    <row r="861">
      <c r="A861" s="30"/>
      <c r="B861" s="12"/>
      <c r="C861" s="14"/>
      <c r="D861" s="14"/>
      <c r="E861" s="14"/>
      <c r="G861" s="16"/>
      <c r="H861" s="16"/>
      <c r="I861" s="14"/>
    </row>
    <row r="862">
      <c r="A862" s="30"/>
      <c r="B862" s="12"/>
      <c r="C862" s="14"/>
      <c r="D862" s="14"/>
      <c r="E862" s="14"/>
      <c r="G862" s="16"/>
      <c r="H862" s="16"/>
      <c r="I862" s="14"/>
    </row>
    <row r="863">
      <c r="A863" s="30"/>
      <c r="B863" s="12"/>
      <c r="C863" s="14"/>
      <c r="D863" s="14"/>
      <c r="E863" s="14"/>
      <c r="G863" s="16"/>
      <c r="H863" s="16"/>
      <c r="I863" s="14"/>
    </row>
    <row r="864">
      <c r="A864" s="30"/>
      <c r="B864" s="12"/>
      <c r="C864" s="14"/>
      <c r="D864" s="14"/>
      <c r="E864" s="14"/>
      <c r="G864" s="16"/>
      <c r="H864" s="16"/>
      <c r="I864" s="14"/>
    </row>
    <row r="865">
      <c r="A865" s="30"/>
      <c r="B865" s="12"/>
      <c r="C865" s="14"/>
      <c r="D865" s="14"/>
      <c r="E865" s="14"/>
      <c r="G865" s="16"/>
      <c r="H865" s="16"/>
      <c r="I865" s="14"/>
    </row>
    <row r="866">
      <c r="A866" s="30"/>
      <c r="B866" s="12"/>
      <c r="C866" s="14"/>
      <c r="D866" s="14"/>
      <c r="E866" s="14"/>
      <c r="G866" s="16"/>
      <c r="H866" s="16"/>
      <c r="I866" s="14"/>
    </row>
    <row r="867">
      <c r="A867" s="30"/>
      <c r="B867" s="12"/>
      <c r="C867" s="14"/>
      <c r="D867" s="14"/>
      <c r="E867" s="14"/>
      <c r="G867" s="16"/>
      <c r="H867" s="16"/>
      <c r="I867" s="14"/>
    </row>
    <row r="868">
      <c r="A868" s="30"/>
      <c r="B868" s="12"/>
      <c r="C868" s="14"/>
      <c r="D868" s="14"/>
      <c r="E868" s="14"/>
      <c r="G868" s="16"/>
      <c r="H868" s="16"/>
      <c r="I868" s="14"/>
    </row>
    <row r="869">
      <c r="A869" s="30"/>
      <c r="B869" s="12"/>
      <c r="C869" s="14"/>
      <c r="D869" s="14"/>
      <c r="E869" s="14"/>
      <c r="G869" s="16"/>
      <c r="H869" s="16"/>
      <c r="I869" s="14"/>
    </row>
    <row r="870">
      <c r="A870" s="30"/>
      <c r="B870" s="12"/>
      <c r="C870" s="14"/>
      <c r="D870" s="14"/>
      <c r="E870" s="14"/>
      <c r="G870" s="16"/>
      <c r="H870" s="16"/>
      <c r="I870" s="14"/>
    </row>
    <row r="871">
      <c r="A871" s="30"/>
      <c r="B871" s="12"/>
      <c r="C871" s="14"/>
      <c r="D871" s="14"/>
      <c r="E871" s="14"/>
      <c r="G871" s="16"/>
      <c r="H871" s="16"/>
      <c r="I871" s="14"/>
    </row>
    <row r="872">
      <c r="A872" s="30"/>
      <c r="B872" s="12"/>
      <c r="C872" s="14"/>
      <c r="D872" s="14"/>
      <c r="E872" s="14"/>
      <c r="G872" s="16"/>
      <c r="H872" s="16"/>
      <c r="I872" s="14"/>
    </row>
    <row r="873">
      <c r="A873" s="30"/>
      <c r="B873" s="12"/>
      <c r="C873" s="14"/>
      <c r="D873" s="14"/>
      <c r="E873" s="14"/>
      <c r="G873" s="16"/>
      <c r="H873" s="16"/>
      <c r="I873" s="14"/>
    </row>
    <row r="874">
      <c r="A874" s="30"/>
      <c r="B874" s="12"/>
      <c r="C874" s="14"/>
      <c r="D874" s="14"/>
      <c r="E874" s="14"/>
      <c r="G874" s="16"/>
      <c r="H874" s="16"/>
      <c r="I874" s="14"/>
    </row>
    <row r="875">
      <c r="A875" s="30"/>
      <c r="B875" s="12"/>
      <c r="C875" s="14"/>
      <c r="D875" s="14"/>
      <c r="E875" s="14"/>
      <c r="G875" s="16"/>
      <c r="H875" s="16"/>
      <c r="I875" s="14"/>
    </row>
    <row r="876">
      <c r="A876" s="30"/>
      <c r="B876" s="12"/>
      <c r="C876" s="14"/>
      <c r="D876" s="14"/>
      <c r="E876" s="14"/>
      <c r="G876" s="16"/>
      <c r="H876" s="16"/>
      <c r="I876" s="14"/>
    </row>
    <row r="877">
      <c r="A877" s="30"/>
      <c r="B877" s="12"/>
      <c r="C877" s="14"/>
      <c r="D877" s="14"/>
      <c r="E877" s="14"/>
      <c r="G877" s="16"/>
      <c r="H877" s="16"/>
      <c r="I877" s="14"/>
    </row>
    <row r="878">
      <c r="A878" s="30"/>
      <c r="B878" s="12"/>
      <c r="C878" s="14"/>
      <c r="D878" s="14"/>
      <c r="E878" s="14"/>
      <c r="G878" s="16"/>
      <c r="H878" s="16"/>
      <c r="I878" s="14"/>
    </row>
    <row r="879">
      <c r="A879" s="30"/>
      <c r="B879" s="12"/>
      <c r="C879" s="14"/>
      <c r="D879" s="14"/>
      <c r="E879" s="14"/>
      <c r="G879" s="16"/>
      <c r="H879" s="16"/>
      <c r="I879" s="14"/>
    </row>
    <row r="880">
      <c r="A880" s="30"/>
      <c r="B880" s="12"/>
      <c r="C880" s="14"/>
      <c r="D880" s="14"/>
      <c r="E880" s="14"/>
      <c r="G880" s="16"/>
      <c r="H880" s="16"/>
      <c r="I880" s="14"/>
    </row>
    <row r="881">
      <c r="A881" s="30"/>
      <c r="B881" s="12"/>
      <c r="C881" s="14"/>
      <c r="D881" s="14"/>
      <c r="E881" s="14"/>
      <c r="G881" s="16"/>
      <c r="H881" s="16"/>
      <c r="I881" s="14"/>
    </row>
    <row r="882">
      <c r="A882" s="30"/>
      <c r="B882" s="12"/>
      <c r="C882" s="14"/>
      <c r="D882" s="14"/>
      <c r="E882" s="14"/>
      <c r="G882" s="16"/>
      <c r="H882" s="16"/>
      <c r="I882" s="14"/>
    </row>
    <row r="883">
      <c r="A883" s="30"/>
      <c r="B883" s="12"/>
      <c r="C883" s="14"/>
      <c r="D883" s="14"/>
      <c r="E883" s="14"/>
      <c r="G883" s="16"/>
      <c r="H883" s="16"/>
      <c r="I883" s="14"/>
    </row>
    <row r="884">
      <c r="A884" s="30"/>
      <c r="B884" s="12"/>
      <c r="C884" s="14"/>
      <c r="D884" s="14"/>
      <c r="E884" s="14"/>
      <c r="G884" s="16"/>
      <c r="H884" s="16"/>
      <c r="I884" s="14"/>
    </row>
    <row r="885">
      <c r="A885" s="30"/>
      <c r="B885" s="12"/>
      <c r="C885" s="14"/>
      <c r="D885" s="14"/>
      <c r="E885" s="14"/>
      <c r="G885" s="16"/>
      <c r="H885" s="16"/>
      <c r="I885" s="14"/>
    </row>
    <row r="886">
      <c r="A886" s="30"/>
      <c r="B886" s="12"/>
      <c r="C886" s="14"/>
      <c r="D886" s="14"/>
      <c r="E886" s="14"/>
      <c r="G886" s="16"/>
      <c r="H886" s="16"/>
      <c r="I886" s="14"/>
    </row>
    <row r="887">
      <c r="A887" s="30"/>
      <c r="B887" s="12"/>
      <c r="C887" s="14"/>
      <c r="D887" s="14"/>
      <c r="E887" s="14"/>
      <c r="G887" s="16"/>
      <c r="H887" s="16"/>
      <c r="I887" s="14"/>
    </row>
    <row r="888">
      <c r="A888" s="30"/>
      <c r="B888" s="12"/>
      <c r="C888" s="14"/>
      <c r="D888" s="14"/>
      <c r="E888" s="14"/>
      <c r="G888" s="16"/>
      <c r="H888" s="16"/>
      <c r="I888" s="14"/>
    </row>
    <row r="889">
      <c r="A889" s="30"/>
      <c r="B889" s="12"/>
      <c r="C889" s="14"/>
      <c r="D889" s="14"/>
      <c r="E889" s="14"/>
      <c r="G889" s="16"/>
      <c r="H889" s="16"/>
      <c r="I889" s="14"/>
    </row>
    <row r="890">
      <c r="A890" s="30"/>
      <c r="B890" s="12"/>
      <c r="C890" s="14"/>
      <c r="D890" s="14"/>
      <c r="E890" s="14"/>
      <c r="G890" s="16"/>
      <c r="H890" s="16"/>
      <c r="I890" s="14"/>
    </row>
    <row r="891">
      <c r="A891" s="30"/>
      <c r="B891" s="12"/>
      <c r="C891" s="14"/>
      <c r="D891" s="14"/>
      <c r="E891" s="14"/>
      <c r="G891" s="16"/>
      <c r="H891" s="16"/>
      <c r="I891" s="14"/>
    </row>
    <row r="892">
      <c r="A892" s="30"/>
      <c r="B892" s="12"/>
      <c r="C892" s="14"/>
      <c r="D892" s="14"/>
      <c r="E892" s="14"/>
      <c r="G892" s="16"/>
      <c r="H892" s="16"/>
      <c r="I892" s="14"/>
    </row>
    <row r="893">
      <c r="A893" s="30"/>
      <c r="B893" s="12"/>
      <c r="C893" s="14"/>
      <c r="D893" s="14"/>
      <c r="E893" s="14"/>
      <c r="G893" s="16"/>
      <c r="H893" s="16"/>
      <c r="I893" s="14"/>
    </row>
    <row r="894">
      <c r="A894" s="30"/>
      <c r="B894" s="12"/>
      <c r="C894" s="14"/>
      <c r="D894" s="14"/>
      <c r="E894" s="14"/>
      <c r="G894" s="16"/>
      <c r="H894" s="16"/>
      <c r="I894" s="14"/>
    </row>
    <row r="895">
      <c r="A895" s="30"/>
      <c r="B895" s="12"/>
      <c r="C895" s="14"/>
      <c r="D895" s="14"/>
      <c r="E895" s="14"/>
      <c r="G895" s="16"/>
      <c r="H895" s="16"/>
      <c r="I895" s="14"/>
    </row>
    <row r="896">
      <c r="A896" s="30"/>
      <c r="B896" s="12"/>
      <c r="C896" s="14"/>
      <c r="D896" s="14"/>
      <c r="E896" s="14"/>
      <c r="G896" s="16"/>
      <c r="H896" s="16"/>
      <c r="I896" s="14"/>
    </row>
    <row r="897">
      <c r="A897" s="30"/>
      <c r="B897" s="12"/>
      <c r="C897" s="14"/>
      <c r="D897" s="14"/>
      <c r="E897" s="14"/>
      <c r="G897" s="16"/>
      <c r="H897" s="16"/>
      <c r="I897" s="14"/>
    </row>
    <row r="898">
      <c r="A898" s="30"/>
      <c r="B898" s="12"/>
      <c r="C898" s="14"/>
      <c r="D898" s="14"/>
      <c r="E898" s="14"/>
      <c r="G898" s="16"/>
      <c r="H898" s="16"/>
      <c r="I898" s="14"/>
    </row>
    <row r="899">
      <c r="A899" s="30"/>
      <c r="B899" s="12"/>
      <c r="C899" s="14"/>
      <c r="D899" s="14"/>
      <c r="E899" s="14"/>
      <c r="G899" s="16"/>
      <c r="H899" s="16"/>
      <c r="I899" s="14"/>
    </row>
    <row r="900">
      <c r="A900" s="30"/>
      <c r="B900" s="12"/>
      <c r="C900" s="14"/>
      <c r="D900" s="14"/>
      <c r="E900" s="14"/>
      <c r="G900" s="16"/>
      <c r="H900" s="16"/>
      <c r="I900" s="14"/>
    </row>
    <row r="901">
      <c r="A901" s="30"/>
      <c r="B901" s="12"/>
      <c r="C901" s="14"/>
      <c r="D901" s="14"/>
      <c r="E901" s="14"/>
      <c r="G901" s="16"/>
      <c r="H901" s="16"/>
      <c r="I901" s="14"/>
    </row>
    <row r="902">
      <c r="A902" s="30"/>
      <c r="B902" s="12"/>
      <c r="C902" s="14"/>
      <c r="D902" s="14"/>
      <c r="E902" s="14"/>
      <c r="G902" s="16"/>
      <c r="H902" s="16"/>
      <c r="I902" s="14"/>
    </row>
    <row r="903">
      <c r="A903" s="30"/>
      <c r="B903" s="12"/>
      <c r="C903" s="14"/>
      <c r="D903" s="14"/>
      <c r="E903" s="14"/>
      <c r="G903" s="16"/>
      <c r="H903" s="16"/>
      <c r="I903" s="14"/>
    </row>
    <row r="904">
      <c r="A904" s="30"/>
      <c r="B904" s="12"/>
      <c r="C904" s="14"/>
      <c r="D904" s="14"/>
      <c r="E904" s="14"/>
      <c r="G904" s="16"/>
      <c r="H904" s="16"/>
      <c r="I904" s="14"/>
    </row>
    <row r="905">
      <c r="A905" s="30"/>
      <c r="B905" s="12"/>
      <c r="C905" s="14"/>
      <c r="D905" s="14"/>
      <c r="E905" s="14"/>
      <c r="G905" s="16"/>
      <c r="H905" s="16"/>
      <c r="I905" s="14"/>
    </row>
    <row r="906">
      <c r="A906" s="30"/>
      <c r="B906" s="12"/>
      <c r="C906" s="14"/>
      <c r="D906" s="14"/>
      <c r="E906" s="14"/>
      <c r="G906" s="16"/>
      <c r="H906" s="16"/>
      <c r="I906" s="14"/>
    </row>
    <row r="907">
      <c r="A907" s="30"/>
      <c r="B907" s="12"/>
      <c r="C907" s="14"/>
      <c r="D907" s="14"/>
      <c r="E907" s="14"/>
      <c r="G907" s="16"/>
      <c r="H907" s="16"/>
      <c r="I907" s="14"/>
    </row>
    <row r="908">
      <c r="A908" s="30"/>
      <c r="B908" s="12"/>
      <c r="C908" s="14"/>
      <c r="D908" s="14"/>
      <c r="E908" s="14"/>
      <c r="G908" s="16"/>
      <c r="H908" s="16"/>
      <c r="I908" s="14"/>
    </row>
    <row r="909">
      <c r="A909" s="30"/>
      <c r="B909" s="12"/>
      <c r="C909" s="14"/>
      <c r="D909" s="14"/>
      <c r="E909" s="14"/>
      <c r="G909" s="16"/>
      <c r="H909" s="16"/>
      <c r="I909" s="14"/>
    </row>
    <row r="910">
      <c r="A910" s="30"/>
      <c r="B910" s="12"/>
      <c r="C910" s="14"/>
      <c r="D910" s="14"/>
      <c r="E910" s="14"/>
      <c r="G910" s="16"/>
      <c r="H910" s="16"/>
      <c r="I910" s="14"/>
    </row>
    <row r="911">
      <c r="A911" s="30"/>
      <c r="B911" s="12"/>
      <c r="C911" s="14"/>
      <c r="D911" s="14"/>
      <c r="E911" s="14"/>
      <c r="G911" s="16"/>
      <c r="H911" s="16"/>
      <c r="I911" s="14"/>
    </row>
    <row r="912">
      <c r="A912" s="30"/>
      <c r="B912" s="12"/>
      <c r="C912" s="14"/>
      <c r="D912" s="14"/>
      <c r="E912" s="14"/>
      <c r="G912" s="16"/>
      <c r="H912" s="16"/>
      <c r="I912" s="14"/>
    </row>
    <row r="913">
      <c r="A913" s="30"/>
      <c r="B913" s="12"/>
      <c r="C913" s="14"/>
      <c r="D913" s="14"/>
      <c r="E913" s="14"/>
      <c r="G913" s="16"/>
      <c r="H913" s="16"/>
      <c r="I913" s="14"/>
    </row>
    <row r="914">
      <c r="A914" s="30"/>
      <c r="B914" s="12"/>
      <c r="C914" s="14"/>
      <c r="D914" s="14"/>
      <c r="E914" s="14"/>
      <c r="G914" s="16"/>
      <c r="H914" s="16"/>
      <c r="I914" s="14"/>
    </row>
    <row r="915">
      <c r="A915" s="30"/>
      <c r="B915" s="12"/>
      <c r="C915" s="14"/>
      <c r="D915" s="14"/>
      <c r="E915" s="14"/>
      <c r="G915" s="16"/>
      <c r="H915" s="16"/>
      <c r="I915" s="14"/>
    </row>
    <row r="916">
      <c r="A916" s="30"/>
      <c r="B916" s="12"/>
      <c r="C916" s="14"/>
      <c r="D916" s="14"/>
      <c r="E916" s="14"/>
      <c r="G916" s="16"/>
      <c r="H916" s="16"/>
      <c r="I916" s="14"/>
    </row>
    <row r="917">
      <c r="A917" s="30"/>
      <c r="B917" s="12"/>
      <c r="C917" s="14"/>
      <c r="D917" s="14"/>
      <c r="E917" s="14"/>
      <c r="G917" s="16"/>
      <c r="H917" s="16"/>
      <c r="I917" s="14"/>
    </row>
    <row r="918">
      <c r="A918" s="30"/>
      <c r="B918" s="12"/>
      <c r="C918" s="14"/>
      <c r="D918" s="14"/>
      <c r="E918" s="14"/>
      <c r="G918" s="16"/>
      <c r="H918" s="16"/>
      <c r="I918" s="14"/>
    </row>
    <row r="919">
      <c r="A919" s="30"/>
      <c r="B919" s="12"/>
      <c r="C919" s="14"/>
      <c r="D919" s="14"/>
      <c r="E919" s="14"/>
      <c r="G919" s="16"/>
      <c r="H919" s="16"/>
      <c r="I919" s="14"/>
    </row>
    <row r="920">
      <c r="A920" s="30"/>
      <c r="B920" s="12"/>
      <c r="C920" s="14"/>
      <c r="D920" s="14"/>
      <c r="E920" s="14"/>
      <c r="G920" s="16"/>
      <c r="H920" s="16"/>
      <c r="I920" s="14"/>
    </row>
    <row r="921">
      <c r="A921" s="30"/>
      <c r="B921" s="12"/>
      <c r="C921" s="14"/>
      <c r="D921" s="14"/>
      <c r="E921" s="14"/>
      <c r="G921" s="16"/>
      <c r="H921" s="16"/>
      <c r="I921" s="14"/>
    </row>
    <row r="922">
      <c r="A922" s="30"/>
      <c r="B922" s="12"/>
      <c r="C922" s="14"/>
      <c r="D922" s="14"/>
      <c r="E922" s="14"/>
      <c r="G922" s="16"/>
      <c r="H922" s="16"/>
      <c r="I922" s="14"/>
    </row>
    <row r="923">
      <c r="A923" s="30"/>
      <c r="B923" s="12"/>
      <c r="C923" s="14"/>
      <c r="D923" s="14"/>
      <c r="E923" s="14"/>
      <c r="G923" s="16"/>
      <c r="H923" s="16"/>
      <c r="I923" s="14"/>
    </row>
    <row r="924">
      <c r="A924" s="30"/>
      <c r="B924" s="12"/>
      <c r="C924" s="14"/>
      <c r="D924" s="14"/>
      <c r="E924" s="14"/>
      <c r="G924" s="16"/>
      <c r="H924" s="16"/>
      <c r="I924" s="14"/>
    </row>
    <row r="925">
      <c r="A925" s="30"/>
      <c r="B925" s="12"/>
      <c r="C925" s="14"/>
      <c r="D925" s="14"/>
      <c r="E925" s="14"/>
      <c r="G925" s="16"/>
      <c r="H925" s="16"/>
      <c r="I925" s="14"/>
    </row>
    <row r="926">
      <c r="A926" s="30"/>
      <c r="B926" s="12"/>
      <c r="C926" s="14"/>
      <c r="D926" s="14"/>
      <c r="E926" s="14"/>
      <c r="G926" s="16"/>
      <c r="H926" s="16"/>
      <c r="I926" s="14"/>
    </row>
    <row r="927">
      <c r="A927" s="30"/>
      <c r="B927" s="12"/>
      <c r="C927" s="14"/>
      <c r="D927" s="14"/>
      <c r="E927" s="14"/>
      <c r="G927" s="16"/>
      <c r="H927" s="16"/>
      <c r="I927" s="14"/>
    </row>
    <row r="928">
      <c r="A928" s="30"/>
      <c r="B928" s="12"/>
      <c r="C928" s="14"/>
      <c r="D928" s="14"/>
      <c r="E928" s="14"/>
      <c r="G928" s="16"/>
      <c r="H928" s="16"/>
      <c r="I928" s="14"/>
    </row>
    <row r="929">
      <c r="A929" s="30"/>
      <c r="B929" s="12"/>
      <c r="C929" s="14"/>
      <c r="D929" s="14"/>
      <c r="E929" s="14"/>
      <c r="G929" s="16"/>
      <c r="H929" s="16"/>
      <c r="I929" s="14"/>
    </row>
    <row r="930">
      <c r="A930" s="30"/>
      <c r="B930" s="12"/>
      <c r="C930" s="14"/>
      <c r="D930" s="14"/>
      <c r="E930" s="14"/>
      <c r="G930" s="16"/>
      <c r="H930" s="16"/>
      <c r="I930" s="14"/>
    </row>
    <row r="931">
      <c r="A931" s="30"/>
      <c r="B931" s="12"/>
      <c r="C931" s="14"/>
      <c r="D931" s="14"/>
      <c r="E931" s="14"/>
      <c r="G931" s="16"/>
      <c r="H931" s="16"/>
      <c r="I931" s="14"/>
    </row>
    <row r="932">
      <c r="A932" s="30"/>
      <c r="B932" s="12"/>
      <c r="C932" s="14"/>
      <c r="D932" s="14"/>
      <c r="E932" s="14"/>
      <c r="G932" s="16"/>
      <c r="H932" s="16"/>
      <c r="I932" s="14"/>
    </row>
    <row r="933">
      <c r="A933" s="30"/>
      <c r="B933" s="12"/>
      <c r="C933" s="14"/>
      <c r="D933" s="14"/>
      <c r="E933" s="14"/>
      <c r="G933" s="16"/>
      <c r="H933" s="16"/>
      <c r="I933" s="14"/>
    </row>
    <row r="934">
      <c r="A934" s="30"/>
      <c r="B934" s="12"/>
      <c r="C934" s="14"/>
      <c r="D934" s="14"/>
      <c r="E934" s="14"/>
      <c r="G934" s="16"/>
      <c r="H934" s="16"/>
      <c r="I934" s="14"/>
    </row>
    <row r="935">
      <c r="A935" s="30"/>
      <c r="B935" s="12"/>
      <c r="C935" s="14"/>
      <c r="D935" s="14"/>
      <c r="E935" s="14"/>
      <c r="G935" s="16"/>
      <c r="H935" s="16"/>
      <c r="I935" s="14"/>
    </row>
    <row r="936">
      <c r="A936" s="30"/>
      <c r="B936" s="12"/>
      <c r="C936" s="14"/>
      <c r="D936" s="14"/>
      <c r="E936" s="14"/>
      <c r="G936" s="16"/>
      <c r="H936" s="16"/>
      <c r="I936" s="14"/>
    </row>
    <row r="937">
      <c r="A937" s="30"/>
      <c r="B937" s="12"/>
      <c r="C937" s="14"/>
      <c r="D937" s="14"/>
      <c r="E937" s="14"/>
      <c r="G937" s="16"/>
      <c r="H937" s="16"/>
      <c r="I937" s="14"/>
    </row>
    <row r="938">
      <c r="A938" s="30"/>
      <c r="B938" s="12"/>
      <c r="C938" s="14"/>
      <c r="D938" s="14"/>
      <c r="E938" s="14"/>
      <c r="G938" s="16"/>
      <c r="H938" s="16"/>
      <c r="I938" s="14"/>
    </row>
    <row r="939">
      <c r="A939" s="30"/>
      <c r="B939" s="12"/>
      <c r="C939" s="14"/>
      <c r="D939" s="14"/>
      <c r="E939" s="14"/>
      <c r="G939" s="16"/>
      <c r="H939" s="16"/>
      <c r="I939" s="14"/>
    </row>
    <row r="940">
      <c r="A940" s="30"/>
      <c r="B940" s="12"/>
      <c r="C940" s="14"/>
      <c r="D940" s="14"/>
      <c r="E940" s="14"/>
      <c r="G940" s="16"/>
      <c r="H940" s="16"/>
      <c r="I940" s="14"/>
    </row>
    <row r="941">
      <c r="A941" s="30"/>
      <c r="B941" s="12"/>
      <c r="C941" s="14"/>
      <c r="D941" s="14"/>
      <c r="E941" s="14"/>
      <c r="G941" s="16"/>
      <c r="H941" s="16"/>
      <c r="I941" s="14"/>
    </row>
    <row r="942">
      <c r="A942" s="30"/>
      <c r="B942" s="12"/>
      <c r="C942" s="14"/>
      <c r="D942" s="14"/>
      <c r="E942" s="14"/>
      <c r="G942" s="16"/>
      <c r="H942" s="16"/>
      <c r="I942" s="14"/>
    </row>
    <row r="943">
      <c r="A943" s="30"/>
      <c r="B943" s="12"/>
      <c r="C943" s="14"/>
      <c r="D943" s="14"/>
      <c r="E943" s="14"/>
      <c r="G943" s="16"/>
      <c r="H943" s="16"/>
      <c r="I943" s="14"/>
    </row>
    <row r="944">
      <c r="A944" s="30"/>
      <c r="B944" s="12"/>
      <c r="C944" s="14"/>
      <c r="D944" s="14"/>
      <c r="E944" s="14"/>
      <c r="G944" s="16"/>
      <c r="H944" s="16"/>
      <c r="I944" s="14"/>
    </row>
    <row r="945">
      <c r="A945" s="30"/>
      <c r="B945" s="12"/>
      <c r="C945" s="14"/>
      <c r="D945" s="14"/>
      <c r="E945" s="14"/>
      <c r="G945" s="16"/>
      <c r="H945" s="16"/>
      <c r="I945" s="14"/>
    </row>
    <row r="946">
      <c r="A946" s="30"/>
      <c r="B946" s="12"/>
      <c r="C946" s="14"/>
      <c r="D946" s="14"/>
      <c r="E946" s="14"/>
      <c r="G946" s="16"/>
      <c r="H946" s="16"/>
      <c r="I946" s="14"/>
    </row>
    <row r="947">
      <c r="A947" s="30"/>
      <c r="B947" s="12"/>
      <c r="C947" s="14"/>
      <c r="D947" s="14"/>
      <c r="E947" s="14"/>
      <c r="G947" s="16"/>
      <c r="H947" s="16"/>
      <c r="I947" s="14"/>
    </row>
    <row r="948">
      <c r="A948" s="30"/>
      <c r="B948" s="12"/>
      <c r="C948" s="14"/>
      <c r="D948" s="14"/>
      <c r="E948" s="14"/>
      <c r="G948" s="16"/>
      <c r="H948" s="16"/>
      <c r="I948" s="14"/>
    </row>
    <row r="949">
      <c r="A949" s="30"/>
      <c r="B949" s="12"/>
      <c r="C949" s="14"/>
      <c r="D949" s="14"/>
      <c r="E949" s="14"/>
      <c r="G949" s="16"/>
      <c r="H949" s="16"/>
      <c r="I949" s="14"/>
    </row>
    <row r="950">
      <c r="A950" s="30"/>
      <c r="B950" s="12"/>
      <c r="C950" s="14"/>
      <c r="D950" s="14"/>
      <c r="E950" s="14"/>
      <c r="G950" s="16"/>
      <c r="H950" s="16"/>
      <c r="I950" s="14"/>
    </row>
    <row r="951">
      <c r="A951" s="30"/>
      <c r="B951" s="12"/>
      <c r="C951" s="14"/>
      <c r="D951" s="14"/>
      <c r="E951" s="14"/>
      <c r="G951" s="16"/>
      <c r="H951" s="16"/>
      <c r="I951" s="14"/>
    </row>
    <row r="952">
      <c r="A952" s="30"/>
      <c r="B952" s="12"/>
      <c r="C952" s="14"/>
      <c r="D952" s="14"/>
      <c r="E952" s="14"/>
      <c r="G952" s="16"/>
      <c r="H952" s="16"/>
      <c r="I952" s="14"/>
    </row>
    <row r="953">
      <c r="A953" s="30"/>
      <c r="B953" s="12"/>
      <c r="C953" s="14"/>
      <c r="D953" s="14"/>
      <c r="E953" s="14"/>
      <c r="G953" s="16"/>
      <c r="H953" s="16"/>
      <c r="I953" s="14"/>
    </row>
    <row r="954">
      <c r="A954" s="30"/>
      <c r="B954" s="12"/>
      <c r="C954" s="14"/>
      <c r="D954" s="14"/>
      <c r="E954" s="14"/>
      <c r="G954" s="16"/>
      <c r="H954" s="16"/>
      <c r="I954" s="14"/>
    </row>
    <row r="955">
      <c r="A955" s="30"/>
      <c r="B955" s="12"/>
      <c r="C955" s="14"/>
      <c r="D955" s="14"/>
      <c r="E955" s="14"/>
      <c r="G955" s="16"/>
      <c r="H955" s="16"/>
      <c r="I955" s="14"/>
    </row>
    <row r="956">
      <c r="A956" s="30"/>
      <c r="B956" s="12"/>
      <c r="C956" s="14"/>
      <c r="D956" s="14"/>
      <c r="E956" s="14"/>
      <c r="G956" s="16"/>
      <c r="H956" s="16"/>
      <c r="I956" s="14"/>
    </row>
    <row r="957">
      <c r="A957" s="30"/>
      <c r="B957" s="12"/>
      <c r="C957" s="14"/>
      <c r="D957" s="14"/>
      <c r="E957" s="14"/>
      <c r="G957" s="16"/>
      <c r="H957" s="16"/>
      <c r="I957" s="14"/>
    </row>
    <row r="958">
      <c r="A958" s="30"/>
      <c r="B958" s="12"/>
      <c r="C958" s="14"/>
      <c r="D958" s="14"/>
      <c r="E958" s="14"/>
      <c r="G958" s="16"/>
      <c r="H958" s="16"/>
      <c r="I958" s="14"/>
    </row>
    <row r="959">
      <c r="A959" s="30"/>
      <c r="B959" s="12"/>
      <c r="C959" s="14"/>
      <c r="D959" s="14"/>
      <c r="E959" s="14"/>
      <c r="G959" s="16"/>
      <c r="H959" s="16"/>
      <c r="I959" s="14"/>
    </row>
    <row r="960">
      <c r="A960" s="30"/>
      <c r="B960" s="12"/>
      <c r="C960" s="14"/>
      <c r="D960" s="14"/>
      <c r="E960" s="14"/>
      <c r="G960" s="16"/>
      <c r="H960" s="16"/>
      <c r="I960" s="14"/>
    </row>
    <row r="961">
      <c r="A961" s="30"/>
      <c r="B961" s="12"/>
      <c r="C961" s="14"/>
      <c r="D961" s="14"/>
      <c r="E961" s="14"/>
      <c r="G961" s="16"/>
      <c r="H961" s="16"/>
      <c r="I961" s="14"/>
    </row>
    <row r="962">
      <c r="A962" s="30"/>
      <c r="B962" s="12"/>
      <c r="C962" s="14"/>
      <c r="D962" s="14"/>
      <c r="E962" s="14"/>
      <c r="G962" s="16"/>
      <c r="H962" s="16"/>
      <c r="I962" s="14"/>
    </row>
    <row r="963">
      <c r="A963" s="30"/>
      <c r="B963" s="12"/>
      <c r="C963" s="14"/>
      <c r="D963" s="14"/>
      <c r="E963" s="14"/>
      <c r="G963" s="16"/>
      <c r="H963" s="16"/>
      <c r="I963" s="14"/>
    </row>
    <row r="964">
      <c r="A964" s="30"/>
      <c r="B964" s="12"/>
      <c r="C964" s="14"/>
      <c r="D964" s="14"/>
      <c r="E964" s="14"/>
      <c r="G964" s="16"/>
      <c r="H964" s="16"/>
      <c r="I964" s="14"/>
    </row>
    <row r="965">
      <c r="A965" s="30"/>
      <c r="B965" s="12"/>
      <c r="C965" s="14"/>
      <c r="D965" s="14"/>
      <c r="E965" s="14"/>
      <c r="G965" s="16"/>
      <c r="H965" s="16"/>
      <c r="I965" s="14"/>
    </row>
    <row r="966">
      <c r="A966" s="30"/>
      <c r="B966" s="12"/>
      <c r="C966" s="14"/>
      <c r="D966" s="14"/>
      <c r="E966" s="14"/>
      <c r="G966" s="16"/>
      <c r="H966" s="16"/>
      <c r="I966" s="14"/>
    </row>
    <row r="967">
      <c r="A967" s="30"/>
      <c r="B967" s="12"/>
      <c r="C967" s="14"/>
      <c r="D967" s="14"/>
      <c r="E967" s="14"/>
      <c r="G967" s="16"/>
      <c r="H967" s="16"/>
      <c r="I967" s="14"/>
    </row>
    <row r="968">
      <c r="A968" s="30"/>
      <c r="B968" s="12"/>
      <c r="C968" s="14"/>
      <c r="D968" s="14"/>
      <c r="E968" s="14"/>
      <c r="G968" s="16"/>
      <c r="H968" s="16"/>
      <c r="I968" s="14"/>
    </row>
    <row r="969">
      <c r="A969" s="30"/>
      <c r="B969" s="12"/>
      <c r="C969" s="14"/>
      <c r="D969" s="14"/>
      <c r="E969" s="14"/>
      <c r="G969" s="16"/>
      <c r="H969" s="16"/>
      <c r="I969" s="14"/>
    </row>
    <row r="970">
      <c r="A970" s="30"/>
      <c r="B970" s="12"/>
      <c r="C970" s="14"/>
      <c r="D970" s="14"/>
      <c r="E970" s="14"/>
      <c r="G970" s="16"/>
      <c r="H970" s="16"/>
      <c r="I970" s="14"/>
    </row>
    <row r="971">
      <c r="A971" s="30"/>
      <c r="B971" s="12"/>
      <c r="C971" s="14"/>
      <c r="D971" s="14"/>
      <c r="E971" s="14"/>
      <c r="G971" s="16"/>
      <c r="H971" s="16"/>
      <c r="I971" s="14"/>
    </row>
    <row r="972">
      <c r="A972" s="30"/>
      <c r="B972" s="12"/>
      <c r="C972" s="14"/>
      <c r="D972" s="14"/>
      <c r="E972" s="14"/>
      <c r="G972" s="16"/>
      <c r="H972" s="16"/>
      <c r="I972" s="14"/>
    </row>
    <row r="973">
      <c r="A973" s="30"/>
      <c r="B973" s="12"/>
      <c r="C973" s="14"/>
      <c r="D973" s="14"/>
      <c r="E973" s="14"/>
      <c r="G973" s="16"/>
      <c r="H973" s="16"/>
      <c r="I973" s="14"/>
    </row>
    <row r="974">
      <c r="A974" s="30"/>
      <c r="B974" s="12"/>
      <c r="C974" s="14"/>
      <c r="D974" s="14"/>
      <c r="E974" s="14"/>
      <c r="G974" s="16"/>
      <c r="H974" s="16"/>
      <c r="I974" s="14"/>
    </row>
    <row r="975">
      <c r="A975" s="30"/>
      <c r="B975" s="12"/>
      <c r="C975" s="14"/>
      <c r="D975" s="14"/>
      <c r="E975" s="14"/>
      <c r="G975" s="16"/>
      <c r="H975" s="16"/>
      <c r="I975" s="14"/>
    </row>
    <row r="976">
      <c r="A976" s="30"/>
      <c r="B976" s="12"/>
      <c r="C976" s="14"/>
      <c r="D976" s="14"/>
      <c r="E976" s="14"/>
      <c r="G976" s="16"/>
      <c r="H976" s="16"/>
      <c r="I976" s="14"/>
    </row>
    <row r="977">
      <c r="A977" s="30"/>
      <c r="B977" s="12"/>
      <c r="C977" s="14"/>
      <c r="D977" s="14"/>
      <c r="E977" s="14"/>
      <c r="G977" s="16"/>
      <c r="H977" s="16"/>
      <c r="I977" s="14"/>
    </row>
    <row r="978">
      <c r="A978" s="30"/>
      <c r="B978" s="12"/>
      <c r="C978" s="14"/>
      <c r="D978" s="14"/>
      <c r="E978" s="14"/>
      <c r="G978" s="16"/>
      <c r="H978" s="16"/>
      <c r="I978" s="14"/>
    </row>
    <row r="979">
      <c r="A979" s="30"/>
      <c r="B979" s="12"/>
      <c r="C979" s="14"/>
      <c r="D979" s="14"/>
      <c r="E979" s="14"/>
      <c r="G979" s="16"/>
      <c r="H979" s="16"/>
      <c r="I979" s="14"/>
    </row>
    <row r="980">
      <c r="A980" s="30"/>
      <c r="B980" s="12"/>
      <c r="C980" s="14"/>
      <c r="D980" s="14"/>
      <c r="E980" s="14"/>
      <c r="G980" s="16"/>
      <c r="H980" s="16"/>
      <c r="I980" s="14"/>
    </row>
    <row r="981">
      <c r="A981" s="30"/>
      <c r="B981" s="12"/>
      <c r="C981" s="14"/>
      <c r="D981" s="14"/>
      <c r="E981" s="14"/>
      <c r="G981" s="16"/>
      <c r="H981" s="16"/>
      <c r="I981" s="14"/>
    </row>
    <row r="982">
      <c r="A982" s="30"/>
      <c r="B982" s="12"/>
      <c r="C982" s="14"/>
      <c r="D982" s="14"/>
      <c r="E982" s="14"/>
      <c r="G982" s="16"/>
      <c r="H982" s="16"/>
      <c r="I982" s="14"/>
    </row>
    <row r="983">
      <c r="A983" s="30"/>
      <c r="B983" s="12"/>
      <c r="C983" s="14"/>
      <c r="D983" s="14"/>
      <c r="E983" s="14"/>
      <c r="G983" s="16"/>
      <c r="H983" s="16"/>
      <c r="I983" s="14"/>
    </row>
    <row r="984">
      <c r="A984" s="30"/>
      <c r="B984" s="12"/>
      <c r="C984" s="14"/>
      <c r="D984" s="14"/>
      <c r="E984" s="14"/>
      <c r="G984" s="16"/>
      <c r="H984" s="16"/>
      <c r="I984" s="14"/>
    </row>
    <row r="985">
      <c r="A985" s="30"/>
      <c r="B985" s="12"/>
      <c r="C985" s="14"/>
      <c r="D985" s="14"/>
      <c r="E985" s="14"/>
      <c r="G985" s="16"/>
      <c r="H985" s="16"/>
      <c r="I985" s="14"/>
    </row>
    <row r="986">
      <c r="A986" s="30"/>
      <c r="B986" s="12"/>
      <c r="C986" s="14"/>
      <c r="D986" s="14"/>
      <c r="E986" s="14"/>
      <c r="G986" s="16"/>
      <c r="H986" s="16"/>
      <c r="I986" s="14"/>
    </row>
    <row r="987">
      <c r="A987" s="30"/>
      <c r="B987" s="12"/>
      <c r="C987" s="14"/>
      <c r="D987" s="14"/>
      <c r="E987" s="14"/>
      <c r="G987" s="16"/>
      <c r="H987" s="16"/>
      <c r="I987" s="14"/>
    </row>
    <row r="988">
      <c r="A988" s="30"/>
      <c r="B988" s="12"/>
      <c r="C988" s="14"/>
      <c r="D988" s="14"/>
      <c r="E988" s="14"/>
      <c r="G988" s="16"/>
      <c r="H988" s="16"/>
      <c r="I988" s="14"/>
    </row>
    <row r="989">
      <c r="A989" s="30"/>
      <c r="B989" s="12"/>
      <c r="C989" s="14"/>
      <c r="D989" s="14"/>
      <c r="E989" s="14"/>
      <c r="G989" s="16"/>
      <c r="H989" s="16"/>
      <c r="I989" s="14"/>
    </row>
    <row r="990">
      <c r="A990" s="30"/>
      <c r="B990" s="12"/>
      <c r="C990" s="14"/>
      <c r="D990" s="14"/>
      <c r="E990" s="14"/>
      <c r="G990" s="16"/>
      <c r="H990" s="16"/>
      <c r="I990" s="14"/>
    </row>
    <row r="991">
      <c r="A991" s="30"/>
      <c r="B991" s="12"/>
      <c r="C991" s="14"/>
      <c r="D991" s="14"/>
      <c r="E991" s="14"/>
      <c r="G991" s="16"/>
      <c r="H991" s="16"/>
      <c r="I991" s="14"/>
    </row>
    <row r="992">
      <c r="A992" s="30"/>
      <c r="B992" s="12"/>
      <c r="C992" s="14"/>
      <c r="D992" s="14"/>
      <c r="E992" s="14"/>
      <c r="G992" s="16"/>
      <c r="H992" s="16"/>
      <c r="I992" s="14"/>
    </row>
    <row r="993">
      <c r="A993" s="30"/>
      <c r="B993" s="12"/>
      <c r="C993" s="14"/>
      <c r="D993" s="14"/>
      <c r="E993" s="14"/>
      <c r="G993" s="16"/>
      <c r="H993" s="16"/>
      <c r="I993" s="14"/>
    </row>
    <row r="994">
      <c r="A994" s="30"/>
      <c r="B994" s="12"/>
      <c r="C994" s="14"/>
      <c r="D994" s="14"/>
      <c r="E994" s="14"/>
      <c r="G994" s="16"/>
      <c r="H994" s="16"/>
      <c r="I994" s="14"/>
    </row>
    <row r="995">
      <c r="A995" s="30"/>
      <c r="B995" s="12"/>
      <c r="C995" s="14"/>
      <c r="D995" s="14"/>
      <c r="E995" s="14"/>
      <c r="G995" s="16"/>
      <c r="H995" s="16"/>
      <c r="I995" s="14"/>
    </row>
    <row r="996">
      <c r="A996" s="30"/>
      <c r="B996" s="12"/>
      <c r="C996" s="14"/>
      <c r="D996" s="14"/>
      <c r="E996" s="14"/>
      <c r="G996" s="16"/>
      <c r="H996" s="16"/>
      <c r="I996" s="14"/>
    </row>
    <row r="997">
      <c r="A997" s="30"/>
      <c r="B997" s="12"/>
      <c r="C997" s="14"/>
      <c r="D997" s="14"/>
      <c r="E997" s="14"/>
      <c r="G997" s="16"/>
      <c r="H997" s="16"/>
      <c r="I997" s="14"/>
    </row>
    <row r="998">
      <c r="A998" s="30"/>
      <c r="B998" s="12"/>
      <c r="C998" s="14"/>
      <c r="D998" s="14"/>
      <c r="E998" s="14"/>
      <c r="G998" s="16"/>
      <c r="H998" s="16"/>
      <c r="I998" s="14"/>
    </row>
    <row r="999">
      <c r="A999" s="30"/>
      <c r="B999" s="12"/>
      <c r="C999" s="14"/>
      <c r="D999" s="14"/>
      <c r="E999" s="14"/>
      <c r="G999" s="16"/>
      <c r="H999" s="16"/>
      <c r="I999" s="14"/>
    </row>
    <row r="1000">
      <c r="A1000" s="30"/>
      <c r="B1000" s="12"/>
      <c r="C1000" s="14"/>
      <c r="D1000" s="14"/>
      <c r="E1000" s="14"/>
      <c r="G1000" s="16"/>
      <c r="H1000" s="16"/>
      <c r="I1000" s="14"/>
    </row>
    <row r="1001">
      <c r="A1001" s="30"/>
      <c r="B1001" s="12"/>
      <c r="C1001" s="14"/>
      <c r="D1001" s="14"/>
      <c r="E1001" s="14"/>
      <c r="G1001" s="16"/>
      <c r="H1001" s="16"/>
      <c r="I1001" s="14"/>
    </row>
    <row r="1002">
      <c r="A1002" s="30"/>
      <c r="B1002" s="12"/>
      <c r="C1002" s="14"/>
      <c r="D1002" s="14"/>
      <c r="E1002" s="14"/>
      <c r="G1002" s="16"/>
      <c r="H1002" s="16"/>
      <c r="I1002" s="14"/>
    </row>
    <row r="1003">
      <c r="A1003" s="30"/>
      <c r="B1003" s="12"/>
      <c r="C1003" s="14"/>
      <c r="D1003" s="14"/>
      <c r="E1003" s="14"/>
      <c r="G1003" s="16"/>
      <c r="H1003" s="16"/>
      <c r="I1003" s="14"/>
    </row>
    <row r="1004">
      <c r="A1004" s="30"/>
      <c r="B1004" s="12"/>
      <c r="C1004" s="14"/>
      <c r="D1004" s="14"/>
      <c r="E1004" s="14"/>
      <c r="G1004" s="16"/>
      <c r="H1004" s="16"/>
      <c r="I1004" s="14"/>
    </row>
    <row r="1005">
      <c r="A1005" s="30"/>
      <c r="B1005" s="12"/>
      <c r="C1005" s="14"/>
      <c r="D1005" s="14"/>
      <c r="E1005" s="14"/>
      <c r="G1005" s="16"/>
      <c r="H1005" s="16"/>
      <c r="I1005" s="14"/>
    </row>
    <row r="1006">
      <c r="A1006" s="30"/>
      <c r="B1006" s="12"/>
      <c r="C1006" s="14"/>
      <c r="D1006" s="14"/>
      <c r="E1006" s="14"/>
      <c r="G1006" s="16"/>
      <c r="H1006" s="16"/>
      <c r="I1006" s="14"/>
    </row>
    <row r="1007">
      <c r="A1007" s="30"/>
      <c r="B1007" s="12"/>
      <c r="C1007" s="14"/>
      <c r="D1007" s="14"/>
      <c r="E1007" s="14"/>
      <c r="G1007" s="16"/>
      <c r="H1007" s="16"/>
      <c r="I1007" s="14"/>
    </row>
    <row r="1008">
      <c r="A1008" s="30"/>
      <c r="B1008" s="12"/>
      <c r="C1008" s="14"/>
      <c r="D1008" s="14"/>
      <c r="E1008" s="14"/>
      <c r="G1008" s="16"/>
      <c r="H1008" s="16"/>
      <c r="I1008" s="14"/>
    </row>
    <row r="1009">
      <c r="A1009" s="30"/>
      <c r="B1009" s="12"/>
      <c r="C1009" s="14"/>
      <c r="D1009" s="14"/>
      <c r="E1009" s="14"/>
      <c r="G1009" s="16"/>
      <c r="H1009" s="16"/>
      <c r="I1009" s="14"/>
    </row>
    <row r="1010">
      <c r="A1010" s="30"/>
      <c r="B1010" s="12"/>
      <c r="C1010" s="14"/>
      <c r="D1010" s="14"/>
      <c r="E1010" s="14"/>
      <c r="G1010" s="16"/>
      <c r="H1010" s="16"/>
      <c r="I1010" s="14"/>
    </row>
    <row r="1011">
      <c r="A1011" s="30"/>
      <c r="B1011" s="12"/>
      <c r="C1011" s="14"/>
      <c r="D1011" s="14"/>
      <c r="E1011" s="14"/>
      <c r="G1011" s="16"/>
      <c r="H1011" s="16"/>
      <c r="I1011" s="14"/>
    </row>
    <row r="1012">
      <c r="A1012" s="30"/>
      <c r="B1012" s="12"/>
      <c r="C1012" s="14"/>
      <c r="D1012" s="14"/>
      <c r="E1012" s="14"/>
      <c r="G1012" s="16"/>
      <c r="H1012" s="16"/>
      <c r="I1012" s="14"/>
    </row>
    <row r="1013">
      <c r="A1013" s="30"/>
      <c r="B1013" s="12"/>
      <c r="C1013" s="14"/>
      <c r="D1013" s="14"/>
      <c r="E1013" s="14"/>
      <c r="G1013" s="16"/>
      <c r="H1013" s="16"/>
      <c r="I1013" s="14"/>
    </row>
    <row r="1014">
      <c r="A1014" s="30"/>
      <c r="B1014" s="12"/>
      <c r="C1014" s="14"/>
      <c r="D1014" s="14"/>
      <c r="E1014" s="14"/>
      <c r="G1014" s="16"/>
      <c r="H1014" s="16"/>
      <c r="I1014" s="14"/>
    </row>
    <row r="1015">
      <c r="A1015" s="30"/>
      <c r="B1015" s="12"/>
      <c r="C1015" s="14"/>
      <c r="D1015" s="14"/>
      <c r="E1015" s="14"/>
      <c r="G1015" s="16"/>
      <c r="H1015" s="16"/>
      <c r="I1015" s="14"/>
    </row>
    <row r="1016">
      <c r="A1016" s="30"/>
      <c r="B1016" s="12"/>
      <c r="C1016" s="14"/>
      <c r="D1016" s="14"/>
      <c r="E1016" s="14"/>
      <c r="G1016" s="16"/>
      <c r="H1016" s="16"/>
      <c r="I1016" s="14"/>
    </row>
    <row r="1017">
      <c r="A1017" s="30"/>
      <c r="B1017" s="12"/>
      <c r="C1017" s="14"/>
      <c r="D1017" s="14"/>
      <c r="E1017" s="14"/>
      <c r="G1017" s="16"/>
      <c r="H1017" s="16"/>
      <c r="I1017" s="14"/>
    </row>
    <row r="1018">
      <c r="A1018" s="30"/>
      <c r="B1018" s="12"/>
      <c r="C1018" s="14"/>
      <c r="D1018" s="14"/>
      <c r="E1018" s="14"/>
      <c r="G1018" s="16"/>
      <c r="H1018" s="16"/>
      <c r="I1018" s="14"/>
    </row>
    <row r="1019">
      <c r="A1019" s="30"/>
      <c r="B1019" s="12"/>
      <c r="C1019" s="14"/>
      <c r="D1019" s="14"/>
      <c r="E1019" s="14"/>
      <c r="G1019" s="16"/>
      <c r="H1019" s="16"/>
      <c r="I1019" s="14"/>
    </row>
    <row r="1020">
      <c r="A1020" s="30"/>
      <c r="B1020" s="12"/>
      <c r="C1020" s="14"/>
      <c r="D1020" s="14"/>
      <c r="E1020" s="14"/>
      <c r="G1020" s="16"/>
      <c r="H1020" s="16"/>
      <c r="I1020" s="14"/>
    </row>
    <row r="1021">
      <c r="A1021" s="30"/>
      <c r="B1021" s="12"/>
      <c r="C1021" s="14"/>
      <c r="D1021" s="14"/>
      <c r="E1021" s="14"/>
      <c r="G1021" s="16"/>
      <c r="H1021" s="16"/>
      <c r="I1021" s="14"/>
    </row>
    <row r="1022">
      <c r="A1022" s="30"/>
      <c r="B1022" s="12"/>
      <c r="C1022" s="14"/>
      <c r="D1022" s="14"/>
      <c r="E1022" s="14"/>
      <c r="G1022" s="16"/>
      <c r="H1022" s="16"/>
      <c r="I1022" s="14"/>
    </row>
    <row r="1023">
      <c r="A1023" s="30"/>
      <c r="B1023" s="12"/>
      <c r="C1023" s="14"/>
      <c r="D1023" s="14"/>
      <c r="E1023" s="14"/>
      <c r="G1023" s="16"/>
      <c r="H1023" s="16"/>
      <c r="I1023" s="14"/>
    </row>
    <row r="1024">
      <c r="A1024" s="30"/>
      <c r="B1024" s="12"/>
      <c r="C1024" s="14"/>
      <c r="D1024" s="14"/>
      <c r="E1024" s="14"/>
      <c r="G1024" s="16"/>
      <c r="H1024" s="16"/>
      <c r="I1024" s="14"/>
    </row>
    <row r="1025">
      <c r="A1025" s="30"/>
      <c r="B1025" s="12"/>
      <c r="C1025" s="14"/>
      <c r="D1025" s="14"/>
      <c r="E1025" s="14"/>
      <c r="G1025" s="16"/>
      <c r="H1025" s="16"/>
      <c r="I1025" s="14"/>
    </row>
    <row r="1026">
      <c r="A1026" s="30"/>
      <c r="B1026" s="12"/>
      <c r="C1026" s="14"/>
      <c r="D1026" s="14"/>
      <c r="E1026" s="14"/>
      <c r="G1026" s="16"/>
      <c r="H1026" s="16"/>
      <c r="I1026" s="14"/>
    </row>
    <row r="1027">
      <c r="A1027" s="30"/>
      <c r="B1027" s="12"/>
      <c r="C1027" s="14"/>
      <c r="D1027" s="14"/>
      <c r="E1027" s="14"/>
      <c r="G1027" s="16"/>
      <c r="H1027" s="16"/>
      <c r="I1027" s="14"/>
    </row>
    <row r="1028">
      <c r="A1028" s="30"/>
      <c r="B1028" s="12"/>
      <c r="C1028" s="14"/>
      <c r="D1028" s="14"/>
      <c r="E1028" s="14"/>
      <c r="G1028" s="16"/>
      <c r="H1028" s="16"/>
      <c r="I1028" s="14"/>
    </row>
    <row r="1029">
      <c r="A1029" s="30"/>
      <c r="B1029" s="12"/>
      <c r="C1029" s="14"/>
      <c r="D1029" s="14"/>
      <c r="E1029" s="14"/>
      <c r="G1029" s="16"/>
      <c r="H1029" s="16"/>
      <c r="I1029" s="14"/>
    </row>
    <row r="1030">
      <c r="A1030" s="30"/>
      <c r="B1030" s="12"/>
      <c r="C1030" s="14"/>
      <c r="D1030" s="14"/>
      <c r="E1030" s="14"/>
      <c r="G1030" s="16"/>
      <c r="H1030" s="16"/>
      <c r="I1030" s="14"/>
    </row>
    <row r="1031">
      <c r="A1031" s="30"/>
      <c r="B1031" s="12"/>
      <c r="C1031" s="14"/>
      <c r="D1031" s="14"/>
      <c r="E1031" s="14"/>
      <c r="G1031" s="16"/>
      <c r="H1031" s="16"/>
      <c r="I1031" s="14"/>
    </row>
    <row r="1032">
      <c r="A1032" s="30"/>
      <c r="B1032" s="12"/>
      <c r="C1032" s="14"/>
      <c r="D1032" s="14"/>
      <c r="E1032" s="14"/>
      <c r="G1032" s="16"/>
      <c r="H1032" s="16"/>
      <c r="I1032" s="14"/>
    </row>
    <row r="1033">
      <c r="A1033" s="30"/>
      <c r="B1033" s="12"/>
      <c r="C1033" s="14"/>
      <c r="D1033" s="14"/>
      <c r="E1033" s="14"/>
      <c r="G1033" s="16"/>
      <c r="H1033" s="16"/>
      <c r="I1033" s="14"/>
    </row>
    <row r="1034">
      <c r="A1034" s="30"/>
      <c r="B1034" s="12"/>
      <c r="C1034" s="14"/>
      <c r="D1034" s="14"/>
      <c r="E1034" s="14"/>
      <c r="G1034" s="16"/>
      <c r="H1034" s="16"/>
      <c r="I1034" s="14"/>
    </row>
    <row r="1035">
      <c r="A1035" s="30"/>
      <c r="B1035" s="12"/>
      <c r="C1035" s="14"/>
      <c r="D1035" s="14"/>
      <c r="E1035" s="14"/>
      <c r="G1035" s="16"/>
      <c r="H1035" s="16"/>
      <c r="I1035" s="14"/>
    </row>
    <row r="1036">
      <c r="A1036" s="30"/>
      <c r="B1036" s="12"/>
      <c r="C1036" s="14"/>
      <c r="D1036" s="14"/>
      <c r="E1036" s="14"/>
      <c r="G1036" s="16"/>
      <c r="H1036" s="16"/>
      <c r="I1036" s="14"/>
    </row>
    <row r="1037">
      <c r="A1037" s="30"/>
      <c r="B1037" s="12"/>
      <c r="C1037" s="14"/>
      <c r="D1037" s="14"/>
      <c r="E1037" s="14"/>
      <c r="G1037" s="16"/>
      <c r="H1037" s="16"/>
      <c r="I1037" s="14"/>
    </row>
    <row r="1038">
      <c r="A1038" s="30"/>
      <c r="B1038" s="12"/>
      <c r="C1038" s="14"/>
      <c r="D1038" s="14"/>
      <c r="E1038" s="14"/>
      <c r="G1038" s="16"/>
      <c r="H1038" s="16"/>
      <c r="I1038" s="14"/>
    </row>
    <row r="1039">
      <c r="A1039" s="30"/>
      <c r="B1039" s="12"/>
      <c r="C1039" s="14"/>
      <c r="D1039" s="14"/>
      <c r="E1039" s="14"/>
      <c r="G1039" s="16"/>
      <c r="H1039" s="16"/>
      <c r="I1039" s="14"/>
    </row>
    <row r="1040">
      <c r="A1040" s="30"/>
      <c r="B1040" s="12"/>
      <c r="C1040" s="14"/>
      <c r="D1040" s="14"/>
      <c r="E1040" s="14"/>
      <c r="G1040" s="16"/>
      <c r="H1040" s="16"/>
      <c r="I1040" s="14"/>
    </row>
    <row r="1041">
      <c r="A1041" s="30"/>
      <c r="B1041" s="12"/>
      <c r="C1041" s="14"/>
      <c r="D1041" s="14"/>
      <c r="E1041" s="14"/>
      <c r="G1041" s="16"/>
      <c r="H1041" s="16"/>
      <c r="I1041" s="14"/>
    </row>
    <row r="1042">
      <c r="A1042" s="30"/>
      <c r="B1042" s="12"/>
      <c r="C1042" s="14"/>
      <c r="D1042" s="14"/>
      <c r="E1042" s="14"/>
      <c r="G1042" s="16"/>
      <c r="H1042" s="16"/>
      <c r="I1042" s="14"/>
    </row>
    <row r="1043">
      <c r="A1043" s="30"/>
      <c r="B1043" s="12"/>
      <c r="C1043" s="14"/>
      <c r="D1043" s="14"/>
      <c r="E1043" s="14"/>
      <c r="G1043" s="16"/>
      <c r="H1043" s="16"/>
      <c r="I1043" s="14"/>
    </row>
    <row r="1044">
      <c r="A1044" s="30"/>
      <c r="B1044" s="12"/>
      <c r="C1044" s="14"/>
      <c r="D1044" s="14"/>
      <c r="E1044" s="14"/>
      <c r="G1044" s="16"/>
      <c r="H1044" s="16"/>
      <c r="I1044" s="14"/>
    </row>
    <row r="1045">
      <c r="A1045" s="30"/>
      <c r="B1045" s="12"/>
      <c r="C1045" s="14"/>
      <c r="D1045" s="14"/>
      <c r="E1045" s="14"/>
      <c r="G1045" s="16"/>
      <c r="H1045" s="16"/>
      <c r="I1045" s="14"/>
    </row>
    <row r="1046">
      <c r="A1046" s="30"/>
      <c r="B1046" s="12"/>
      <c r="C1046" s="14"/>
      <c r="D1046" s="14"/>
      <c r="E1046" s="14"/>
      <c r="G1046" s="16"/>
      <c r="H1046" s="16"/>
      <c r="I1046" s="14"/>
    </row>
    <row r="1047">
      <c r="A1047" s="30"/>
      <c r="B1047" s="12"/>
      <c r="C1047" s="14"/>
      <c r="D1047" s="14"/>
      <c r="E1047" s="14"/>
      <c r="G1047" s="16"/>
      <c r="H1047" s="16"/>
      <c r="I1047" s="14"/>
    </row>
    <row r="1048">
      <c r="A1048" s="30"/>
      <c r="B1048" s="12"/>
      <c r="C1048" s="14"/>
      <c r="D1048" s="14"/>
      <c r="E1048" s="14"/>
      <c r="G1048" s="16"/>
      <c r="H1048" s="16"/>
      <c r="I1048" s="14"/>
    </row>
    <row r="1049">
      <c r="A1049" s="30"/>
      <c r="B1049" s="12"/>
      <c r="C1049" s="14"/>
      <c r="D1049" s="14"/>
      <c r="E1049" s="14"/>
      <c r="G1049" s="16"/>
      <c r="H1049" s="16"/>
      <c r="I1049" s="14"/>
    </row>
    <row r="1050">
      <c r="A1050" s="30"/>
      <c r="B1050" s="12"/>
      <c r="C1050" s="14"/>
      <c r="D1050" s="14"/>
      <c r="E1050" s="14"/>
      <c r="G1050" s="16"/>
      <c r="H1050" s="16"/>
      <c r="I1050" s="14"/>
    </row>
    <row r="1051">
      <c r="A1051" s="30"/>
      <c r="B1051" s="12"/>
      <c r="C1051" s="14"/>
      <c r="D1051" s="14"/>
      <c r="E1051" s="14"/>
      <c r="G1051" s="16"/>
      <c r="H1051" s="16"/>
      <c r="I1051" s="14"/>
    </row>
    <row r="1052">
      <c r="A1052" s="30"/>
      <c r="B1052" s="12"/>
      <c r="C1052" s="14"/>
      <c r="D1052" s="14"/>
      <c r="E1052" s="14"/>
      <c r="G1052" s="16"/>
      <c r="H1052" s="16"/>
      <c r="I1052" s="14"/>
    </row>
    <row r="1053">
      <c r="A1053" s="30"/>
      <c r="B1053" s="12"/>
      <c r="C1053" s="14"/>
      <c r="D1053" s="14"/>
      <c r="E1053" s="14"/>
      <c r="G1053" s="16"/>
      <c r="H1053" s="16"/>
      <c r="I1053" s="14"/>
    </row>
    <row r="1054">
      <c r="A1054" s="30"/>
      <c r="B1054" s="12"/>
      <c r="C1054" s="14"/>
      <c r="D1054" s="14"/>
      <c r="E1054" s="14"/>
      <c r="G1054" s="16"/>
      <c r="H1054" s="16"/>
      <c r="I1054" s="14"/>
    </row>
    <row r="1055">
      <c r="A1055" s="30"/>
      <c r="B1055" s="12"/>
      <c r="C1055" s="14"/>
      <c r="D1055" s="14"/>
      <c r="E1055" s="14"/>
      <c r="G1055" s="16"/>
      <c r="H1055" s="16"/>
      <c r="I1055" s="14"/>
    </row>
    <row r="1056">
      <c r="A1056" s="30"/>
      <c r="B1056" s="12"/>
      <c r="C1056" s="14"/>
      <c r="D1056" s="14"/>
      <c r="E1056" s="14"/>
      <c r="G1056" s="16"/>
      <c r="H1056" s="16"/>
      <c r="I1056" s="14"/>
    </row>
    <row r="1057">
      <c r="A1057" s="30"/>
      <c r="B1057" s="12"/>
      <c r="C1057" s="14"/>
      <c r="D1057" s="14"/>
      <c r="E1057" s="14"/>
      <c r="G1057" s="16"/>
      <c r="H1057" s="16"/>
      <c r="I1057" s="14"/>
    </row>
    <row r="1058">
      <c r="A1058" s="30"/>
      <c r="B1058" s="12"/>
      <c r="C1058" s="14"/>
      <c r="D1058" s="14"/>
      <c r="E1058" s="14"/>
      <c r="G1058" s="16"/>
      <c r="H1058" s="16"/>
      <c r="I1058" s="14"/>
    </row>
    <row r="1059">
      <c r="A1059" s="30"/>
      <c r="B1059" s="12"/>
      <c r="C1059" s="14"/>
      <c r="D1059" s="14"/>
      <c r="E1059" s="14"/>
      <c r="G1059" s="16"/>
      <c r="H1059" s="16"/>
      <c r="I1059" s="14"/>
    </row>
    <row r="1060">
      <c r="A1060" s="30"/>
      <c r="B1060" s="12"/>
      <c r="C1060" s="14"/>
      <c r="D1060" s="14"/>
      <c r="E1060" s="14"/>
      <c r="G1060" s="16"/>
      <c r="H1060" s="16"/>
      <c r="I1060" s="14"/>
    </row>
    <row r="1061">
      <c r="A1061" s="30"/>
      <c r="B1061" s="12"/>
      <c r="C1061" s="14"/>
      <c r="D1061" s="14"/>
      <c r="E1061" s="14"/>
      <c r="G1061" s="16"/>
      <c r="H1061" s="16"/>
      <c r="I1061" s="14"/>
    </row>
    <row r="1062">
      <c r="A1062" s="30"/>
      <c r="B1062" s="12"/>
      <c r="C1062" s="14"/>
      <c r="D1062" s="14"/>
      <c r="E1062" s="14"/>
      <c r="G1062" s="16"/>
      <c r="H1062" s="16"/>
      <c r="I1062" s="14"/>
    </row>
    <row r="1063">
      <c r="A1063" s="30"/>
      <c r="B1063" s="12"/>
      <c r="C1063" s="14"/>
      <c r="D1063" s="14"/>
      <c r="E1063" s="14"/>
      <c r="G1063" s="16"/>
      <c r="H1063" s="16"/>
      <c r="I1063" s="14"/>
    </row>
    <row r="1064">
      <c r="A1064" s="30"/>
      <c r="B1064" s="12"/>
      <c r="C1064" s="14"/>
      <c r="D1064" s="14"/>
      <c r="E1064" s="14"/>
      <c r="G1064" s="16"/>
      <c r="H1064" s="16"/>
      <c r="I1064" s="14"/>
    </row>
    <row r="1065">
      <c r="A1065" s="30"/>
      <c r="B1065" s="12"/>
      <c r="C1065" s="14"/>
      <c r="D1065" s="14"/>
      <c r="E1065" s="14"/>
      <c r="G1065" s="16"/>
      <c r="H1065" s="16"/>
      <c r="I1065" s="14"/>
    </row>
    <row r="1066">
      <c r="A1066" s="30"/>
      <c r="B1066" s="12"/>
      <c r="C1066" s="14"/>
      <c r="D1066" s="14"/>
      <c r="E1066" s="14"/>
      <c r="G1066" s="16"/>
      <c r="H1066" s="16"/>
      <c r="I1066" s="14"/>
    </row>
    <row r="1067">
      <c r="A1067" s="30"/>
      <c r="B1067" s="12"/>
      <c r="C1067" s="14"/>
      <c r="D1067" s="14"/>
      <c r="E1067" s="14"/>
      <c r="G1067" s="16"/>
      <c r="H1067" s="16"/>
      <c r="I1067" s="14"/>
    </row>
    <row r="1068">
      <c r="A1068" s="30"/>
      <c r="B1068" s="12"/>
      <c r="C1068" s="14"/>
      <c r="D1068" s="14"/>
      <c r="E1068" s="14"/>
      <c r="G1068" s="16"/>
      <c r="H1068" s="16"/>
      <c r="I1068" s="14"/>
    </row>
    <row r="1069">
      <c r="A1069" s="30"/>
      <c r="B1069" s="12"/>
      <c r="C1069" s="14"/>
      <c r="D1069" s="14"/>
      <c r="E1069" s="14"/>
      <c r="G1069" s="16"/>
      <c r="H1069" s="16"/>
      <c r="I1069" s="14"/>
    </row>
    <row r="1070">
      <c r="A1070" s="30"/>
      <c r="B1070" s="12"/>
      <c r="C1070" s="14"/>
      <c r="D1070" s="14"/>
      <c r="E1070" s="14"/>
      <c r="G1070" s="16"/>
      <c r="H1070" s="16"/>
      <c r="I1070" s="14"/>
    </row>
    <row r="1071">
      <c r="A1071" s="30"/>
      <c r="B1071" s="12"/>
      <c r="C1071" s="14"/>
      <c r="D1071" s="14"/>
      <c r="E1071" s="14"/>
      <c r="G1071" s="16"/>
      <c r="H1071" s="16"/>
      <c r="I1071" s="14"/>
    </row>
    <row r="1072">
      <c r="A1072" s="30"/>
      <c r="B1072" s="12"/>
      <c r="C1072" s="14"/>
      <c r="D1072" s="14"/>
      <c r="E1072" s="14"/>
      <c r="G1072" s="16"/>
      <c r="H1072" s="16"/>
      <c r="I1072" s="14"/>
    </row>
    <row r="1073">
      <c r="A1073" s="30"/>
      <c r="B1073" s="12"/>
      <c r="C1073" s="14"/>
      <c r="D1073" s="14"/>
      <c r="E1073" s="14"/>
      <c r="G1073" s="16"/>
      <c r="H1073" s="16"/>
      <c r="I1073" s="14"/>
    </row>
    <row r="1074">
      <c r="A1074" s="30"/>
      <c r="B1074" s="12"/>
      <c r="C1074" s="14"/>
      <c r="D1074" s="14"/>
      <c r="E1074" s="14"/>
      <c r="G1074" s="16"/>
      <c r="H1074" s="16"/>
      <c r="I1074" s="14"/>
    </row>
    <row r="1075">
      <c r="A1075" s="30"/>
      <c r="B1075" s="12"/>
      <c r="C1075" s="14"/>
      <c r="D1075" s="14"/>
      <c r="E1075" s="14"/>
      <c r="G1075" s="16"/>
      <c r="H1075" s="16"/>
      <c r="I1075" s="14"/>
    </row>
    <row r="1076">
      <c r="A1076" s="30"/>
      <c r="B1076" s="12"/>
      <c r="C1076" s="14"/>
      <c r="D1076" s="14"/>
      <c r="E1076" s="14"/>
      <c r="G1076" s="16"/>
      <c r="H1076" s="16"/>
      <c r="I1076" s="14"/>
    </row>
    <row r="1077">
      <c r="A1077" s="30"/>
      <c r="B1077" s="12"/>
      <c r="C1077" s="14"/>
      <c r="D1077" s="14"/>
      <c r="E1077" s="14"/>
      <c r="G1077" s="16"/>
      <c r="H1077" s="16"/>
      <c r="I1077" s="14"/>
    </row>
    <row r="1078">
      <c r="A1078" s="30"/>
      <c r="B1078" s="12"/>
      <c r="C1078" s="14"/>
      <c r="D1078" s="14"/>
      <c r="E1078" s="14"/>
      <c r="G1078" s="16"/>
      <c r="H1078" s="16"/>
      <c r="I1078" s="14"/>
    </row>
    <row r="1079">
      <c r="A1079" s="30"/>
      <c r="B1079" s="12"/>
      <c r="C1079" s="14"/>
      <c r="D1079" s="14"/>
      <c r="E1079" s="14"/>
      <c r="G1079" s="16"/>
      <c r="H1079" s="16"/>
      <c r="I1079" s="14"/>
    </row>
    <row r="1080">
      <c r="A1080" s="30"/>
      <c r="B1080" s="12"/>
      <c r="C1080" s="14"/>
      <c r="D1080" s="14"/>
      <c r="E1080" s="14"/>
      <c r="G1080" s="16"/>
      <c r="H1080" s="16"/>
      <c r="I1080" s="14"/>
    </row>
    <row r="1081">
      <c r="A1081" s="30"/>
      <c r="B1081" s="12"/>
      <c r="C1081" s="14"/>
      <c r="D1081" s="14"/>
      <c r="E1081" s="14"/>
      <c r="G1081" s="16"/>
      <c r="H1081" s="16"/>
      <c r="I1081" s="14"/>
    </row>
    <row r="1082">
      <c r="A1082" s="30"/>
      <c r="B1082" s="12"/>
      <c r="C1082" s="14"/>
      <c r="D1082" s="14"/>
      <c r="E1082" s="14"/>
      <c r="G1082" s="16"/>
      <c r="H1082" s="16"/>
      <c r="I1082" s="14"/>
    </row>
    <row r="1083">
      <c r="A1083" s="30"/>
      <c r="B1083" s="12"/>
      <c r="C1083" s="14"/>
      <c r="D1083" s="14"/>
      <c r="E1083" s="14"/>
      <c r="G1083" s="16"/>
      <c r="H1083" s="16"/>
      <c r="I1083" s="14"/>
    </row>
    <row r="1084">
      <c r="A1084" s="30"/>
      <c r="B1084" s="12"/>
      <c r="C1084" s="14"/>
      <c r="D1084" s="14"/>
      <c r="E1084" s="14"/>
      <c r="G1084" s="16"/>
      <c r="H1084" s="16"/>
      <c r="I1084" s="14"/>
    </row>
    <row r="1085">
      <c r="A1085" s="30"/>
      <c r="B1085" s="12"/>
      <c r="C1085" s="14"/>
      <c r="D1085" s="14"/>
      <c r="E1085" s="14"/>
      <c r="G1085" s="16"/>
      <c r="H1085" s="16"/>
      <c r="I1085" s="14"/>
    </row>
    <row r="1086">
      <c r="A1086" s="30"/>
      <c r="B1086" s="12"/>
      <c r="C1086" s="14"/>
      <c r="D1086" s="14"/>
      <c r="E1086" s="14"/>
      <c r="G1086" s="16"/>
      <c r="H1086" s="16"/>
      <c r="I1086" s="14"/>
    </row>
    <row r="1087">
      <c r="A1087" s="30"/>
      <c r="B1087" s="12"/>
      <c r="C1087" s="14"/>
      <c r="D1087" s="14"/>
      <c r="E1087" s="14"/>
      <c r="G1087" s="16"/>
      <c r="H1087" s="16"/>
      <c r="I1087" s="14"/>
    </row>
    <row r="1088">
      <c r="A1088" s="30"/>
      <c r="B1088" s="12"/>
      <c r="C1088" s="14"/>
      <c r="D1088" s="14"/>
      <c r="E1088" s="14"/>
      <c r="G1088" s="16"/>
      <c r="H1088" s="16"/>
      <c r="I1088" s="14"/>
    </row>
    <row r="1089">
      <c r="A1089" s="30"/>
      <c r="B1089" s="12"/>
      <c r="C1089" s="14"/>
      <c r="D1089" s="14"/>
      <c r="E1089" s="14"/>
      <c r="G1089" s="16"/>
      <c r="H1089" s="16"/>
      <c r="I1089" s="14"/>
    </row>
    <row r="1090">
      <c r="A1090" s="30"/>
      <c r="B1090" s="12"/>
      <c r="C1090" s="14"/>
      <c r="D1090" s="14"/>
      <c r="E1090" s="14"/>
      <c r="G1090" s="16"/>
      <c r="H1090" s="16"/>
      <c r="I1090" s="14"/>
    </row>
    <row r="1091">
      <c r="A1091" s="30"/>
      <c r="B1091" s="12"/>
      <c r="C1091" s="14"/>
      <c r="D1091" s="14"/>
      <c r="E1091" s="14"/>
      <c r="G1091" s="16"/>
      <c r="H1091" s="16"/>
      <c r="I1091" s="14"/>
    </row>
    <row r="1092">
      <c r="A1092" s="30"/>
      <c r="B1092" s="12"/>
      <c r="C1092" s="14"/>
      <c r="D1092" s="14"/>
      <c r="E1092" s="14"/>
      <c r="G1092" s="16"/>
      <c r="H1092" s="16"/>
      <c r="I1092" s="14"/>
    </row>
    <row r="1093">
      <c r="A1093" s="30"/>
      <c r="B1093" s="12"/>
      <c r="C1093" s="14"/>
      <c r="D1093" s="14"/>
      <c r="E1093" s="14"/>
      <c r="G1093" s="16"/>
      <c r="H1093" s="16"/>
      <c r="I1093" s="14"/>
    </row>
    <row r="1094">
      <c r="A1094" s="30"/>
      <c r="B1094" s="12"/>
      <c r="C1094" s="14"/>
      <c r="D1094" s="14"/>
      <c r="E1094" s="14"/>
      <c r="G1094" s="16"/>
      <c r="H1094" s="16"/>
      <c r="I1094" s="14"/>
    </row>
    <row r="1095">
      <c r="A1095" s="30"/>
      <c r="B1095" s="12"/>
      <c r="C1095" s="14"/>
      <c r="D1095" s="14"/>
      <c r="E1095" s="14"/>
      <c r="G1095" s="16"/>
      <c r="H1095" s="16"/>
      <c r="I1095" s="14"/>
    </row>
    <row r="1096">
      <c r="A1096" s="30"/>
      <c r="B1096" s="12"/>
      <c r="C1096" s="14"/>
      <c r="D1096" s="14"/>
      <c r="E1096" s="14"/>
      <c r="G1096" s="16"/>
      <c r="H1096" s="16"/>
      <c r="I1096" s="14"/>
    </row>
    <row r="1097">
      <c r="A1097" s="30"/>
      <c r="B1097" s="12"/>
      <c r="C1097" s="14"/>
      <c r="D1097" s="14"/>
      <c r="E1097" s="14"/>
      <c r="G1097" s="16"/>
      <c r="H1097" s="16"/>
      <c r="I1097" s="14"/>
    </row>
    <row r="1098">
      <c r="A1098" s="30"/>
      <c r="B1098" s="12"/>
      <c r="C1098" s="14"/>
      <c r="D1098" s="14"/>
      <c r="E1098" s="14"/>
      <c r="G1098" s="16"/>
      <c r="H1098" s="16"/>
      <c r="I1098" s="14"/>
    </row>
    <row r="1099">
      <c r="A1099" s="30"/>
      <c r="B1099" s="12"/>
      <c r="C1099" s="14"/>
      <c r="D1099" s="14"/>
      <c r="E1099" s="14"/>
      <c r="G1099" s="16"/>
      <c r="H1099" s="16"/>
      <c r="I1099" s="14"/>
    </row>
    <row r="1100">
      <c r="A1100" s="30"/>
      <c r="B1100" s="12"/>
      <c r="C1100" s="14"/>
      <c r="D1100" s="14"/>
      <c r="E1100" s="14"/>
      <c r="G1100" s="16"/>
      <c r="H1100" s="16"/>
      <c r="I1100" s="14"/>
    </row>
    <row r="1101">
      <c r="A1101" s="30"/>
      <c r="B1101" s="12"/>
      <c r="C1101" s="14"/>
      <c r="D1101" s="14"/>
      <c r="E1101" s="14"/>
      <c r="G1101" s="16"/>
      <c r="H1101" s="16"/>
      <c r="I1101" s="14"/>
    </row>
    <row r="1102">
      <c r="A1102" s="30"/>
      <c r="B1102" s="12"/>
      <c r="C1102" s="14"/>
      <c r="D1102" s="14"/>
      <c r="E1102" s="14"/>
      <c r="G1102" s="16"/>
      <c r="H1102" s="16"/>
      <c r="I1102" s="14"/>
    </row>
    <row r="1103">
      <c r="A1103" s="30"/>
      <c r="B1103" s="12"/>
      <c r="C1103" s="14"/>
      <c r="D1103" s="14"/>
      <c r="E1103" s="14"/>
      <c r="G1103" s="16"/>
      <c r="H1103" s="16"/>
      <c r="I1103" s="14"/>
    </row>
    <row r="1104">
      <c r="A1104" s="30"/>
      <c r="B1104" s="12"/>
      <c r="C1104" s="14"/>
      <c r="D1104" s="14"/>
      <c r="E1104" s="14"/>
      <c r="G1104" s="16"/>
      <c r="H1104" s="16"/>
      <c r="I1104" s="14"/>
    </row>
    <row r="1105">
      <c r="A1105" s="30"/>
      <c r="B1105" s="12"/>
      <c r="C1105" s="14"/>
      <c r="D1105" s="14"/>
      <c r="E1105" s="14"/>
      <c r="G1105" s="16"/>
      <c r="H1105" s="16"/>
      <c r="I1105" s="14"/>
    </row>
    <row r="1106">
      <c r="A1106" s="30"/>
      <c r="B1106" s="12"/>
      <c r="C1106" s="14"/>
      <c r="D1106" s="14"/>
      <c r="E1106" s="14"/>
      <c r="G1106" s="16"/>
      <c r="H1106" s="16"/>
      <c r="I1106" s="14"/>
    </row>
    <row r="1107">
      <c r="A1107" s="30"/>
      <c r="B1107" s="12"/>
      <c r="C1107" s="14"/>
      <c r="D1107" s="14"/>
      <c r="E1107" s="14"/>
      <c r="G1107" s="16"/>
      <c r="H1107" s="16"/>
      <c r="I1107" s="14"/>
    </row>
    <row r="1108">
      <c r="A1108" s="30"/>
      <c r="B1108" s="12"/>
      <c r="C1108" s="14"/>
      <c r="D1108" s="14"/>
      <c r="E1108" s="14"/>
      <c r="G1108" s="16"/>
      <c r="H1108" s="16"/>
      <c r="I1108" s="14"/>
    </row>
    <row r="1109">
      <c r="A1109" s="30"/>
      <c r="B1109" s="12"/>
      <c r="C1109" s="14"/>
      <c r="D1109" s="14"/>
      <c r="E1109" s="14"/>
      <c r="G1109" s="16"/>
      <c r="H1109" s="16"/>
      <c r="I1109" s="14"/>
    </row>
    <row r="1110">
      <c r="A1110" s="30"/>
      <c r="B1110" s="12"/>
      <c r="C1110" s="14"/>
      <c r="D1110" s="14"/>
      <c r="E1110" s="14"/>
      <c r="G1110" s="16"/>
      <c r="H1110" s="16"/>
      <c r="I1110" s="14"/>
    </row>
    <row r="1111">
      <c r="A1111" s="30"/>
      <c r="B1111" s="12"/>
      <c r="C1111" s="14"/>
      <c r="D1111" s="14"/>
      <c r="E1111" s="14"/>
      <c r="G1111" s="16"/>
      <c r="H1111" s="16"/>
      <c r="I1111" s="14"/>
    </row>
    <row r="1112">
      <c r="A1112" s="30"/>
      <c r="B1112" s="12"/>
      <c r="C1112" s="14"/>
      <c r="D1112" s="14"/>
      <c r="E1112" s="14"/>
      <c r="G1112" s="16"/>
      <c r="H1112" s="16"/>
      <c r="I1112" s="14"/>
    </row>
    <row r="1113">
      <c r="A1113" s="30"/>
      <c r="B1113" s="12"/>
      <c r="C1113" s="14"/>
      <c r="D1113" s="14"/>
      <c r="E1113" s="14"/>
      <c r="G1113" s="16"/>
      <c r="H1113" s="16"/>
      <c r="I1113" s="14"/>
    </row>
    <row r="1114">
      <c r="A1114" s="30"/>
      <c r="B1114" s="12"/>
      <c r="C1114" s="14"/>
      <c r="D1114" s="14"/>
      <c r="E1114" s="14"/>
      <c r="G1114" s="16"/>
      <c r="H1114" s="16"/>
      <c r="I1114" s="14"/>
    </row>
    <row r="1115">
      <c r="A1115" s="30"/>
      <c r="B1115" s="12"/>
      <c r="C1115" s="14"/>
      <c r="D1115" s="14"/>
      <c r="E1115" s="14"/>
      <c r="G1115" s="16"/>
      <c r="H1115" s="16"/>
      <c r="I1115" s="14"/>
    </row>
    <row r="1116">
      <c r="A1116" s="30"/>
      <c r="B1116" s="12"/>
      <c r="C1116" s="14"/>
      <c r="D1116" s="14"/>
      <c r="E1116" s="14"/>
      <c r="G1116" s="16"/>
      <c r="H1116" s="16"/>
      <c r="I1116" s="14"/>
    </row>
    <row r="1117">
      <c r="A1117" s="30"/>
      <c r="B1117" s="12"/>
      <c r="C1117" s="14"/>
      <c r="D1117" s="14"/>
      <c r="E1117" s="14"/>
      <c r="G1117" s="16"/>
      <c r="H1117" s="16"/>
      <c r="I1117" s="14"/>
    </row>
    <row r="1118">
      <c r="A1118" s="30"/>
      <c r="B1118" s="12"/>
      <c r="C1118" s="14"/>
      <c r="D1118" s="14"/>
      <c r="E1118" s="14"/>
      <c r="G1118" s="16"/>
      <c r="H1118" s="16"/>
      <c r="I1118" s="14"/>
    </row>
    <row r="1119">
      <c r="A1119" s="30"/>
      <c r="B1119" s="12"/>
      <c r="C1119" s="14"/>
      <c r="D1119" s="14"/>
      <c r="E1119" s="14"/>
      <c r="G1119" s="16"/>
      <c r="H1119" s="16"/>
      <c r="I1119" s="14"/>
    </row>
    <row r="1120">
      <c r="A1120" s="30"/>
      <c r="B1120" s="12"/>
      <c r="C1120" s="14"/>
      <c r="D1120" s="14"/>
      <c r="E1120" s="14"/>
      <c r="G1120" s="16"/>
      <c r="H1120" s="16"/>
      <c r="I1120" s="14"/>
    </row>
    <row r="1121">
      <c r="A1121" s="30"/>
      <c r="B1121" s="12"/>
      <c r="C1121" s="14"/>
      <c r="D1121" s="14"/>
      <c r="E1121" s="14"/>
      <c r="G1121" s="16"/>
      <c r="H1121" s="16"/>
      <c r="I1121" s="14"/>
    </row>
    <row r="1122">
      <c r="A1122" s="30"/>
      <c r="B1122" s="12"/>
      <c r="C1122" s="14"/>
      <c r="D1122" s="14"/>
      <c r="E1122" s="14"/>
      <c r="G1122" s="16"/>
      <c r="H1122" s="16"/>
      <c r="I1122" s="14"/>
    </row>
    <row r="1123">
      <c r="A1123" s="30"/>
      <c r="B1123" s="12"/>
      <c r="C1123" s="14"/>
      <c r="D1123" s="14"/>
      <c r="E1123" s="14"/>
      <c r="G1123" s="16"/>
      <c r="H1123" s="16"/>
      <c r="I1123" s="14"/>
    </row>
    <row r="1124">
      <c r="A1124" s="30"/>
      <c r="B1124" s="12"/>
      <c r="C1124" s="14"/>
      <c r="D1124" s="14"/>
      <c r="E1124" s="14"/>
      <c r="G1124" s="16"/>
      <c r="H1124" s="16"/>
      <c r="I1124" s="14"/>
    </row>
    <row r="1125">
      <c r="A1125" s="30"/>
      <c r="B1125" s="12"/>
      <c r="C1125" s="14"/>
      <c r="D1125" s="14"/>
      <c r="E1125" s="14"/>
      <c r="G1125" s="16"/>
      <c r="H1125" s="16"/>
      <c r="I1125" s="14"/>
    </row>
    <row r="1126">
      <c r="A1126" s="30"/>
      <c r="B1126" s="12"/>
      <c r="C1126" s="14"/>
      <c r="D1126" s="14"/>
      <c r="E1126" s="14"/>
      <c r="G1126" s="16"/>
      <c r="H1126" s="16"/>
      <c r="I1126" s="14"/>
    </row>
    <row r="1127">
      <c r="A1127" s="30"/>
      <c r="B1127" s="12"/>
      <c r="C1127" s="14"/>
      <c r="D1127" s="14"/>
      <c r="E1127" s="14"/>
      <c r="G1127" s="16"/>
      <c r="H1127" s="16"/>
      <c r="I1127" s="14"/>
    </row>
    <row r="1128">
      <c r="A1128" s="30"/>
      <c r="B1128" s="12"/>
      <c r="C1128" s="14"/>
      <c r="D1128" s="14"/>
      <c r="E1128" s="14"/>
      <c r="G1128" s="16"/>
      <c r="H1128" s="16"/>
      <c r="I1128" s="14"/>
    </row>
    <row r="1129">
      <c r="A1129" s="30"/>
      <c r="B1129" s="12"/>
      <c r="C1129" s="14"/>
      <c r="D1129" s="14"/>
      <c r="E1129" s="14"/>
      <c r="G1129" s="16"/>
      <c r="H1129" s="16"/>
      <c r="I1129" s="14"/>
    </row>
    <row r="1130">
      <c r="A1130" s="30"/>
      <c r="B1130" s="12"/>
      <c r="C1130" s="14"/>
      <c r="D1130" s="14"/>
      <c r="E1130" s="14"/>
      <c r="G1130" s="16"/>
      <c r="H1130" s="16"/>
      <c r="I1130" s="14"/>
    </row>
    <row r="1131">
      <c r="A1131" s="30"/>
      <c r="B1131" s="12"/>
      <c r="C1131" s="14"/>
      <c r="D1131" s="14"/>
      <c r="E1131" s="14"/>
      <c r="G1131" s="16"/>
      <c r="H1131" s="16"/>
      <c r="I1131" s="14"/>
    </row>
  </sheetData>
  <autoFilter ref="$A$1:$I$131"/>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5.5"/>
    <col customWidth="1" min="3" max="3" width="16.88"/>
    <col customWidth="1" min="4" max="4" width="17.5"/>
    <col customWidth="1" min="5" max="5" width="28.88"/>
    <col customWidth="1" min="6" max="6" width="24.88"/>
    <col customWidth="1" min="7" max="7" width="14.63"/>
    <col customWidth="1" min="8" max="8" width="9.5"/>
    <col customWidth="1" min="9" max="9" width="38.88"/>
    <col customWidth="1" min="10" max="10" width="24.88"/>
    <col customWidth="1" min="11" max="11" width="18.0"/>
    <col customWidth="1" min="12" max="12" width="16.63"/>
    <col customWidth="1" min="13" max="13" width="64.88"/>
  </cols>
  <sheetData>
    <row r="1">
      <c r="A1" s="1" t="s">
        <v>0</v>
      </c>
      <c r="B1" s="2" t="s">
        <v>1</v>
      </c>
      <c r="C1" s="2" t="s">
        <v>2</v>
      </c>
      <c r="D1" s="2" t="s">
        <v>5</v>
      </c>
      <c r="E1" s="2" t="s">
        <v>3</v>
      </c>
      <c r="F1" s="2" t="s">
        <v>4</v>
      </c>
      <c r="G1" s="2" t="s">
        <v>7</v>
      </c>
      <c r="H1" s="2" t="s">
        <v>8</v>
      </c>
      <c r="I1" s="2" t="s">
        <v>10</v>
      </c>
      <c r="J1" s="2" t="s">
        <v>11</v>
      </c>
      <c r="K1" s="2" t="s">
        <v>13</v>
      </c>
      <c r="L1" s="2" t="s">
        <v>16</v>
      </c>
      <c r="M1" s="2" t="s">
        <v>12</v>
      </c>
    </row>
    <row r="2">
      <c r="A2" s="7" t="s">
        <v>41</v>
      </c>
      <c r="B2" s="18" t="s">
        <v>45</v>
      </c>
      <c r="C2" s="18" t="s">
        <v>14</v>
      </c>
      <c r="D2" s="18" t="s">
        <v>55</v>
      </c>
      <c r="E2" s="18" t="s">
        <v>61</v>
      </c>
      <c r="F2" s="18" t="s">
        <v>64</v>
      </c>
      <c r="G2" s="24">
        <v>8.5735113595E10</v>
      </c>
      <c r="H2" s="24">
        <v>1.0</v>
      </c>
      <c r="I2" s="18" t="s">
        <v>61</v>
      </c>
      <c r="J2" s="18" t="s">
        <v>64</v>
      </c>
      <c r="K2" s="24">
        <v>8.5735113595E10</v>
      </c>
      <c r="L2" s="18" t="s">
        <v>55</v>
      </c>
      <c r="M2" s="18" t="s">
        <v>87</v>
      </c>
    </row>
    <row r="3">
      <c r="A3" s="7" t="s">
        <v>41</v>
      </c>
      <c r="B3" s="18" t="s">
        <v>112</v>
      </c>
      <c r="C3" s="18" t="s">
        <v>14</v>
      </c>
      <c r="D3" s="18" t="s">
        <v>116</v>
      </c>
      <c r="E3" s="18" t="s">
        <v>119</v>
      </c>
      <c r="F3" s="18" t="s">
        <v>121</v>
      </c>
      <c r="G3" s="24">
        <v>8.5856261477E10</v>
      </c>
      <c r="H3" s="24">
        <v>1.0</v>
      </c>
      <c r="I3" s="18" t="s">
        <v>119</v>
      </c>
      <c r="J3" s="18" t="s">
        <v>121</v>
      </c>
      <c r="K3" s="24">
        <v>8.5856261477E10</v>
      </c>
      <c r="L3" s="18" t="s">
        <v>116</v>
      </c>
      <c r="M3" s="18" t="s">
        <v>131</v>
      </c>
    </row>
    <row r="4">
      <c r="A4" s="7" t="s">
        <v>41</v>
      </c>
      <c r="B4" s="18" t="s">
        <v>217</v>
      </c>
      <c r="C4" s="18" t="s">
        <v>14</v>
      </c>
      <c r="D4" s="18" t="s">
        <v>221</v>
      </c>
      <c r="E4" s="18" t="s">
        <v>224</v>
      </c>
      <c r="F4" s="18" t="s">
        <v>226</v>
      </c>
      <c r="G4" s="24">
        <v>8.2335999707E10</v>
      </c>
      <c r="H4" s="24">
        <v>1.0</v>
      </c>
      <c r="I4" s="18" t="s">
        <v>224</v>
      </c>
      <c r="J4" s="18" t="s">
        <v>226</v>
      </c>
      <c r="K4" s="24">
        <v>8.2335999707E10</v>
      </c>
      <c r="L4" s="18" t="s">
        <v>221</v>
      </c>
      <c r="M4" s="18" t="s">
        <v>238</v>
      </c>
    </row>
    <row r="5">
      <c r="A5" s="7" t="s">
        <v>41</v>
      </c>
      <c r="B5" s="18" t="s">
        <v>261</v>
      </c>
      <c r="C5" s="18" t="s">
        <v>14</v>
      </c>
      <c r="D5" s="18" t="s">
        <v>264</v>
      </c>
      <c r="E5" s="18" t="s">
        <v>267</v>
      </c>
      <c r="F5" s="18" t="s">
        <v>268</v>
      </c>
      <c r="G5" s="24">
        <v>8.3850518E10</v>
      </c>
      <c r="H5" s="24">
        <v>1.0</v>
      </c>
      <c r="I5" s="18" t="s">
        <v>267</v>
      </c>
      <c r="J5" s="18" t="s">
        <v>268</v>
      </c>
      <c r="K5" s="24">
        <v>8.3850518E10</v>
      </c>
      <c r="L5" s="18" t="s">
        <v>264</v>
      </c>
      <c r="M5" s="18" t="s">
        <v>273</v>
      </c>
    </row>
    <row r="6">
      <c r="A6" s="7" t="s">
        <v>41</v>
      </c>
      <c r="B6" s="18" t="s">
        <v>305</v>
      </c>
      <c r="C6" s="18" t="s">
        <v>14</v>
      </c>
      <c r="D6" s="18" t="s">
        <v>151</v>
      </c>
      <c r="E6" s="18" t="s">
        <v>311</v>
      </c>
      <c r="F6" s="18" t="s">
        <v>155</v>
      </c>
      <c r="G6" s="24">
        <v>8.5790570462E10</v>
      </c>
      <c r="H6" s="24">
        <v>1.0</v>
      </c>
      <c r="I6" s="18" t="s">
        <v>311</v>
      </c>
      <c r="J6" s="18" t="s">
        <v>155</v>
      </c>
      <c r="K6" s="24">
        <v>8.5790570462E10</v>
      </c>
      <c r="L6" s="18" t="s">
        <v>151</v>
      </c>
      <c r="M6" s="18" t="s">
        <v>324</v>
      </c>
    </row>
    <row r="7">
      <c r="A7" s="7" t="s">
        <v>41</v>
      </c>
      <c r="B7" s="18" t="s">
        <v>342</v>
      </c>
      <c r="C7" s="18" t="s">
        <v>14</v>
      </c>
      <c r="D7" s="18" t="s">
        <v>151</v>
      </c>
      <c r="E7" s="18" t="s">
        <v>346</v>
      </c>
      <c r="F7" s="18" t="s">
        <v>349</v>
      </c>
      <c r="G7" s="24">
        <v>8.5790570462E10</v>
      </c>
      <c r="H7" s="24">
        <v>1.0</v>
      </c>
      <c r="I7" s="18" t="s">
        <v>346</v>
      </c>
      <c r="J7" s="18" t="s">
        <v>349</v>
      </c>
      <c r="K7" s="24">
        <v>8.5790570462E10</v>
      </c>
      <c r="L7" s="18"/>
      <c r="M7" s="18" t="s">
        <v>354</v>
      </c>
    </row>
    <row r="8">
      <c r="A8" s="7" t="s">
        <v>41</v>
      </c>
      <c r="B8" s="18" t="s">
        <v>359</v>
      </c>
      <c r="C8" s="18" t="s">
        <v>14</v>
      </c>
      <c r="D8" s="18" t="s">
        <v>361</v>
      </c>
      <c r="E8" s="18" t="s">
        <v>363</v>
      </c>
      <c r="F8" s="18" t="s">
        <v>176</v>
      </c>
      <c r="G8" s="24">
        <v>8.7856803894E10</v>
      </c>
      <c r="H8" s="24">
        <v>1.0</v>
      </c>
      <c r="I8" s="18" t="s">
        <v>363</v>
      </c>
      <c r="J8" s="18" t="s">
        <v>176</v>
      </c>
      <c r="K8" s="24">
        <v>8.7856803894E10</v>
      </c>
      <c r="L8" s="18" t="s">
        <v>361</v>
      </c>
      <c r="M8" s="18" t="s">
        <v>375</v>
      </c>
    </row>
    <row r="9">
      <c r="A9" s="7" t="s">
        <v>41</v>
      </c>
      <c r="B9" s="18" t="s">
        <v>387</v>
      </c>
      <c r="C9" s="18" t="s">
        <v>14</v>
      </c>
      <c r="D9" s="18" t="s">
        <v>393</v>
      </c>
      <c r="E9" s="18" t="s">
        <v>396</v>
      </c>
      <c r="F9" s="18" t="s">
        <v>398</v>
      </c>
      <c r="G9" s="24">
        <v>8.9523655038E10</v>
      </c>
      <c r="H9" s="24">
        <v>1.0</v>
      </c>
      <c r="I9" s="18" t="s">
        <v>396</v>
      </c>
      <c r="J9" s="18" t="s">
        <v>398</v>
      </c>
      <c r="K9" s="24">
        <v>8.9523655038E10</v>
      </c>
      <c r="L9" s="18" t="s">
        <v>393</v>
      </c>
      <c r="M9" s="18" t="s">
        <v>402</v>
      </c>
    </row>
    <row r="10">
      <c r="A10" s="7" t="s">
        <v>41</v>
      </c>
      <c r="B10" s="18" t="s">
        <v>615</v>
      </c>
      <c r="C10" s="18" t="s">
        <v>14</v>
      </c>
      <c r="D10" s="18" t="s">
        <v>624</v>
      </c>
      <c r="E10" s="18" t="s">
        <v>630</v>
      </c>
      <c r="F10" s="18" t="s">
        <v>636</v>
      </c>
      <c r="G10" s="24">
        <v>8.2143422489E10</v>
      </c>
      <c r="H10" s="24">
        <v>1.0</v>
      </c>
      <c r="I10" s="18" t="s">
        <v>630</v>
      </c>
      <c r="J10" s="18" t="s">
        <v>636</v>
      </c>
      <c r="K10" s="24">
        <v>8.2143422489E10</v>
      </c>
      <c r="L10" s="18" t="s">
        <v>624</v>
      </c>
      <c r="M10" s="18" t="s">
        <v>653</v>
      </c>
    </row>
    <row r="11">
      <c r="A11" s="7" t="s">
        <v>41</v>
      </c>
      <c r="B11" s="18" t="s">
        <v>676</v>
      </c>
      <c r="C11" s="18" t="s">
        <v>14</v>
      </c>
      <c r="D11" s="18" t="s">
        <v>678</v>
      </c>
      <c r="E11" s="18" t="s">
        <v>680</v>
      </c>
      <c r="F11" s="18" t="s">
        <v>683</v>
      </c>
      <c r="G11" s="24">
        <v>8.953259349E10</v>
      </c>
      <c r="H11" s="24">
        <v>1.0</v>
      </c>
      <c r="I11" s="18" t="s">
        <v>680</v>
      </c>
      <c r="J11" s="18" t="s">
        <v>683</v>
      </c>
      <c r="K11" s="24">
        <v>8.953259349E10</v>
      </c>
      <c r="L11" s="18" t="s">
        <v>678</v>
      </c>
      <c r="M11" s="18" t="s">
        <v>689</v>
      </c>
    </row>
    <row r="12">
      <c r="A12" s="7" t="s">
        <v>41</v>
      </c>
      <c r="B12" s="18" t="s">
        <v>731</v>
      </c>
      <c r="C12" s="18" t="s">
        <v>14</v>
      </c>
      <c r="D12" s="18" t="s">
        <v>734</v>
      </c>
      <c r="E12" s="18" t="s">
        <v>278</v>
      </c>
      <c r="F12" s="18" t="s">
        <v>65</v>
      </c>
      <c r="G12" s="24">
        <v>8.2336621788E10</v>
      </c>
      <c r="H12" s="24">
        <v>1.0</v>
      </c>
      <c r="I12" s="18" t="s">
        <v>278</v>
      </c>
      <c r="J12" s="18" t="s">
        <v>65</v>
      </c>
      <c r="K12" s="24">
        <v>8.2336621788E10</v>
      </c>
      <c r="L12" s="18" t="s">
        <v>734</v>
      </c>
      <c r="M12" s="18" t="s">
        <v>741</v>
      </c>
    </row>
    <row r="13">
      <c r="A13" s="7" t="s">
        <v>41</v>
      </c>
      <c r="B13" s="18" t="s">
        <v>755</v>
      </c>
      <c r="C13" s="18" t="s">
        <v>14</v>
      </c>
      <c r="D13" s="18" t="s">
        <v>760</v>
      </c>
      <c r="E13" s="18" t="s">
        <v>645</v>
      </c>
      <c r="F13" s="18" t="s">
        <v>763</v>
      </c>
      <c r="G13" s="24">
        <v>8.5259626461E10</v>
      </c>
      <c r="H13" s="24">
        <v>1.0</v>
      </c>
      <c r="I13" s="18" t="s">
        <v>645</v>
      </c>
      <c r="J13" s="18" t="s">
        <v>763</v>
      </c>
      <c r="K13" s="24">
        <v>8.5259626461E10</v>
      </c>
      <c r="L13" s="18" t="s">
        <v>760</v>
      </c>
      <c r="M13" s="18" t="s">
        <v>772</v>
      </c>
    </row>
    <row r="14">
      <c r="A14" s="7" t="s">
        <v>41</v>
      </c>
      <c r="B14" s="18" t="s">
        <v>799</v>
      </c>
      <c r="C14" s="18" t="s">
        <v>14</v>
      </c>
      <c r="D14" s="18" t="s">
        <v>800</v>
      </c>
      <c r="E14" s="18" t="s">
        <v>51</v>
      </c>
      <c r="F14" s="18" t="s">
        <v>47</v>
      </c>
      <c r="G14" s="24">
        <v>8.5736635579E10</v>
      </c>
      <c r="H14" s="24">
        <v>1.0</v>
      </c>
      <c r="I14" s="18" t="s">
        <v>51</v>
      </c>
      <c r="J14" s="18" t="s">
        <v>47</v>
      </c>
      <c r="K14" s="24">
        <v>8.5736635579E10</v>
      </c>
      <c r="L14" s="18" t="s">
        <v>800</v>
      </c>
      <c r="M14" s="18" t="s">
        <v>810</v>
      </c>
    </row>
    <row r="15">
      <c r="A15" s="7" t="s">
        <v>41</v>
      </c>
      <c r="B15" s="18" t="s">
        <v>823</v>
      </c>
      <c r="C15" s="18" t="s">
        <v>14</v>
      </c>
      <c r="D15" s="18" t="s">
        <v>826</v>
      </c>
      <c r="E15" s="18" t="s">
        <v>706</v>
      </c>
      <c r="F15" s="18" t="s">
        <v>188</v>
      </c>
      <c r="G15" s="24">
        <v>8.5749592637E10</v>
      </c>
      <c r="H15" s="24">
        <v>1.0</v>
      </c>
      <c r="I15" s="18" t="s">
        <v>706</v>
      </c>
      <c r="J15" s="18" t="s">
        <v>188</v>
      </c>
      <c r="K15" s="24">
        <v>8.5749592637E10</v>
      </c>
      <c r="L15" s="18" t="s">
        <v>826</v>
      </c>
      <c r="M15" s="18" t="s">
        <v>834</v>
      </c>
    </row>
    <row r="16">
      <c r="A16" s="7" t="s">
        <v>41</v>
      </c>
      <c r="B16" s="18" t="s">
        <v>847</v>
      </c>
      <c r="C16" s="18" t="s">
        <v>14</v>
      </c>
      <c r="D16" s="18" t="s">
        <v>850</v>
      </c>
      <c r="E16" s="18" t="s">
        <v>258</v>
      </c>
      <c r="F16" s="18" t="s">
        <v>101</v>
      </c>
      <c r="G16" s="24">
        <v>8.5736636579E10</v>
      </c>
      <c r="H16" s="24">
        <v>1.0</v>
      </c>
      <c r="I16" s="18" t="s">
        <v>258</v>
      </c>
      <c r="J16" s="18" t="s">
        <v>101</v>
      </c>
      <c r="K16" s="24">
        <v>8.5736636579E10</v>
      </c>
      <c r="L16" s="18" t="s">
        <v>850</v>
      </c>
      <c r="M16" s="18" t="s">
        <v>856</v>
      </c>
    </row>
    <row r="17">
      <c r="A17" s="7" t="s">
        <v>41</v>
      </c>
      <c r="B17" s="18" t="s">
        <v>881</v>
      </c>
      <c r="C17" s="18" t="s">
        <v>14</v>
      </c>
      <c r="D17" s="18" t="s">
        <v>130</v>
      </c>
      <c r="E17" s="18" t="s">
        <v>883</v>
      </c>
      <c r="F17" s="18" t="s">
        <v>884</v>
      </c>
      <c r="G17" s="24">
        <v>8.5856914475E10</v>
      </c>
      <c r="H17" s="24">
        <v>1.0</v>
      </c>
      <c r="I17" s="18" t="s">
        <v>883</v>
      </c>
      <c r="J17" s="18" t="s">
        <v>884</v>
      </c>
      <c r="K17" s="24">
        <v>8.5856914475E10</v>
      </c>
      <c r="L17" s="18" t="s">
        <v>130</v>
      </c>
      <c r="M17" s="18" t="s">
        <v>892</v>
      </c>
    </row>
    <row r="18" ht="16.5" customHeight="1">
      <c r="A18" s="7" t="s">
        <v>41</v>
      </c>
      <c r="B18" s="18" t="s">
        <v>920</v>
      </c>
      <c r="C18" s="18" t="s">
        <v>14</v>
      </c>
      <c r="D18" s="18" t="s">
        <v>922</v>
      </c>
      <c r="E18" s="18" t="s">
        <v>688</v>
      </c>
      <c r="F18" s="18" t="s">
        <v>74</v>
      </c>
      <c r="G18" s="24">
        <v>8.5235665155E10</v>
      </c>
      <c r="H18" s="24">
        <v>1.0</v>
      </c>
      <c r="I18" s="18" t="s">
        <v>688</v>
      </c>
      <c r="J18" s="18" t="s">
        <v>74</v>
      </c>
      <c r="K18" s="24">
        <v>8.5235665155E10</v>
      </c>
      <c r="L18" s="18" t="s">
        <v>922</v>
      </c>
      <c r="M18" s="18" t="s">
        <v>923</v>
      </c>
    </row>
    <row r="19">
      <c r="A19" s="7" t="s">
        <v>1006</v>
      </c>
      <c r="B19" s="18" t="s">
        <v>1120</v>
      </c>
      <c r="C19" s="18" t="s">
        <v>14</v>
      </c>
      <c r="D19" s="18" t="s">
        <v>1121</v>
      </c>
      <c r="E19" s="18" t="s">
        <v>948</v>
      </c>
      <c r="F19" s="18" t="s">
        <v>1122</v>
      </c>
      <c r="G19" s="24">
        <v>8.2244693431E10</v>
      </c>
      <c r="H19" s="24">
        <v>1.0</v>
      </c>
      <c r="I19" s="18" t="s">
        <v>948</v>
      </c>
      <c r="J19" s="18" t="s">
        <v>1122</v>
      </c>
      <c r="K19" s="24">
        <v>8.2244693431E10</v>
      </c>
      <c r="L19" s="18" t="s">
        <v>1121</v>
      </c>
      <c r="M19" s="18" t="s">
        <v>1123</v>
      </c>
    </row>
    <row r="20">
      <c r="A20" s="7" t="s">
        <v>1150</v>
      </c>
      <c r="B20" s="18" t="s">
        <v>1178</v>
      </c>
      <c r="C20" s="18" t="s">
        <v>14</v>
      </c>
      <c r="D20" s="18" t="s">
        <v>1180</v>
      </c>
      <c r="E20" s="18" t="s">
        <v>1181</v>
      </c>
      <c r="F20" s="18" t="s">
        <v>214</v>
      </c>
      <c r="G20" s="24">
        <v>8.5235415195E10</v>
      </c>
      <c r="H20" s="24">
        <v>1.0</v>
      </c>
      <c r="I20" s="18" t="s">
        <v>1181</v>
      </c>
      <c r="J20" s="18" t="s">
        <v>214</v>
      </c>
      <c r="K20" s="24">
        <v>8.5235415195E10</v>
      </c>
      <c r="L20" s="18" t="s">
        <v>1180</v>
      </c>
      <c r="M20" s="18" t="s">
        <v>1182</v>
      </c>
    </row>
    <row r="21">
      <c r="A21" s="9" t="s">
        <v>25</v>
      </c>
      <c r="B21" s="13" t="s">
        <v>498</v>
      </c>
      <c r="C21" s="13" t="s">
        <v>23</v>
      </c>
      <c r="D21" s="21">
        <v>8.8829666E7</v>
      </c>
      <c r="E21" s="13" t="s">
        <v>477</v>
      </c>
      <c r="G21" s="36" t="s">
        <v>704</v>
      </c>
      <c r="H21" s="17">
        <v>0.0</v>
      </c>
      <c r="I21" s="13" t="s">
        <v>477</v>
      </c>
      <c r="J21" s="13"/>
      <c r="K21" s="20" t="s">
        <v>714</v>
      </c>
      <c r="L21" s="21">
        <v>8.8829666E7</v>
      </c>
      <c r="M21" s="18"/>
    </row>
    <row r="22">
      <c r="A22" s="7" t="s">
        <v>1192</v>
      </c>
      <c r="B22" s="18" t="s">
        <v>977</v>
      </c>
      <c r="C22" s="18" t="s">
        <v>23</v>
      </c>
      <c r="D22" s="18" t="s">
        <v>451</v>
      </c>
      <c r="E22" s="18" t="s">
        <v>452</v>
      </c>
      <c r="F22" s="18" t="s">
        <v>979</v>
      </c>
      <c r="G22" s="24">
        <v>8.5736954848E10</v>
      </c>
      <c r="H22" s="24">
        <v>1.0</v>
      </c>
      <c r="I22" s="18" t="s">
        <v>452</v>
      </c>
      <c r="J22" s="18" t="s">
        <v>979</v>
      </c>
      <c r="K22" s="24">
        <v>8.5736954848E10</v>
      </c>
      <c r="L22" s="18" t="s">
        <v>451</v>
      </c>
      <c r="M22" s="18" t="s">
        <v>980</v>
      </c>
    </row>
    <row r="23">
      <c r="A23" s="7" t="s">
        <v>1192</v>
      </c>
      <c r="B23" s="18" t="s">
        <v>422</v>
      </c>
      <c r="C23" s="18" t="s">
        <v>23</v>
      </c>
      <c r="D23" s="18" t="s">
        <v>425</v>
      </c>
      <c r="E23" s="18" t="s">
        <v>396</v>
      </c>
      <c r="F23" s="18" t="s">
        <v>127</v>
      </c>
      <c r="G23" s="24">
        <v>8.9523655038E10</v>
      </c>
      <c r="H23" s="24">
        <v>1.0</v>
      </c>
      <c r="I23" s="18" t="s">
        <v>396</v>
      </c>
      <c r="J23" s="18" t="s">
        <v>127</v>
      </c>
      <c r="K23" s="24">
        <v>8.9523655038E10</v>
      </c>
      <c r="L23" s="18" t="s">
        <v>425</v>
      </c>
      <c r="M23" s="18" t="s">
        <v>129</v>
      </c>
    </row>
    <row r="24">
      <c r="A24" s="7" t="s">
        <v>1192</v>
      </c>
      <c r="B24" s="18" t="s">
        <v>1151</v>
      </c>
      <c r="C24" s="18" t="s">
        <v>23</v>
      </c>
      <c r="D24" s="18" t="s">
        <v>598</v>
      </c>
      <c r="E24" s="18" t="s">
        <v>599</v>
      </c>
      <c r="F24" s="18" t="s">
        <v>1152</v>
      </c>
      <c r="G24" s="24">
        <v>8.5790407759E10</v>
      </c>
      <c r="H24" s="24">
        <v>1.0</v>
      </c>
      <c r="I24" s="18" t="s">
        <v>599</v>
      </c>
      <c r="J24" s="18" t="s">
        <v>1152</v>
      </c>
      <c r="K24" s="24">
        <v>8.5790407759E10</v>
      </c>
      <c r="L24" s="18" t="s">
        <v>598</v>
      </c>
      <c r="M24" s="18" t="s">
        <v>1153</v>
      </c>
    </row>
    <row r="25">
      <c r="A25" s="7" t="s">
        <v>1192</v>
      </c>
      <c r="B25" s="18" t="s">
        <v>1031</v>
      </c>
      <c r="C25" s="18" t="s">
        <v>23</v>
      </c>
      <c r="D25" s="18" t="s">
        <v>1040</v>
      </c>
      <c r="E25" s="18" t="s">
        <v>665</v>
      </c>
      <c r="F25" s="18" t="s">
        <v>1034</v>
      </c>
      <c r="G25" s="24">
        <v>8.5851312209E10</v>
      </c>
      <c r="H25" s="24">
        <v>1.0</v>
      </c>
      <c r="I25" s="18" t="s">
        <v>665</v>
      </c>
      <c r="J25" s="18" t="s">
        <v>1034</v>
      </c>
      <c r="K25" s="24">
        <v>8.5851312209E10</v>
      </c>
      <c r="L25" s="18" t="s">
        <v>1040</v>
      </c>
      <c r="M25" s="18" t="s">
        <v>93</v>
      </c>
    </row>
    <row r="26">
      <c r="A26" s="7" t="s">
        <v>1192</v>
      </c>
      <c r="B26" s="18" t="s">
        <v>1156</v>
      </c>
      <c r="C26" s="18" t="s">
        <v>23</v>
      </c>
      <c r="D26" s="18" t="s">
        <v>754</v>
      </c>
      <c r="E26" s="18" t="s">
        <v>756</v>
      </c>
      <c r="F26" s="18" t="s">
        <v>1157</v>
      </c>
      <c r="G26" s="24">
        <v>8.2330607672E10</v>
      </c>
      <c r="H26" s="24">
        <v>1.0</v>
      </c>
      <c r="I26" s="18" t="s">
        <v>756</v>
      </c>
      <c r="J26" s="18" t="s">
        <v>1157</v>
      </c>
      <c r="K26" s="24">
        <v>8.2330607672E10</v>
      </c>
      <c r="L26" s="18" t="s">
        <v>754</v>
      </c>
      <c r="M26" s="18" t="s">
        <v>1155</v>
      </c>
    </row>
    <row r="27">
      <c r="A27" s="7" t="s">
        <v>1192</v>
      </c>
      <c r="B27" s="18" t="s">
        <v>693</v>
      </c>
      <c r="C27" s="18" t="s">
        <v>23</v>
      </c>
      <c r="D27" s="18" t="s">
        <v>678</v>
      </c>
      <c r="E27" s="18" t="s">
        <v>699</v>
      </c>
      <c r="F27" s="18" t="s">
        <v>683</v>
      </c>
      <c r="G27" s="24">
        <v>8.953259349E11</v>
      </c>
      <c r="H27" s="24">
        <v>1.0</v>
      </c>
      <c r="I27" s="18" t="s">
        <v>710</v>
      </c>
      <c r="J27" s="18" t="s">
        <v>683</v>
      </c>
      <c r="K27" s="24">
        <v>8.953259349E11</v>
      </c>
      <c r="L27" s="32" t="s">
        <v>678</v>
      </c>
      <c r="M27" s="18" t="s">
        <v>160</v>
      </c>
    </row>
    <row r="28">
      <c r="A28" s="7" t="s">
        <v>1192</v>
      </c>
      <c r="B28" s="18" t="s">
        <v>1227</v>
      </c>
      <c r="C28" s="18" t="s">
        <v>23</v>
      </c>
      <c r="D28" s="18" t="s">
        <v>66</v>
      </c>
      <c r="E28" s="18" t="s">
        <v>1232</v>
      </c>
      <c r="F28" s="18" t="s">
        <v>71</v>
      </c>
      <c r="G28" s="24">
        <v>8.5843671615E10</v>
      </c>
      <c r="H28" s="24">
        <v>1.0</v>
      </c>
      <c r="I28" s="18" t="s">
        <v>1232</v>
      </c>
      <c r="J28" s="18" t="s">
        <v>71</v>
      </c>
      <c r="K28" s="24">
        <v>8.5843671615E10</v>
      </c>
      <c r="L28" s="32" t="s">
        <v>66</v>
      </c>
      <c r="M28" s="18" t="s">
        <v>34</v>
      </c>
    </row>
    <row r="29">
      <c r="A29" s="7" t="s">
        <v>1192</v>
      </c>
      <c r="B29" s="18" t="s">
        <v>894</v>
      </c>
      <c r="C29" s="18" t="s">
        <v>23</v>
      </c>
      <c r="D29" s="18" t="s">
        <v>898</v>
      </c>
      <c r="E29" s="18" t="s">
        <v>883</v>
      </c>
      <c r="F29" s="18" t="s">
        <v>138</v>
      </c>
      <c r="G29" s="24">
        <v>8.5856914475E10</v>
      </c>
      <c r="H29" s="24">
        <v>1.0</v>
      </c>
      <c r="I29" s="18" t="s">
        <v>883</v>
      </c>
      <c r="J29" s="18" t="s">
        <v>138</v>
      </c>
      <c r="K29" s="24">
        <v>8.5856914475E10</v>
      </c>
      <c r="L29" s="32" t="s">
        <v>898</v>
      </c>
      <c r="M29" s="18" t="s">
        <v>905</v>
      </c>
    </row>
    <row r="30">
      <c r="A30" s="7" t="s">
        <v>1192</v>
      </c>
      <c r="B30" s="18" t="s">
        <v>178</v>
      </c>
      <c r="C30" s="18" t="s">
        <v>23</v>
      </c>
      <c r="D30" s="18" t="s">
        <v>116</v>
      </c>
      <c r="E30" s="18" t="s">
        <v>182</v>
      </c>
      <c r="F30" s="18" t="s">
        <v>184</v>
      </c>
      <c r="G30" s="24">
        <v>8.5856261377E10</v>
      </c>
      <c r="H30" s="24">
        <v>1.0</v>
      </c>
      <c r="I30" s="18" t="s">
        <v>182</v>
      </c>
      <c r="J30" s="18" t="s">
        <v>184</v>
      </c>
      <c r="K30" s="24">
        <v>8.5856261377E10</v>
      </c>
      <c r="L30" s="32" t="s">
        <v>116</v>
      </c>
      <c r="M30" s="18" t="s">
        <v>189</v>
      </c>
    </row>
    <row r="31">
      <c r="A31" s="7" t="s">
        <v>1192</v>
      </c>
      <c r="B31" s="18" t="s">
        <v>1172</v>
      </c>
      <c r="C31" s="18" t="s">
        <v>23</v>
      </c>
      <c r="D31" s="18"/>
      <c r="E31" s="18" t="s">
        <v>1075</v>
      </c>
      <c r="F31" s="18" t="s">
        <v>1173</v>
      </c>
      <c r="G31" s="24">
        <v>8.5174325636E10</v>
      </c>
      <c r="H31" s="24">
        <v>1.0</v>
      </c>
      <c r="I31" s="18" t="s">
        <v>1075</v>
      </c>
      <c r="J31" s="18" t="s">
        <v>1173</v>
      </c>
      <c r="K31" s="24">
        <v>8.5174325636E10</v>
      </c>
      <c r="M31" s="18"/>
    </row>
    <row r="32">
      <c r="A32" s="7" t="s">
        <v>1192</v>
      </c>
      <c r="B32" s="18" t="s">
        <v>992</v>
      </c>
      <c r="C32" s="18" t="s">
        <v>23</v>
      </c>
      <c r="D32" s="18" t="s">
        <v>531</v>
      </c>
      <c r="E32" s="18" t="s">
        <v>994</v>
      </c>
      <c r="F32" s="18" t="s">
        <v>995</v>
      </c>
      <c r="G32" s="24">
        <v>8.1328289929E10</v>
      </c>
      <c r="H32" s="24">
        <v>1.0</v>
      </c>
      <c r="I32" s="18" t="s">
        <v>994</v>
      </c>
      <c r="J32" s="18" t="s">
        <v>995</v>
      </c>
      <c r="K32" s="24">
        <v>8.1328289929E10</v>
      </c>
      <c r="L32" s="32" t="s">
        <v>531</v>
      </c>
      <c r="M32" s="18" t="s">
        <v>93</v>
      </c>
    </row>
    <row r="33">
      <c r="A33" s="7" t="s">
        <v>1192</v>
      </c>
      <c r="B33" s="18" t="s">
        <v>1265</v>
      </c>
      <c r="C33" s="18" t="s">
        <v>23</v>
      </c>
      <c r="D33" s="18" t="s">
        <v>1267</v>
      </c>
      <c r="E33" s="18" t="s">
        <v>1268</v>
      </c>
      <c r="F33" s="18" t="s">
        <v>1270</v>
      </c>
      <c r="G33" s="24">
        <v>8.1556554554E10</v>
      </c>
      <c r="H33" s="24">
        <v>1.0</v>
      </c>
      <c r="I33" s="18" t="s">
        <v>1268</v>
      </c>
      <c r="J33" s="18" t="s">
        <v>1270</v>
      </c>
      <c r="K33" s="24">
        <v>8.1556554554E10</v>
      </c>
      <c r="L33" s="32" t="s">
        <v>1267</v>
      </c>
      <c r="M33" s="18" t="s">
        <v>967</v>
      </c>
    </row>
    <row r="34">
      <c r="A34" s="7" t="s">
        <v>1192</v>
      </c>
      <c r="B34" s="18" t="s">
        <v>1158</v>
      </c>
      <c r="C34" s="18" t="s">
        <v>23</v>
      </c>
      <c r="D34" s="18" t="s">
        <v>609</v>
      </c>
      <c r="E34" s="18" t="s">
        <v>1159</v>
      </c>
      <c r="F34" s="18" t="s">
        <v>611</v>
      </c>
      <c r="G34" s="24">
        <v>8.16567197E8</v>
      </c>
      <c r="H34" s="24">
        <v>1.0</v>
      </c>
      <c r="I34" s="18" t="s">
        <v>1159</v>
      </c>
      <c r="J34" s="18" t="s">
        <v>611</v>
      </c>
      <c r="K34" s="24">
        <v>8.16567197E8</v>
      </c>
      <c r="L34" s="32" t="s">
        <v>609</v>
      </c>
      <c r="M34" s="18" t="s">
        <v>1160</v>
      </c>
    </row>
    <row r="35">
      <c r="A35" s="7" t="s">
        <v>1192</v>
      </c>
      <c r="B35" s="18" t="s">
        <v>1282</v>
      </c>
      <c r="C35" s="18" t="s">
        <v>23</v>
      </c>
      <c r="D35" s="18" t="s">
        <v>1283</v>
      </c>
      <c r="E35" s="18" t="s">
        <v>1284</v>
      </c>
      <c r="F35" s="18" t="s">
        <v>1286</v>
      </c>
      <c r="G35" s="24">
        <v>8.9579876543E10</v>
      </c>
      <c r="H35" s="24">
        <v>1.0</v>
      </c>
      <c r="I35" s="18" t="s">
        <v>1284</v>
      </c>
      <c r="J35" s="18" t="s">
        <v>1286</v>
      </c>
      <c r="K35" s="24">
        <v>8.9579876543E10</v>
      </c>
      <c r="L35" s="32" t="s">
        <v>1283</v>
      </c>
      <c r="M35" s="18" t="s">
        <v>1019</v>
      </c>
    </row>
    <row r="36">
      <c r="A36" s="7" t="s">
        <v>1192</v>
      </c>
      <c r="B36" s="18" t="s">
        <v>1293</v>
      </c>
      <c r="C36" s="18" t="s">
        <v>23</v>
      </c>
      <c r="D36" s="18">
        <v>1.23546848954E11</v>
      </c>
      <c r="E36" s="18" t="s">
        <v>1295</v>
      </c>
      <c r="F36" s="18" t="s">
        <v>1297</v>
      </c>
      <c r="G36" s="24">
        <v>8.5233898981E10</v>
      </c>
      <c r="H36" s="24">
        <v>1.0</v>
      </c>
      <c r="I36" s="18" t="s">
        <v>1295</v>
      </c>
      <c r="J36" s="18" t="s">
        <v>1297</v>
      </c>
      <c r="K36" s="24">
        <v>8.5233898981E10</v>
      </c>
      <c r="L36" s="32">
        <v>1.23546848954E11</v>
      </c>
      <c r="M36" s="18" t="s">
        <v>1301</v>
      </c>
    </row>
    <row r="37">
      <c r="A37" s="7" t="s">
        <v>1192</v>
      </c>
      <c r="B37" s="18" t="s">
        <v>1303</v>
      </c>
      <c r="C37" s="18" t="s">
        <v>23</v>
      </c>
      <c r="D37" s="18" t="s">
        <v>1305</v>
      </c>
      <c r="E37" s="18" t="s">
        <v>125</v>
      </c>
      <c r="F37" s="18" t="s">
        <v>641</v>
      </c>
      <c r="G37" s="24">
        <v>8.2334470456E10</v>
      </c>
      <c r="H37" s="24">
        <v>1.0</v>
      </c>
      <c r="I37" s="18" t="s">
        <v>125</v>
      </c>
      <c r="J37" s="18" t="s">
        <v>641</v>
      </c>
      <c r="K37" s="24">
        <v>8.2334470456E10</v>
      </c>
      <c r="L37" s="32" t="s">
        <v>1305</v>
      </c>
      <c r="M37" s="18" t="s">
        <v>129</v>
      </c>
    </row>
    <row r="38">
      <c r="A38" s="7" t="s">
        <v>1192</v>
      </c>
      <c r="B38" s="18" t="s">
        <v>1269</v>
      </c>
      <c r="C38" s="18" t="s">
        <v>23</v>
      </c>
      <c r="D38" s="18">
        <v>122.0</v>
      </c>
      <c r="E38" s="18" t="s">
        <v>1271</v>
      </c>
      <c r="F38" s="18" t="s">
        <v>1272</v>
      </c>
      <c r="G38" s="24">
        <v>8.123456789E10</v>
      </c>
      <c r="H38" s="24">
        <v>1.0</v>
      </c>
      <c r="I38" s="18" t="s">
        <v>1271</v>
      </c>
      <c r="J38" s="18" t="s">
        <v>1272</v>
      </c>
      <c r="K38" s="24">
        <v>8.123456789E10</v>
      </c>
      <c r="L38" s="32">
        <v>122.0</v>
      </c>
      <c r="M38" s="18" t="s">
        <v>1203</v>
      </c>
    </row>
    <row r="39">
      <c r="A39" s="7" t="s">
        <v>1192</v>
      </c>
      <c r="B39" s="18" t="s">
        <v>1314</v>
      </c>
      <c r="C39" s="18" t="s">
        <v>23</v>
      </c>
      <c r="D39" s="18">
        <v>1.234567891E11</v>
      </c>
      <c r="E39" s="18" t="s">
        <v>1317</v>
      </c>
      <c r="F39" s="18" t="s">
        <v>1321</v>
      </c>
      <c r="G39" s="24">
        <v>8.5123456871E10</v>
      </c>
      <c r="H39" s="24">
        <v>1.0</v>
      </c>
      <c r="I39" s="18" t="s">
        <v>1317</v>
      </c>
      <c r="J39" s="18" t="s">
        <v>1321</v>
      </c>
      <c r="K39" s="24">
        <v>8.5123456871E10</v>
      </c>
      <c r="L39" s="32">
        <v>1.234567891E11</v>
      </c>
      <c r="M39" s="18" t="s">
        <v>1325</v>
      </c>
    </row>
    <row r="40">
      <c r="A40" s="7" t="s">
        <v>1192</v>
      </c>
      <c r="B40" s="18" t="s">
        <v>931</v>
      </c>
      <c r="C40" s="18" t="s">
        <v>23</v>
      </c>
      <c r="D40" s="18" t="s">
        <v>922</v>
      </c>
      <c r="E40" s="18" t="s">
        <v>933</v>
      </c>
      <c r="F40" s="18" t="s">
        <v>690</v>
      </c>
      <c r="G40" s="24">
        <v>8.5235665155E10</v>
      </c>
      <c r="H40" s="24">
        <v>1.0</v>
      </c>
      <c r="I40" s="18" t="s">
        <v>933</v>
      </c>
      <c r="J40" s="18" t="s">
        <v>690</v>
      </c>
      <c r="K40" s="24">
        <v>8.5235665155E10</v>
      </c>
      <c r="L40" s="32" t="s">
        <v>922</v>
      </c>
      <c r="M40" s="18" t="s">
        <v>941</v>
      </c>
    </row>
    <row r="41">
      <c r="A41" s="7" t="s">
        <v>1192</v>
      </c>
      <c r="B41" s="18" t="s">
        <v>968</v>
      </c>
      <c r="C41" s="18" t="s">
        <v>23</v>
      </c>
      <c r="D41" s="18" t="s">
        <v>722</v>
      </c>
      <c r="E41" s="18" t="s">
        <v>969</v>
      </c>
      <c r="F41" s="18" t="s">
        <v>724</v>
      </c>
      <c r="G41" s="24">
        <v>8.2301027322E10</v>
      </c>
      <c r="H41" s="24">
        <v>1.0</v>
      </c>
      <c r="I41" s="18" t="s">
        <v>969</v>
      </c>
      <c r="J41" s="18" t="s">
        <v>724</v>
      </c>
      <c r="K41" s="24">
        <v>8.2301027322E10</v>
      </c>
      <c r="L41" s="32" t="s">
        <v>722</v>
      </c>
      <c r="M41" s="18" t="s">
        <v>971</v>
      </c>
    </row>
    <row r="42">
      <c r="A42" s="7" t="s">
        <v>1192</v>
      </c>
      <c r="B42" s="18" t="s">
        <v>1204</v>
      </c>
      <c r="C42" s="18" t="s">
        <v>23</v>
      </c>
      <c r="D42" s="18" t="s">
        <v>1205</v>
      </c>
      <c r="E42" s="18" t="s">
        <v>1206</v>
      </c>
      <c r="F42" s="18" t="s">
        <v>1207</v>
      </c>
      <c r="G42" s="24">
        <v>8.5857501171E10</v>
      </c>
      <c r="H42" s="24">
        <v>1.0</v>
      </c>
      <c r="I42" s="18" t="s">
        <v>1206</v>
      </c>
      <c r="J42" s="18" t="s">
        <v>1207</v>
      </c>
      <c r="K42" s="24">
        <v>8.5857501171E10</v>
      </c>
      <c r="L42" s="32" t="s">
        <v>1205</v>
      </c>
      <c r="M42" s="18" t="s">
        <v>455</v>
      </c>
    </row>
    <row r="43">
      <c r="A43" s="7" t="s">
        <v>1192</v>
      </c>
      <c r="B43" s="18" t="s">
        <v>1348</v>
      </c>
      <c r="C43" s="18" t="s">
        <v>23</v>
      </c>
      <c r="D43" s="18" t="s">
        <v>1350</v>
      </c>
      <c r="E43" s="18" t="s">
        <v>1351</v>
      </c>
      <c r="F43" s="18" t="s">
        <v>798</v>
      </c>
      <c r="G43" s="24">
        <v>8.5159259788E10</v>
      </c>
      <c r="H43" s="24">
        <v>1.0</v>
      </c>
      <c r="I43" s="18" t="s">
        <v>1351</v>
      </c>
      <c r="J43" s="18" t="s">
        <v>798</v>
      </c>
      <c r="K43" s="24">
        <v>8.5159259788E10</v>
      </c>
      <c r="L43" s="32" t="s">
        <v>1350</v>
      </c>
      <c r="M43" s="18" t="s">
        <v>1354</v>
      </c>
    </row>
    <row r="44">
      <c r="A44" s="7" t="s">
        <v>1192</v>
      </c>
      <c r="B44" s="18" t="s">
        <v>996</v>
      </c>
      <c r="C44" s="18" t="s">
        <v>23</v>
      </c>
      <c r="D44" s="18" t="s">
        <v>806</v>
      </c>
      <c r="E44" s="18" t="s">
        <v>999</v>
      </c>
      <c r="F44" s="18" t="s">
        <v>811</v>
      </c>
      <c r="G44" s="24">
        <v>8.124985514E9</v>
      </c>
      <c r="H44" s="24">
        <v>1.0</v>
      </c>
      <c r="I44" s="18" t="s">
        <v>999</v>
      </c>
      <c r="J44" s="18" t="s">
        <v>811</v>
      </c>
      <c r="K44" s="24">
        <v>8.124985514E9</v>
      </c>
      <c r="L44" s="32" t="s">
        <v>806</v>
      </c>
      <c r="M44" s="18" t="s">
        <v>84</v>
      </c>
    </row>
    <row r="45">
      <c r="A45" s="7" t="s">
        <v>1192</v>
      </c>
      <c r="B45" s="18" t="s">
        <v>1003</v>
      </c>
      <c r="C45" s="18" t="s">
        <v>23</v>
      </c>
      <c r="D45" s="18" t="s">
        <v>845</v>
      </c>
      <c r="E45" s="18" t="s">
        <v>1004</v>
      </c>
      <c r="F45" s="18" t="s">
        <v>848</v>
      </c>
      <c r="G45" s="24">
        <v>8.5814137165E10</v>
      </c>
      <c r="H45" s="24">
        <v>1.0</v>
      </c>
      <c r="I45" s="18" t="s">
        <v>1004</v>
      </c>
      <c r="J45" s="18" t="s">
        <v>848</v>
      </c>
      <c r="K45" s="24">
        <v>8.5814137165E10</v>
      </c>
      <c r="L45" s="32" t="s">
        <v>845</v>
      </c>
      <c r="M45" s="18" t="s">
        <v>84</v>
      </c>
    </row>
    <row r="46">
      <c r="A46" s="7" t="s">
        <v>1366</v>
      </c>
      <c r="B46" s="18" t="s">
        <v>1356</v>
      </c>
      <c r="C46" s="18" t="s">
        <v>23</v>
      </c>
      <c r="D46" s="18">
        <v>9.0</v>
      </c>
      <c r="E46" s="18" t="s">
        <v>1357</v>
      </c>
      <c r="F46" s="18" t="s">
        <v>1358</v>
      </c>
      <c r="G46" s="24" t="s">
        <v>1359</v>
      </c>
      <c r="H46" s="24">
        <v>0.0</v>
      </c>
      <c r="I46" s="18" t="s">
        <v>1357</v>
      </c>
      <c r="J46" s="18" t="s">
        <v>1358</v>
      </c>
      <c r="K46" s="24" t="s">
        <v>1359</v>
      </c>
      <c r="L46" s="32">
        <v>9.0</v>
      </c>
      <c r="M46" s="18" t="s">
        <v>1360</v>
      </c>
    </row>
    <row r="47">
      <c r="A47" s="7" t="s">
        <v>1366</v>
      </c>
      <c r="B47" s="18" t="s">
        <v>1361</v>
      </c>
      <c r="C47" s="18" t="s">
        <v>23</v>
      </c>
      <c r="D47" s="18">
        <v>9.0</v>
      </c>
      <c r="E47" s="18" t="s">
        <v>1362</v>
      </c>
      <c r="F47" s="18" t="s">
        <v>1363</v>
      </c>
      <c r="G47" s="24" t="s">
        <v>1364</v>
      </c>
      <c r="H47" s="24">
        <v>0.0</v>
      </c>
      <c r="I47" s="18" t="s">
        <v>1362</v>
      </c>
      <c r="J47" s="18" t="s">
        <v>1363</v>
      </c>
      <c r="K47" s="24" t="s">
        <v>1364</v>
      </c>
      <c r="L47" s="32">
        <v>9.0</v>
      </c>
      <c r="M47" s="18" t="s">
        <v>1365</v>
      </c>
    </row>
    <row r="48">
      <c r="A48" s="7" t="s">
        <v>1366</v>
      </c>
      <c r="B48" s="18" t="s">
        <v>1174</v>
      </c>
      <c r="C48" s="18" t="s">
        <v>23</v>
      </c>
      <c r="D48" s="18" t="s">
        <v>1175</v>
      </c>
      <c r="E48" s="18" t="s">
        <v>1176</v>
      </c>
      <c r="F48" s="18" t="s">
        <v>1177</v>
      </c>
      <c r="G48" s="24">
        <v>8.5174325636E10</v>
      </c>
      <c r="H48" s="24">
        <v>0.0</v>
      </c>
      <c r="I48" s="18" t="s">
        <v>1176</v>
      </c>
      <c r="J48" s="18" t="s">
        <v>1177</v>
      </c>
      <c r="K48" s="24">
        <v>8.5174325636E10</v>
      </c>
      <c r="L48" s="32" t="s">
        <v>1175</v>
      </c>
      <c r="M48" s="18" t="s">
        <v>1179</v>
      </c>
    </row>
    <row r="49">
      <c r="A49" s="7" t="s">
        <v>1366</v>
      </c>
      <c r="B49" s="18" t="s">
        <v>1257</v>
      </c>
      <c r="C49" s="18" t="s">
        <v>23</v>
      </c>
      <c r="D49" s="18" t="s">
        <v>1258</v>
      </c>
      <c r="E49" s="18" t="s">
        <v>1259</v>
      </c>
      <c r="F49" s="18" t="s">
        <v>1260</v>
      </c>
      <c r="G49" s="24">
        <v>8.123456789E10</v>
      </c>
      <c r="H49" s="24">
        <v>0.0</v>
      </c>
      <c r="I49" s="18" t="s">
        <v>1259</v>
      </c>
      <c r="J49" s="18" t="s">
        <v>1260</v>
      </c>
      <c r="K49" s="24">
        <v>8.123456789E10</v>
      </c>
      <c r="L49" s="32" t="s">
        <v>1258</v>
      </c>
      <c r="M49" s="18" t="s">
        <v>1166</v>
      </c>
    </row>
    <row r="50">
      <c r="A50" s="7" t="s">
        <v>1366</v>
      </c>
      <c r="B50" s="18" t="s">
        <v>951</v>
      </c>
      <c r="C50" s="18" t="s">
        <v>23</v>
      </c>
      <c r="D50" s="18">
        <v>7.894561327898E12</v>
      </c>
      <c r="E50" s="18" t="s">
        <v>953</v>
      </c>
      <c r="F50" s="18" t="s">
        <v>955</v>
      </c>
      <c r="G50" s="24">
        <v>8.789465123E9</v>
      </c>
      <c r="H50" s="24">
        <v>0.0</v>
      </c>
      <c r="I50" s="18" t="s">
        <v>953</v>
      </c>
      <c r="J50" s="18" t="s">
        <v>955</v>
      </c>
      <c r="K50" s="24">
        <v>8.789465123E9</v>
      </c>
      <c r="L50" s="32">
        <v>7.894561327898E12</v>
      </c>
      <c r="M50" s="18" t="s">
        <v>957</v>
      </c>
    </row>
    <row r="51">
      <c r="A51" s="7" t="s">
        <v>1366</v>
      </c>
      <c r="B51" s="18" t="s">
        <v>959</v>
      </c>
      <c r="C51" s="18" t="s">
        <v>23</v>
      </c>
      <c r="D51" s="18">
        <v>7.8987879456545E13</v>
      </c>
      <c r="E51" s="18" t="s">
        <v>963</v>
      </c>
      <c r="F51" s="18" t="s">
        <v>965</v>
      </c>
      <c r="G51" s="24">
        <v>8.7894563213E10</v>
      </c>
      <c r="H51" s="24">
        <v>0.0</v>
      </c>
      <c r="I51" s="18" t="s">
        <v>963</v>
      </c>
      <c r="J51" s="18" t="s">
        <v>965</v>
      </c>
      <c r="K51" s="24">
        <v>8.7894563213E10</v>
      </c>
      <c r="L51" s="32">
        <v>7.8987879456545E13</v>
      </c>
      <c r="M51" s="18" t="s">
        <v>967</v>
      </c>
    </row>
    <row r="52">
      <c r="A52" s="7" t="s">
        <v>1366</v>
      </c>
      <c r="B52" s="18" t="s">
        <v>1377</v>
      </c>
      <c r="C52" s="18" t="s">
        <v>23</v>
      </c>
      <c r="D52" s="18" t="s">
        <v>1378</v>
      </c>
      <c r="E52" s="18" t="s">
        <v>1379</v>
      </c>
      <c r="F52" s="18" t="s">
        <v>1380</v>
      </c>
      <c r="G52" s="24">
        <v>8.2143367634E10</v>
      </c>
      <c r="H52" s="24">
        <v>0.0</v>
      </c>
      <c r="I52" s="18" t="s">
        <v>1379</v>
      </c>
      <c r="J52" s="18" t="s">
        <v>1380</v>
      </c>
      <c r="K52" s="24">
        <v>8.2143367634E10</v>
      </c>
      <c r="L52" s="32" t="s">
        <v>1378</v>
      </c>
      <c r="M52" s="18" t="s">
        <v>1383</v>
      </c>
    </row>
    <row r="53">
      <c r="A53" s="7" t="s">
        <v>1366</v>
      </c>
      <c r="B53" s="18" t="s">
        <v>1385</v>
      </c>
      <c r="C53" s="18" t="s">
        <v>23</v>
      </c>
      <c r="D53" s="18" t="s">
        <v>1074</v>
      </c>
      <c r="E53" s="18" t="s">
        <v>1387</v>
      </c>
      <c r="F53" s="18" t="s">
        <v>1389</v>
      </c>
      <c r="G53" s="24">
        <v>8.2298765432E10</v>
      </c>
      <c r="H53" s="24">
        <v>0.0</v>
      </c>
      <c r="I53" s="18" t="s">
        <v>1387</v>
      </c>
      <c r="J53" s="18" t="s">
        <v>1389</v>
      </c>
      <c r="K53" s="24">
        <v>8.2298765432E10</v>
      </c>
      <c r="L53" s="32" t="s">
        <v>1074</v>
      </c>
      <c r="M53" s="18" t="s">
        <v>1390</v>
      </c>
    </row>
    <row r="54">
      <c r="A54" s="7" t="s">
        <v>1366</v>
      </c>
      <c r="B54" s="18" t="s">
        <v>1080</v>
      </c>
      <c r="C54" s="18" t="s">
        <v>23</v>
      </c>
      <c r="D54" s="18" t="s">
        <v>344</v>
      </c>
      <c r="E54" s="18" t="s">
        <v>1081</v>
      </c>
      <c r="F54" s="18" t="s">
        <v>347</v>
      </c>
      <c r="G54" s="24">
        <v>81.0</v>
      </c>
      <c r="H54" s="24">
        <v>0.0</v>
      </c>
      <c r="I54" s="18" t="s">
        <v>1081</v>
      </c>
      <c r="J54" s="18" t="s">
        <v>347</v>
      </c>
      <c r="K54" s="24">
        <v>81.0</v>
      </c>
      <c r="L54" s="32" t="s">
        <v>344</v>
      </c>
      <c r="M54" s="18" t="s">
        <v>1079</v>
      </c>
    </row>
    <row r="55">
      <c r="A55" s="7" t="s">
        <v>1366</v>
      </c>
      <c r="B55" s="18" t="s">
        <v>1261</v>
      </c>
      <c r="C55" s="18" t="s">
        <v>23</v>
      </c>
      <c r="D55" s="18" t="s">
        <v>1262</v>
      </c>
      <c r="E55" s="18" t="s">
        <v>1263</v>
      </c>
      <c r="F55" s="18" t="s">
        <v>1264</v>
      </c>
      <c r="G55" s="24">
        <v>8.123456789E10</v>
      </c>
      <c r="H55" s="24">
        <v>0.0</v>
      </c>
      <c r="I55" s="18" t="s">
        <v>1263</v>
      </c>
      <c r="J55" s="18" t="s">
        <v>1264</v>
      </c>
      <c r="K55" s="24">
        <v>8.123456789E10</v>
      </c>
      <c r="L55" s="32" t="s">
        <v>1262</v>
      </c>
      <c r="M55" s="18" t="s">
        <v>1266</v>
      </c>
    </row>
    <row r="56">
      <c r="A56" s="7" t="s">
        <v>1366</v>
      </c>
      <c r="B56" s="18" t="s">
        <v>1199</v>
      </c>
      <c r="C56" s="18" t="s">
        <v>23</v>
      </c>
      <c r="D56" s="18" t="s">
        <v>1200</v>
      </c>
      <c r="E56" s="18" t="s">
        <v>1201</v>
      </c>
      <c r="F56" s="18" t="s">
        <v>1202</v>
      </c>
      <c r="G56" s="24">
        <v>8.5857501171E10</v>
      </c>
      <c r="H56" s="24">
        <v>0.0</v>
      </c>
      <c r="I56" s="18" t="s">
        <v>1201</v>
      </c>
      <c r="J56" s="18" t="s">
        <v>1202</v>
      </c>
      <c r="K56" s="24">
        <v>8.5857501171E10</v>
      </c>
      <c r="L56" s="32" t="s">
        <v>1200</v>
      </c>
      <c r="M56" s="18" t="s">
        <v>1203</v>
      </c>
    </row>
    <row r="57">
      <c r="A57" s="7" t="s">
        <v>1366</v>
      </c>
      <c r="B57" s="18" t="s">
        <v>1017</v>
      </c>
      <c r="C57" s="18" t="s">
        <v>23</v>
      </c>
      <c r="D57" s="18">
        <v>9.87654321234567E14</v>
      </c>
      <c r="E57" s="18" t="s">
        <v>1018</v>
      </c>
      <c r="F57" s="18" t="s">
        <v>1009</v>
      </c>
      <c r="G57" s="24">
        <v>9.87655678909E11</v>
      </c>
      <c r="H57" s="24">
        <v>0.0</v>
      </c>
      <c r="I57" s="18" t="s">
        <v>1018</v>
      </c>
      <c r="J57" s="18" t="s">
        <v>1009</v>
      </c>
      <c r="K57" s="24">
        <v>9.87655678909E11</v>
      </c>
      <c r="L57" s="32">
        <v>9.87654321234567E14</v>
      </c>
      <c r="M57" s="18" t="s">
        <v>1019</v>
      </c>
    </row>
    <row r="58">
      <c r="A58" s="7" t="s">
        <v>1366</v>
      </c>
      <c r="B58" s="18" t="s">
        <v>1391</v>
      </c>
      <c r="C58" s="18" t="s">
        <v>23</v>
      </c>
      <c r="D58" s="18">
        <v>3.1420326598523E13</v>
      </c>
      <c r="E58" s="18" t="s">
        <v>1392</v>
      </c>
      <c r="F58" s="18" t="s">
        <v>1393</v>
      </c>
      <c r="G58" s="24">
        <v>8.6598653246E10</v>
      </c>
      <c r="H58" s="24">
        <v>0.0</v>
      </c>
      <c r="I58" s="18" t="s">
        <v>1392</v>
      </c>
      <c r="J58" s="18" t="s">
        <v>1393</v>
      </c>
      <c r="K58" s="24">
        <v>8.6598653246E10</v>
      </c>
      <c r="L58" s="32">
        <v>3.1420326598523E13</v>
      </c>
      <c r="M58" s="18" t="s">
        <v>1394</v>
      </c>
    </row>
    <row r="59">
      <c r="A59" s="7" t="s">
        <v>1366</v>
      </c>
      <c r="B59" s="18" t="s">
        <v>1167</v>
      </c>
      <c r="C59" s="18" t="s">
        <v>23</v>
      </c>
      <c r="D59" s="18" t="s">
        <v>1168</v>
      </c>
      <c r="E59" s="18" t="s">
        <v>1169</v>
      </c>
      <c r="F59" s="18" t="s">
        <v>1170</v>
      </c>
      <c r="G59" s="24">
        <v>8.1334851474E10</v>
      </c>
      <c r="H59" s="24">
        <v>0.0</v>
      </c>
      <c r="I59" s="18" t="s">
        <v>1169</v>
      </c>
      <c r="J59" s="18" t="s">
        <v>1170</v>
      </c>
      <c r="K59" s="24">
        <v>8.1334851474E10</v>
      </c>
      <c r="L59" s="32" t="s">
        <v>1168</v>
      </c>
      <c r="M59" s="18" t="s">
        <v>1171</v>
      </c>
    </row>
    <row r="60">
      <c r="A60" s="7" t="s">
        <v>1366</v>
      </c>
      <c r="B60" s="18" t="s">
        <v>1008</v>
      </c>
      <c r="C60" s="18" t="s">
        <v>23</v>
      </c>
      <c r="D60" s="18">
        <v>1.23456789E8</v>
      </c>
      <c r="E60" s="18" t="s">
        <v>957</v>
      </c>
      <c r="F60" s="18" t="s">
        <v>1009</v>
      </c>
      <c r="G60" s="24">
        <v>8.213214321E9</v>
      </c>
      <c r="H60" s="24">
        <v>0.0</v>
      </c>
      <c r="I60" s="18" t="s">
        <v>957</v>
      </c>
      <c r="J60" s="18" t="s">
        <v>1009</v>
      </c>
      <c r="K60" s="24">
        <v>8.213214321E9</v>
      </c>
      <c r="L60" s="32">
        <v>1.23456789E8</v>
      </c>
      <c r="M60" s="18" t="s">
        <v>1010</v>
      </c>
    </row>
    <row r="61">
      <c r="A61" s="7" t="s">
        <v>1366</v>
      </c>
      <c r="B61" s="18" t="s">
        <v>1013</v>
      </c>
      <c r="C61" s="18" t="s">
        <v>23</v>
      </c>
      <c r="D61" s="18">
        <v>123.0</v>
      </c>
      <c r="E61" s="18" t="s">
        <v>1015</v>
      </c>
      <c r="F61" s="18" t="s">
        <v>1016</v>
      </c>
      <c r="G61" s="24">
        <v>8.1234567898E10</v>
      </c>
      <c r="H61" s="24">
        <v>0.0</v>
      </c>
      <c r="I61" s="18" t="s">
        <v>1015</v>
      </c>
      <c r="J61" s="18" t="s">
        <v>1016</v>
      </c>
      <c r="K61" s="24">
        <v>8.1234567898E10</v>
      </c>
      <c r="L61" s="32">
        <v>123.0</v>
      </c>
      <c r="M61" s="18" t="s">
        <v>27</v>
      </c>
    </row>
  </sheetData>
  <autoFilter ref="$A$1:$M$61"/>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88"/>
    <col customWidth="1" min="3" max="3" width="40.88"/>
    <col customWidth="1" min="4" max="4" width="27.5"/>
    <col customWidth="1" min="5" max="5" width="15.88"/>
    <col customWidth="1" min="6" max="6" width="7.0"/>
    <col customWidth="1" min="7" max="7" width="40.88"/>
    <col customWidth="1" min="8" max="8" width="27.5"/>
    <col customWidth="1" min="9" max="9" width="18.0"/>
    <col customWidth="1" min="10" max="10" width="19.13"/>
    <col customWidth="1" min="11" max="11" width="15.88"/>
    <col customWidth="1" min="12" max="12" width="86.5"/>
  </cols>
  <sheetData>
    <row r="1">
      <c r="A1" s="2" t="s">
        <v>1</v>
      </c>
      <c r="B1" s="2" t="s">
        <v>2</v>
      </c>
      <c r="C1" s="2" t="s">
        <v>3</v>
      </c>
      <c r="D1" s="2" t="s">
        <v>4</v>
      </c>
      <c r="E1" s="2" t="s">
        <v>7</v>
      </c>
      <c r="F1" s="2" t="s">
        <v>8</v>
      </c>
      <c r="G1" s="2" t="s">
        <v>10</v>
      </c>
      <c r="H1" s="2" t="s">
        <v>11</v>
      </c>
      <c r="I1" s="2" t="s">
        <v>13</v>
      </c>
      <c r="J1" s="2" t="s">
        <v>5</v>
      </c>
      <c r="K1" s="2" t="s">
        <v>16</v>
      </c>
      <c r="L1" s="2" t="s">
        <v>12</v>
      </c>
    </row>
    <row r="2">
      <c r="A2" s="18" t="s">
        <v>1308</v>
      </c>
      <c r="B2" s="18" t="s">
        <v>14</v>
      </c>
      <c r="C2" s="18" t="s">
        <v>1310</v>
      </c>
      <c r="D2" s="18" t="s">
        <v>1312</v>
      </c>
      <c r="E2" s="24">
        <v>8.512375925E9</v>
      </c>
      <c r="F2" s="24">
        <v>0.0</v>
      </c>
      <c r="G2" s="18" t="s">
        <v>1310</v>
      </c>
      <c r="H2" s="18" t="s">
        <v>1312</v>
      </c>
      <c r="I2" s="24">
        <v>8.512375925E9</v>
      </c>
      <c r="J2" s="18" t="s">
        <v>1318</v>
      </c>
      <c r="K2" s="18" t="s">
        <v>1113</v>
      </c>
      <c r="L2" s="18" t="s">
        <v>139</v>
      </c>
    </row>
    <row r="3">
      <c r="A3" s="18" t="s">
        <v>799</v>
      </c>
      <c r="B3" s="18" t="s">
        <v>14</v>
      </c>
      <c r="C3" s="18" t="s">
        <v>51</v>
      </c>
      <c r="D3" s="18" t="s">
        <v>47</v>
      </c>
      <c r="E3" s="24">
        <v>8.5736635579E10</v>
      </c>
      <c r="F3" s="24">
        <v>1.0</v>
      </c>
      <c r="G3" s="18" t="s">
        <v>51</v>
      </c>
      <c r="H3" s="18" t="s">
        <v>47</v>
      </c>
      <c r="I3" s="24">
        <v>8.5736635579E10</v>
      </c>
      <c r="J3" s="18" t="s">
        <v>800</v>
      </c>
      <c r="K3" s="18" t="s">
        <v>800</v>
      </c>
      <c r="L3" s="18" t="s">
        <v>810</v>
      </c>
    </row>
    <row r="4">
      <c r="A4" s="18" t="s">
        <v>45</v>
      </c>
      <c r="B4" s="18" t="s">
        <v>14</v>
      </c>
      <c r="C4" s="18" t="s">
        <v>61</v>
      </c>
      <c r="D4" s="18" t="s">
        <v>64</v>
      </c>
      <c r="E4" s="24">
        <v>8.5735113595E10</v>
      </c>
      <c r="F4" s="24">
        <v>1.0</v>
      </c>
      <c r="G4" s="18" t="s">
        <v>61</v>
      </c>
      <c r="H4" s="18" t="s">
        <v>64</v>
      </c>
      <c r="I4" s="24">
        <v>8.5735113595E10</v>
      </c>
      <c r="J4" s="18" t="s">
        <v>55</v>
      </c>
      <c r="K4" s="18" t="s">
        <v>55</v>
      </c>
      <c r="L4" s="18" t="s">
        <v>87</v>
      </c>
    </row>
    <row r="5">
      <c r="A5" s="18" t="s">
        <v>881</v>
      </c>
      <c r="B5" s="18" t="s">
        <v>14</v>
      </c>
      <c r="C5" s="18" t="s">
        <v>883</v>
      </c>
      <c r="D5" s="18" t="s">
        <v>884</v>
      </c>
      <c r="E5" s="24">
        <v>8.5856914475E10</v>
      </c>
      <c r="F5" s="24">
        <v>1.0</v>
      </c>
      <c r="G5" s="18" t="s">
        <v>883</v>
      </c>
      <c r="H5" s="18" t="s">
        <v>884</v>
      </c>
      <c r="I5" s="24">
        <v>8.5856914475E10</v>
      </c>
      <c r="J5" s="18" t="s">
        <v>130</v>
      </c>
      <c r="K5" s="18" t="s">
        <v>130</v>
      </c>
      <c r="L5" s="18" t="s">
        <v>892</v>
      </c>
    </row>
    <row r="6">
      <c r="A6" s="18" t="s">
        <v>112</v>
      </c>
      <c r="B6" s="18" t="s">
        <v>14</v>
      </c>
      <c r="C6" s="18" t="s">
        <v>119</v>
      </c>
      <c r="D6" s="18" t="s">
        <v>121</v>
      </c>
      <c r="E6" s="24">
        <v>8.5856261477E10</v>
      </c>
      <c r="F6" s="24">
        <v>1.0</v>
      </c>
      <c r="G6" s="18" t="s">
        <v>119</v>
      </c>
      <c r="H6" s="18" t="s">
        <v>121</v>
      </c>
      <c r="I6" s="24">
        <v>8.5856261477E10</v>
      </c>
      <c r="J6" s="18" t="s">
        <v>116</v>
      </c>
      <c r="K6" s="18" t="s">
        <v>116</v>
      </c>
      <c r="L6" s="18" t="s">
        <v>131</v>
      </c>
    </row>
    <row r="7">
      <c r="A7" s="18" t="s">
        <v>847</v>
      </c>
      <c r="B7" s="18" t="s">
        <v>14</v>
      </c>
      <c r="C7" s="18" t="s">
        <v>258</v>
      </c>
      <c r="D7" s="18" t="s">
        <v>101</v>
      </c>
      <c r="E7" s="24">
        <v>8.5736636579E10</v>
      </c>
      <c r="F7" s="24">
        <v>1.0</v>
      </c>
      <c r="G7" s="18" t="s">
        <v>258</v>
      </c>
      <c r="H7" s="18" t="s">
        <v>101</v>
      </c>
      <c r="I7" s="24">
        <v>8.5736636579E10</v>
      </c>
      <c r="J7" s="18" t="s">
        <v>850</v>
      </c>
      <c r="K7" s="18" t="s">
        <v>850</v>
      </c>
      <c r="L7" s="18" t="s">
        <v>856</v>
      </c>
    </row>
    <row r="8">
      <c r="A8" s="18" t="s">
        <v>731</v>
      </c>
      <c r="B8" s="18" t="s">
        <v>14</v>
      </c>
      <c r="C8" s="18" t="s">
        <v>278</v>
      </c>
      <c r="D8" s="18" t="s">
        <v>65</v>
      </c>
      <c r="E8" s="24">
        <v>8.2336621788E10</v>
      </c>
      <c r="F8" s="24">
        <v>1.0</v>
      </c>
      <c r="G8" s="18" t="s">
        <v>278</v>
      </c>
      <c r="H8" s="18" t="s">
        <v>65</v>
      </c>
      <c r="I8" s="24">
        <v>8.2336621788E10</v>
      </c>
      <c r="J8" s="18" t="s">
        <v>734</v>
      </c>
      <c r="K8" s="18" t="s">
        <v>734</v>
      </c>
      <c r="L8" s="18" t="s">
        <v>741</v>
      </c>
    </row>
    <row r="9">
      <c r="A9" s="18" t="s">
        <v>217</v>
      </c>
      <c r="B9" s="18" t="s">
        <v>14</v>
      </c>
      <c r="C9" s="18" t="s">
        <v>224</v>
      </c>
      <c r="D9" s="18" t="s">
        <v>226</v>
      </c>
      <c r="E9" s="24">
        <v>8.2335999707E10</v>
      </c>
      <c r="F9" s="24">
        <v>1.0</v>
      </c>
      <c r="G9" s="18" t="s">
        <v>224</v>
      </c>
      <c r="H9" s="18" t="s">
        <v>226</v>
      </c>
      <c r="I9" s="24">
        <v>8.2335999707E10</v>
      </c>
      <c r="J9" s="18" t="s">
        <v>221</v>
      </c>
      <c r="K9" s="18" t="s">
        <v>221</v>
      </c>
      <c r="L9" s="18" t="s">
        <v>238</v>
      </c>
    </row>
    <row r="10">
      <c r="A10" s="18" t="s">
        <v>261</v>
      </c>
      <c r="B10" s="18" t="s">
        <v>14</v>
      </c>
      <c r="C10" s="18" t="s">
        <v>267</v>
      </c>
      <c r="D10" s="18" t="s">
        <v>268</v>
      </c>
      <c r="E10" s="24">
        <v>8.3850518E10</v>
      </c>
      <c r="F10" s="24">
        <v>1.0</v>
      </c>
      <c r="G10" s="18" t="s">
        <v>267</v>
      </c>
      <c r="H10" s="18" t="s">
        <v>268</v>
      </c>
      <c r="I10" s="24">
        <v>8.3850518E10</v>
      </c>
      <c r="J10" s="18" t="s">
        <v>264</v>
      </c>
      <c r="K10" s="18" t="s">
        <v>264</v>
      </c>
      <c r="L10" s="18" t="s">
        <v>273</v>
      </c>
    </row>
    <row r="11">
      <c r="A11" s="18" t="s">
        <v>342</v>
      </c>
      <c r="B11" s="18" t="s">
        <v>14</v>
      </c>
      <c r="C11" s="18" t="s">
        <v>346</v>
      </c>
      <c r="D11" s="18" t="s">
        <v>349</v>
      </c>
      <c r="E11" s="24">
        <v>8.5790570462E10</v>
      </c>
      <c r="F11" s="24">
        <v>1.0</v>
      </c>
      <c r="G11" s="18" t="s">
        <v>346</v>
      </c>
      <c r="H11" s="18" t="s">
        <v>349</v>
      </c>
      <c r="I11" s="24">
        <v>8.5790570462E10</v>
      </c>
      <c r="J11" s="18" t="s">
        <v>151</v>
      </c>
      <c r="K11" s="18"/>
      <c r="L11" s="18" t="s">
        <v>354</v>
      </c>
    </row>
    <row r="12">
      <c r="A12" s="18" t="s">
        <v>305</v>
      </c>
      <c r="B12" s="18" t="s">
        <v>14</v>
      </c>
      <c r="C12" s="18" t="s">
        <v>311</v>
      </c>
      <c r="D12" s="18" t="s">
        <v>155</v>
      </c>
      <c r="E12" s="24">
        <v>8.5790570462E10</v>
      </c>
      <c r="F12" s="24">
        <v>1.0</v>
      </c>
      <c r="G12" s="18" t="s">
        <v>311</v>
      </c>
      <c r="H12" s="18" t="s">
        <v>155</v>
      </c>
      <c r="I12" s="24">
        <v>8.5790570462E10</v>
      </c>
      <c r="J12" s="18" t="s">
        <v>151</v>
      </c>
      <c r="K12" s="18" t="s">
        <v>151</v>
      </c>
      <c r="L12" s="18" t="s">
        <v>324</v>
      </c>
    </row>
    <row r="13">
      <c r="A13" s="18" t="s">
        <v>359</v>
      </c>
      <c r="B13" s="18" t="s">
        <v>14</v>
      </c>
      <c r="C13" s="18" t="s">
        <v>363</v>
      </c>
      <c r="D13" s="18" t="s">
        <v>176</v>
      </c>
      <c r="E13" s="24">
        <v>8.7856803894E10</v>
      </c>
      <c r="F13" s="24">
        <v>1.0</v>
      </c>
      <c r="G13" s="18" t="s">
        <v>363</v>
      </c>
      <c r="H13" s="18" t="s">
        <v>176</v>
      </c>
      <c r="I13" s="24">
        <v>8.7856803894E10</v>
      </c>
      <c r="J13" s="18" t="s">
        <v>361</v>
      </c>
      <c r="K13" s="18" t="s">
        <v>361</v>
      </c>
      <c r="L13" s="18" t="s">
        <v>375</v>
      </c>
    </row>
    <row r="14">
      <c r="A14" s="18" t="s">
        <v>387</v>
      </c>
      <c r="B14" s="18" t="s">
        <v>14</v>
      </c>
      <c r="C14" s="18" t="s">
        <v>396</v>
      </c>
      <c r="D14" s="18" t="s">
        <v>398</v>
      </c>
      <c r="E14" s="24">
        <v>8.9523655038E10</v>
      </c>
      <c r="F14" s="24">
        <v>1.0</v>
      </c>
      <c r="G14" s="18" t="s">
        <v>396</v>
      </c>
      <c r="H14" s="18" t="s">
        <v>398</v>
      </c>
      <c r="I14" s="24">
        <v>8.9523655038E10</v>
      </c>
      <c r="J14" s="18" t="s">
        <v>393</v>
      </c>
      <c r="K14" s="18" t="s">
        <v>393</v>
      </c>
      <c r="L14" s="18" t="s">
        <v>402</v>
      </c>
    </row>
    <row r="15">
      <c r="A15" s="18" t="s">
        <v>1367</v>
      </c>
      <c r="B15" s="18" t="s">
        <v>14</v>
      </c>
      <c r="C15" s="18" t="s">
        <v>1368</v>
      </c>
      <c r="D15" s="18" t="s">
        <v>1369</v>
      </c>
      <c r="E15" s="24">
        <v>8.1231206843E10</v>
      </c>
      <c r="F15" s="24">
        <v>1.0</v>
      </c>
      <c r="G15" s="18" t="s">
        <v>1368</v>
      </c>
      <c r="H15" s="18" t="s">
        <v>1369</v>
      </c>
      <c r="I15" s="24">
        <v>8.1231206843E10</v>
      </c>
      <c r="J15" s="39" t="s">
        <v>1370</v>
      </c>
      <c r="K15" s="36" t="s">
        <v>1370</v>
      </c>
      <c r="L15" s="18" t="s">
        <v>1371</v>
      </c>
    </row>
    <row r="16">
      <c r="A16" s="18" t="s">
        <v>1372</v>
      </c>
      <c r="B16" s="18" t="s">
        <v>14</v>
      </c>
      <c r="C16" s="18" t="s">
        <v>1373</v>
      </c>
      <c r="D16" s="18" t="s">
        <v>1374</v>
      </c>
      <c r="E16" s="24">
        <v>8.123456789E9</v>
      </c>
      <c r="F16" s="24">
        <v>1.0</v>
      </c>
      <c r="G16" s="18" t="s">
        <v>1373</v>
      </c>
      <c r="H16" s="18" t="s">
        <v>1374</v>
      </c>
      <c r="I16" s="24">
        <v>8.123456789E9</v>
      </c>
      <c r="J16" s="18" t="s">
        <v>1375</v>
      </c>
      <c r="K16" s="18"/>
      <c r="L16" s="18" t="s">
        <v>1376</v>
      </c>
    </row>
    <row r="17">
      <c r="A17" s="18" t="s">
        <v>755</v>
      </c>
      <c r="B17" s="18" t="s">
        <v>14</v>
      </c>
      <c r="C17" s="18" t="s">
        <v>645</v>
      </c>
      <c r="D17" s="18" t="s">
        <v>763</v>
      </c>
      <c r="E17" s="24">
        <v>8.5259626461E10</v>
      </c>
      <c r="F17" s="24">
        <v>1.0</v>
      </c>
      <c r="G17" s="18" t="s">
        <v>645</v>
      </c>
      <c r="H17" s="18" t="s">
        <v>763</v>
      </c>
      <c r="I17" s="24">
        <v>8.5259626461E10</v>
      </c>
      <c r="J17" s="18" t="s">
        <v>760</v>
      </c>
      <c r="K17" s="18" t="s">
        <v>760</v>
      </c>
      <c r="L17" s="18" t="s">
        <v>772</v>
      </c>
    </row>
    <row r="18">
      <c r="A18" s="18" t="s">
        <v>920</v>
      </c>
      <c r="B18" s="18" t="s">
        <v>14</v>
      </c>
      <c r="C18" s="18" t="s">
        <v>688</v>
      </c>
      <c r="D18" s="18" t="s">
        <v>74</v>
      </c>
      <c r="E18" s="24">
        <v>8.5235665155E10</v>
      </c>
      <c r="F18" s="24">
        <v>1.0</v>
      </c>
      <c r="G18" s="18" t="s">
        <v>688</v>
      </c>
      <c r="H18" s="18" t="s">
        <v>74</v>
      </c>
      <c r="I18" s="24">
        <v>8.5235665155E10</v>
      </c>
      <c r="J18" s="18" t="s">
        <v>922</v>
      </c>
      <c r="K18" s="18" t="s">
        <v>922</v>
      </c>
      <c r="L18" s="18" t="s">
        <v>923</v>
      </c>
    </row>
    <row r="19">
      <c r="A19" s="18" t="s">
        <v>823</v>
      </c>
      <c r="B19" s="18" t="s">
        <v>14</v>
      </c>
      <c r="C19" s="18" t="s">
        <v>706</v>
      </c>
      <c r="D19" s="18" t="s">
        <v>188</v>
      </c>
      <c r="E19" s="24">
        <v>8.5749592637E10</v>
      </c>
      <c r="F19" s="24">
        <v>1.0</v>
      </c>
      <c r="G19" s="18" t="s">
        <v>706</v>
      </c>
      <c r="H19" s="18" t="s">
        <v>188</v>
      </c>
      <c r="I19" s="24">
        <v>8.5749592637E10</v>
      </c>
      <c r="J19" s="18" t="s">
        <v>826</v>
      </c>
      <c r="K19" s="18" t="s">
        <v>826</v>
      </c>
      <c r="L19" s="18" t="s">
        <v>834</v>
      </c>
    </row>
    <row r="20">
      <c r="A20" s="18" t="s">
        <v>1381</v>
      </c>
      <c r="B20" s="18" t="s">
        <v>14</v>
      </c>
      <c r="C20" s="18" t="s">
        <v>1382</v>
      </c>
      <c r="D20" s="18" t="s">
        <v>1384</v>
      </c>
      <c r="E20" s="24">
        <v>8.1333595339E10</v>
      </c>
      <c r="F20" s="24">
        <v>1.0</v>
      </c>
      <c r="G20" s="18" t="s">
        <v>1382</v>
      </c>
      <c r="H20" s="18" t="s">
        <v>1384</v>
      </c>
      <c r="I20" s="24">
        <v>8.1333595339E10</v>
      </c>
      <c r="J20" s="18" t="s">
        <v>1386</v>
      </c>
      <c r="K20" s="18"/>
      <c r="L20" s="18" t="s">
        <v>1388</v>
      </c>
    </row>
    <row r="21">
      <c r="A21" s="18" t="s">
        <v>1178</v>
      </c>
      <c r="B21" s="18" t="s">
        <v>14</v>
      </c>
      <c r="C21" s="18" t="s">
        <v>1181</v>
      </c>
      <c r="D21" s="18" t="s">
        <v>214</v>
      </c>
      <c r="E21" s="24">
        <v>8.5235415195E10</v>
      </c>
      <c r="F21" s="24">
        <v>1.0</v>
      </c>
      <c r="G21" s="18" t="s">
        <v>1181</v>
      </c>
      <c r="H21" s="18" t="s">
        <v>214</v>
      </c>
      <c r="I21" s="24">
        <v>8.5235415195E10</v>
      </c>
      <c r="J21" s="18" t="s">
        <v>1180</v>
      </c>
      <c r="K21" s="18" t="s">
        <v>1180</v>
      </c>
      <c r="L21" s="18" t="s">
        <v>1182</v>
      </c>
    </row>
    <row r="22">
      <c r="A22" s="18" t="s">
        <v>615</v>
      </c>
      <c r="B22" s="18" t="s">
        <v>14</v>
      </c>
      <c r="C22" s="18" t="s">
        <v>630</v>
      </c>
      <c r="D22" s="18" t="s">
        <v>636</v>
      </c>
      <c r="E22" s="24">
        <v>8.2143422489E10</v>
      </c>
      <c r="F22" s="24">
        <v>1.0</v>
      </c>
      <c r="G22" s="18" t="s">
        <v>630</v>
      </c>
      <c r="H22" s="18" t="s">
        <v>636</v>
      </c>
      <c r="I22" s="24">
        <v>8.2143422489E10</v>
      </c>
      <c r="J22" s="18" t="s">
        <v>624</v>
      </c>
      <c r="K22" s="18" t="s">
        <v>624</v>
      </c>
      <c r="L22" s="18" t="s">
        <v>653</v>
      </c>
    </row>
    <row r="23">
      <c r="A23" s="18" t="s">
        <v>676</v>
      </c>
      <c r="B23" s="18" t="s">
        <v>14</v>
      </c>
      <c r="C23" s="18" t="s">
        <v>680</v>
      </c>
      <c r="D23" s="18" t="s">
        <v>683</v>
      </c>
      <c r="E23" s="24">
        <v>8.953259349E10</v>
      </c>
      <c r="F23" s="24">
        <v>1.0</v>
      </c>
      <c r="G23" s="18" t="s">
        <v>680</v>
      </c>
      <c r="H23" s="18" t="s">
        <v>683</v>
      </c>
      <c r="I23" s="24">
        <v>8.953259349E10</v>
      </c>
      <c r="J23" s="18" t="s">
        <v>678</v>
      </c>
      <c r="K23" s="18" t="s">
        <v>678</v>
      </c>
      <c r="L23" s="18" t="s">
        <v>689</v>
      </c>
    </row>
    <row r="24">
      <c r="A24" s="18" t="s">
        <v>1120</v>
      </c>
      <c r="B24" s="18" t="s">
        <v>14</v>
      </c>
      <c r="C24" s="18" t="s">
        <v>948</v>
      </c>
      <c r="D24" s="18" t="s">
        <v>1122</v>
      </c>
      <c r="E24" s="24">
        <v>8.2244693431E10</v>
      </c>
      <c r="F24" s="24">
        <v>1.0</v>
      </c>
      <c r="G24" s="18" t="s">
        <v>948</v>
      </c>
      <c r="H24" s="18" t="s">
        <v>1122</v>
      </c>
      <c r="I24" s="24">
        <v>8.2244693431E10</v>
      </c>
      <c r="J24" s="18" t="s">
        <v>1121</v>
      </c>
      <c r="K24" s="18" t="s">
        <v>1121</v>
      </c>
      <c r="L24" s="18" t="s">
        <v>1123</v>
      </c>
    </row>
    <row r="25">
      <c r="A25" s="18" t="s">
        <v>1193</v>
      </c>
      <c r="B25" s="18" t="s">
        <v>463</v>
      </c>
      <c r="C25" s="18" t="s">
        <v>1195</v>
      </c>
      <c r="D25" s="18" t="s">
        <v>1196</v>
      </c>
      <c r="E25" s="24">
        <v>8.5812735927E10</v>
      </c>
      <c r="F25" s="24">
        <v>0.0</v>
      </c>
      <c r="G25" s="18" t="s">
        <v>1195</v>
      </c>
      <c r="H25" s="18" t="s">
        <v>1196</v>
      </c>
      <c r="I25" s="24">
        <v>8.5812735927E10</v>
      </c>
      <c r="J25" s="18" t="s">
        <v>1194</v>
      </c>
      <c r="K25" s="18" t="s">
        <v>1197</v>
      </c>
      <c r="L25" s="18" t="s">
        <v>1198</v>
      </c>
    </row>
    <row r="26">
      <c r="A26" s="18" t="s">
        <v>1250</v>
      </c>
      <c r="B26" s="18" t="s">
        <v>463</v>
      </c>
      <c r="C26" s="18" t="s">
        <v>1251</v>
      </c>
      <c r="D26" s="18" t="s">
        <v>1252</v>
      </c>
      <c r="E26" s="24">
        <v>8.123456789E10</v>
      </c>
      <c r="F26" s="24">
        <v>1.0</v>
      </c>
      <c r="G26" s="18" t="s">
        <v>1251</v>
      </c>
      <c r="H26" s="18" t="s">
        <v>1252</v>
      </c>
      <c r="I26" s="24">
        <v>8.123456789E10</v>
      </c>
      <c r="J26" s="18" t="s">
        <v>1074</v>
      </c>
      <c r="K26" s="18" t="s">
        <v>1074</v>
      </c>
      <c r="L26" s="18" t="s">
        <v>1253</v>
      </c>
    </row>
    <row r="27">
      <c r="A27" s="18" t="s">
        <v>458</v>
      </c>
      <c r="B27" s="18" t="s">
        <v>463</v>
      </c>
      <c r="C27" s="18" t="s">
        <v>477</v>
      </c>
      <c r="D27" s="18" t="s">
        <v>479</v>
      </c>
      <c r="E27" s="24">
        <v>8.10987654321E11</v>
      </c>
      <c r="F27" s="24">
        <v>1.0</v>
      </c>
      <c r="G27" s="18" t="s">
        <v>477</v>
      </c>
      <c r="H27" s="18" t="s">
        <v>479</v>
      </c>
      <c r="I27" s="24">
        <v>8.10987654321E11</v>
      </c>
      <c r="J27" s="18" t="s">
        <v>472</v>
      </c>
      <c r="K27" s="18" t="s">
        <v>472</v>
      </c>
      <c r="L27" s="18" t="s">
        <v>494</v>
      </c>
    </row>
    <row r="28">
      <c r="A28" s="18" t="s">
        <v>1254</v>
      </c>
      <c r="B28" s="18" t="s">
        <v>1162</v>
      </c>
      <c r="C28" s="18" t="s">
        <v>1255</v>
      </c>
      <c r="D28" s="18" t="s">
        <v>1256</v>
      </c>
      <c r="E28" s="24">
        <v>8.123456789E10</v>
      </c>
      <c r="F28" s="24">
        <v>1.0</v>
      </c>
      <c r="G28" s="18"/>
      <c r="H28" s="18"/>
      <c r="I28" s="18"/>
      <c r="J28" s="18"/>
      <c r="K28" s="18"/>
      <c r="L28" s="18"/>
    </row>
    <row r="29">
      <c r="A29" s="18" t="s">
        <v>1161</v>
      </c>
      <c r="B29" s="18" t="s">
        <v>1162</v>
      </c>
      <c r="C29" s="18" t="s">
        <v>1164</v>
      </c>
      <c r="D29" s="18" t="s">
        <v>1165</v>
      </c>
      <c r="E29" s="24">
        <v>8.1252232644E10</v>
      </c>
      <c r="F29" s="24">
        <v>0.0</v>
      </c>
      <c r="G29" s="18" t="s">
        <v>1164</v>
      </c>
      <c r="H29" s="18" t="s">
        <v>1165</v>
      </c>
      <c r="I29" s="24">
        <v>8.1252232644E10</v>
      </c>
      <c r="J29" s="18" t="s">
        <v>1163</v>
      </c>
      <c r="K29" s="18" t="s">
        <v>1163</v>
      </c>
      <c r="L29" s="18" t="s">
        <v>1166</v>
      </c>
    </row>
    <row r="30">
      <c r="A30" s="18" t="s">
        <v>1395</v>
      </c>
      <c r="B30" s="18" t="s">
        <v>1162</v>
      </c>
      <c r="C30" s="18" t="s">
        <v>1396</v>
      </c>
      <c r="D30" s="18" t="s">
        <v>1397</v>
      </c>
      <c r="E30" s="24">
        <v>8.1234567899E10</v>
      </c>
      <c r="F30" s="24">
        <v>1.0</v>
      </c>
      <c r="G30" s="18"/>
      <c r="H30" s="18"/>
      <c r="I30" s="18"/>
      <c r="J30" s="18"/>
      <c r="K30" s="18"/>
      <c r="L30" s="18"/>
    </row>
    <row r="31">
      <c r="A31" s="18" t="s">
        <v>693</v>
      </c>
      <c r="B31" s="18" t="s">
        <v>23</v>
      </c>
      <c r="C31" s="7" t="s">
        <v>699</v>
      </c>
      <c r="D31" s="18" t="s">
        <v>683</v>
      </c>
      <c r="E31" s="24">
        <v>8.953259349E11</v>
      </c>
      <c r="F31" s="24">
        <v>1.0</v>
      </c>
      <c r="G31" s="18" t="s">
        <v>710</v>
      </c>
      <c r="H31" s="18" t="s">
        <v>683</v>
      </c>
      <c r="I31" s="24">
        <v>8.953259349E11</v>
      </c>
      <c r="J31" s="18" t="s">
        <v>678</v>
      </c>
      <c r="K31" s="18"/>
      <c r="L31" s="18" t="s">
        <v>160</v>
      </c>
    </row>
    <row r="32">
      <c r="A32" s="18" t="s">
        <v>1356</v>
      </c>
      <c r="B32" s="18" t="s">
        <v>23</v>
      </c>
      <c r="C32" s="18" t="s">
        <v>1357</v>
      </c>
      <c r="D32" s="18" t="s">
        <v>1358</v>
      </c>
      <c r="E32" s="18" t="s">
        <v>1359</v>
      </c>
      <c r="F32" s="24">
        <v>0.0</v>
      </c>
      <c r="G32" s="18" t="s">
        <v>1357</v>
      </c>
      <c r="H32" s="18" t="s">
        <v>1358</v>
      </c>
      <c r="I32" s="18" t="s">
        <v>1359</v>
      </c>
      <c r="J32" s="24">
        <v>9.0</v>
      </c>
      <c r="K32" s="18"/>
      <c r="L32" s="18" t="s">
        <v>1360</v>
      </c>
    </row>
    <row r="33">
      <c r="A33" s="18" t="s">
        <v>1361</v>
      </c>
      <c r="B33" s="18" t="s">
        <v>23</v>
      </c>
      <c r="C33" s="18" t="s">
        <v>1362</v>
      </c>
      <c r="D33" s="18" t="s">
        <v>1363</v>
      </c>
      <c r="E33" s="18" t="s">
        <v>1364</v>
      </c>
      <c r="F33" s="24">
        <v>0.0</v>
      </c>
      <c r="G33" s="18" t="s">
        <v>1362</v>
      </c>
      <c r="H33" s="18" t="s">
        <v>1363</v>
      </c>
      <c r="I33" s="18" t="s">
        <v>1364</v>
      </c>
      <c r="J33" s="24">
        <v>9.0</v>
      </c>
      <c r="K33" s="18"/>
      <c r="L33" s="18" t="s">
        <v>1365</v>
      </c>
    </row>
    <row r="34">
      <c r="A34" s="18" t="s">
        <v>1174</v>
      </c>
      <c r="B34" s="18" t="s">
        <v>23</v>
      </c>
      <c r="C34" s="18" t="s">
        <v>1176</v>
      </c>
      <c r="D34" s="18" t="s">
        <v>1177</v>
      </c>
      <c r="E34" s="24">
        <v>8.5174325636E10</v>
      </c>
      <c r="F34" s="24">
        <v>0.0</v>
      </c>
      <c r="G34" s="18" t="s">
        <v>1176</v>
      </c>
      <c r="H34" s="18" t="s">
        <v>1177</v>
      </c>
      <c r="I34" s="24">
        <v>8.5174325636E10</v>
      </c>
      <c r="J34" s="18" t="s">
        <v>1175</v>
      </c>
      <c r="K34" s="18"/>
      <c r="L34" s="18" t="s">
        <v>1179</v>
      </c>
    </row>
    <row r="35">
      <c r="A35" s="18" t="s">
        <v>1224</v>
      </c>
      <c r="B35" s="18" t="s">
        <v>23</v>
      </c>
      <c r="C35" s="18" t="s">
        <v>35</v>
      </c>
      <c r="D35" s="18" t="s">
        <v>39</v>
      </c>
      <c r="E35" s="24">
        <v>8.1235730137E10</v>
      </c>
      <c r="F35" s="24">
        <v>1.0</v>
      </c>
      <c r="G35" s="18" t="s">
        <v>35</v>
      </c>
      <c r="H35" s="18" t="s">
        <v>39</v>
      </c>
      <c r="I35" s="24">
        <v>8.1235730137E10</v>
      </c>
      <c r="J35" s="18" t="s">
        <v>26</v>
      </c>
      <c r="K35" s="18"/>
      <c r="L35" s="18" t="s">
        <v>1225</v>
      </c>
    </row>
    <row r="36">
      <c r="A36" s="18" t="s">
        <v>28</v>
      </c>
      <c r="B36" s="18" t="s">
        <v>23</v>
      </c>
      <c r="C36" s="18" t="s">
        <v>37</v>
      </c>
      <c r="D36" s="18"/>
      <c r="E36" s="24">
        <v>8.1335684594E10</v>
      </c>
      <c r="F36" s="24">
        <v>0.0</v>
      </c>
      <c r="G36" s="18" t="s">
        <v>37</v>
      </c>
      <c r="H36" s="18"/>
      <c r="I36" s="24">
        <v>8.1335684594E10</v>
      </c>
      <c r="J36" s="18" t="s">
        <v>52</v>
      </c>
      <c r="K36" s="18"/>
      <c r="L36" s="18" t="s">
        <v>56</v>
      </c>
    </row>
    <row r="37">
      <c r="A37" s="18" t="s">
        <v>813</v>
      </c>
      <c r="B37" s="18" t="s">
        <v>23</v>
      </c>
      <c r="C37" s="18" t="s">
        <v>51</v>
      </c>
      <c r="D37" s="18" t="s">
        <v>54</v>
      </c>
      <c r="E37" s="24">
        <v>8.5736635579E10</v>
      </c>
      <c r="F37" s="24">
        <v>1.0</v>
      </c>
      <c r="G37" s="18" t="s">
        <v>51</v>
      </c>
      <c r="H37" s="18" t="s">
        <v>54</v>
      </c>
      <c r="I37" s="24">
        <v>8.5736635579E10</v>
      </c>
      <c r="J37" s="18" t="s">
        <v>50</v>
      </c>
      <c r="K37" s="18"/>
      <c r="L37" s="18" t="s">
        <v>819</v>
      </c>
    </row>
    <row r="38">
      <c r="A38" s="18" t="s">
        <v>60</v>
      </c>
      <c r="B38" s="18" t="s">
        <v>23</v>
      </c>
      <c r="C38" s="18" t="s">
        <v>63</v>
      </c>
      <c r="D38" s="18"/>
      <c r="E38" s="24">
        <v>8.5736881069E10</v>
      </c>
      <c r="F38" s="24">
        <v>1.0</v>
      </c>
      <c r="G38" s="18" t="s">
        <v>63</v>
      </c>
      <c r="H38" s="18"/>
      <c r="I38" s="24">
        <v>8.5736881069E10</v>
      </c>
      <c r="J38" s="18" t="s">
        <v>72</v>
      </c>
      <c r="K38" s="18"/>
      <c r="L38" s="18"/>
    </row>
    <row r="39">
      <c r="A39" s="18" t="s">
        <v>1227</v>
      </c>
      <c r="B39" s="18" t="s">
        <v>23</v>
      </c>
      <c r="C39" s="18" t="s">
        <v>1232</v>
      </c>
      <c r="D39" s="18" t="s">
        <v>71</v>
      </c>
      <c r="E39" s="24">
        <v>8.5843671615E10</v>
      </c>
      <c r="F39" s="24">
        <v>1.0</v>
      </c>
      <c r="G39" s="18" t="s">
        <v>1232</v>
      </c>
      <c r="H39" s="18" t="s">
        <v>71</v>
      </c>
      <c r="I39" s="24">
        <v>8.5843671615E10</v>
      </c>
      <c r="J39" s="18" t="s">
        <v>66</v>
      </c>
      <c r="K39" s="18"/>
      <c r="L39" s="18" t="s">
        <v>34</v>
      </c>
    </row>
    <row r="40">
      <c r="A40" s="18" t="s">
        <v>75</v>
      </c>
      <c r="B40" s="18" t="s">
        <v>23</v>
      </c>
      <c r="C40" s="18" t="s">
        <v>61</v>
      </c>
      <c r="D40" s="18"/>
      <c r="E40" s="24">
        <v>8.5735113595E10</v>
      </c>
      <c r="F40" s="24">
        <v>1.0</v>
      </c>
      <c r="G40" s="18" t="s">
        <v>61</v>
      </c>
      <c r="H40" s="18"/>
      <c r="I40" s="24">
        <v>8.5735113595E10</v>
      </c>
      <c r="J40" s="18" t="s">
        <v>81</v>
      </c>
      <c r="K40" s="18"/>
      <c r="L40" s="18" t="s">
        <v>85</v>
      </c>
    </row>
    <row r="41">
      <c r="A41" s="18" t="s">
        <v>894</v>
      </c>
      <c r="B41" s="18" t="s">
        <v>23</v>
      </c>
      <c r="C41" s="18" t="s">
        <v>883</v>
      </c>
      <c r="D41" s="18" t="s">
        <v>138</v>
      </c>
      <c r="E41" s="24">
        <v>8.5856914475E10</v>
      </c>
      <c r="F41" s="24">
        <v>1.0</v>
      </c>
      <c r="G41" s="18" t="s">
        <v>883</v>
      </c>
      <c r="H41" s="18" t="s">
        <v>138</v>
      </c>
      <c r="I41" s="24">
        <v>8.5856914475E10</v>
      </c>
      <c r="J41" s="18" t="s">
        <v>898</v>
      </c>
      <c r="K41" s="18"/>
      <c r="L41" s="18" t="s">
        <v>905</v>
      </c>
    </row>
    <row r="42">
      <c r="A42" s="18" t="s">
        <v>910</v>
      </c>
      <c r="B42" s="18" t="s">
        <v>23</v>
      </c>
      <c r="C42" s="18" t="s">
        <v>136</v>
      </c>
      <c r="D42" s="18" t="s">
        <v>138</v>
      </c>
      <c r="E42" s="24">
        <v>8.5856914475E10</v>
      </c>
      <c r="F42" s="24">
        <v>1.0</v>
      </c>
      <c r="G42" s="18" t="s">
        <v>136</v>
      </c>
      <c r="H42" s="18" t="s">
        <v>138</v>
      </c>
      <c r="I42" s="24">
        <v>8.5856914475E10</v>
      </c>
      <c r="J42" s="18" t="s">
        <v>130</v>
      </c>
      <c r="K42" s="18"/>
      <c r="L42" s="18" t="s">
        <v>918</v>
      </c>
    </row>
    <row r="43">
      <c r="A43" s="18" t="s">
        <v>88</v>
      </c>
      <c r="B43" s="18" t="s">
        <v>23</v>
      </c>
      <c r="C43" s="18" t="s">
        <v>95</v>
      </c>
      <c r="D43" s="18"/>
      <c r="E43" s="24">
        <v>8.13342235E10</v>
      </c>
      <c r="F43" s="24">
        <v>1.0</v>
      </c>
      <c r="G43" s="18" t="s">
        <v>95</v>
      </c>
      <c r="H43" s="18"/>
      <c r="I43" s="24">
        <v>8.13342235E10</v>
      </c>
      <c r="J43" s="18" t="s">
        <v>99</v>
      </c>
      <c r="K43" s="18"/>
      <c r="L43" s="18"/>
    </row>
    <row r="44">
      <c r="A44" s="18" t="s">
        <v>103</v>
      </c>
      <c r="B44" s="18" t="s">
        <v>23</v>
      </c>
      <c r="C44" s="18" t="s">
        <v>105</v>
      </c>
      <c r="D44" s="18"/>
      <c r="E44" s="24">
        <v>8.5649502506E10</v>
      </c>
      <c r="F44" s="24">
        <v>1.0</v>
      </c>
      <c r="G44" s="18" t="s">
        <v>105</v>
      </c>
      <c r="H44" s="18"/>
      <c r="I44" s="24">
        <v>8.5649502506E10</v>
      </c>
      <c r="J44" s="18" t="s">
        <v>110</v>
      </c>
      <c r="K44" s="18"/>
      <c r="L44" s="18"/>
    </row>
    <row r="45">
      <c r="A45" s="18" t="s">
        <v>114</v>
      </c>
      <c r="B45" s="18" t="s">
        <v>23</v>
      </c>
      <c r="C45" s="18" t="s">
        <v>118</v>
      </c>
      <c r="D45" s="18"/>
      <c r="E45" s="24">
        <v>8.563501392E9</v>
      </c>
      <c r="F45" s="24">
        <v>1.0</v>
      </c>
      <c r="G45" s="18" t="s">
        <v>118</v>
      </c>
      <c r="H45" s="18"/>
      <c r="I45" s="24">
        <v>8.563501392E9</v>
      </c>
      <c r="J45" s="18" t="s">
        <v>123</v>
      </c>
      <c r="K45" s="18"/>
      <c r="L45" s="18"/>
    </row>
    <row r="46">
      <c r="A46" s="18" t="s">
        <v>178</v>
      </c>
      <c r="B46" s="18" t="s">
        <v>23</v>
      </c>
      <c r="C46" s="18" t="s">
        <v>182</v>
      </c>
      <c r="D46" s="18" t="s">
        <v>184</v>
      </c>
      <c r="E46" s="24">
        <v>8.5856261377E10</v>
      </c>
      <c r="F46" s="24">
        <v>1.0</v>
      </c>
      <c r="G46" s="18" t="s">
        <v>182</v>
      </c>
      <c r="H46" s="18" t="s">
        <v>184</v>
      </c>
      <c r="I46" s="24">
        <v>8.5856261377E10</v>
      </c>
      <c r="J46" s="18" t="s">
        <v>116</v>
      </c>
      <c r="K46" s="18"/>
      <c r="L46" s="18" t="s">
        <v>189</v>
      </c>
    </row>
    <row r="47">
      <c r="A47" s="18" t="s">
        <v>126</v>
      </c>
      <c r="B47" s="18" t="s">
        <v>23</v>
      </c>
      <c r="C47" s="18" t="s">
        <v>119</v>
      </c>
      <c r="D47" s="18"/>
      <c r="E47" s="24">
        <v>8.5856261477E10</v>
      </c>
      <c r="F47" s="24">
        <v>1.0</v>
      </c>
      <c r="G47" s="18" t="s">
        <v>119</v>
      </c>
      <c r="H47" s="18"/>
      <c r="I47" s="24">
        <v>8.5856261477E10</v>
      </c>
      <c r="J47" s="18" t="s">
        <v>144</v>
      </c>
      <c r="K47" s="18"/>
      <c r="L47" s="18"/>
    </row>
    <row r="48">
      <c r="A48" s="18" t="s">
        <v>1398</v>
      </c>
      <c r="B48" s="18" t="s">
        <v>23</v>
      </c>
      <c r="C48" s="18" t="s">
        <v>204</v>
      </c>
      <c r="D48" s="18" t="s">
        <v>206</v>
      </c>
      <c r="E48" s="24">
        <v>8.1244857061E10</v>
      </c>
      <c r="F48" s="24">
        <v>1.0</v>
      </c>
      <c r="G48" s="18" t="s">
        <v>204</v>
      </c>
      <c r="H48" s="18" t="s">
        <v>206</v>
      </c>
      <c r="I48" s="24">
        <v>8.1244857061E10</v>
      </c>
      <c r="J48" s="18" t="s">
        <v>201</v>
      </c>
      <c r="K48" s="18"/>
      <c r="L48" s="18"/>
    </row>
    <row r="49">
      <c r="A49" s="18" t="s">
        <v>146</v>
      </c>
      <c r="B49" s="18" t="s">
        <v>23</v>
      </c>
      <c r="C49" s="18" t="s">
        <v>148</v>
      </c>
      <c r="D49" s="18"/>
      <c r="E49" s="24">
        <v>8.5647109231E10</v>
      </c>
      <c r="F49" s="24">
        <v>1.0</v>
      </c>
      <c r="G49" s="18" t="s">
        <v>148</v>
      </c>
      <c r="H49" s="18"/>
      <c r="I49" s="24">
        <v>8.5647109231E10</v>
      </c>
      <c r="J49" s="18" t="s">
        <v>156</v>
      </c>
      <c r="K49" s="18"/>
      <c r="L49" s="18" t="s">
        <v>93</v>
      </c>
    </row>
    <row r="50">
      <c r="A50" s="18" t="s">
        <v>1399</v>
      </c>
      <c r="B50" s="18" t="s">
        <v>23</v>
      </c>
      <c r="C50" s="18" t="s">
        <v>240</v>
      </c>
      <c r="D50" s="18" t="s">
        <v>242</v>
      </c>
      <c r="E50" s="24">
        <v>8.5233719491E10</v>
      </c>
      <c r="F50" s="24">
        <v>1.0</v>
      </c>
      <c r="G50" s="18" t="s">
        <v>240</v>
      </c>
      <c r="H50" s="18" t="s">
        <v>242</v>
      </c>
      <c r="I50" s="24">
        <v>8.5233719491E10</v>
      </c>
      <c r="J50" s="18" t="s">
        <v>239</v>
      </c>
      <c r="K50" s="18"/>
      <c r="L50" s="18" t="s">
        <v>1400</v>
      </c>
    </row>
    <row r="51">
      <c r="A51" s="18" t="s">
        <v>161</v>
      </c>
      <c r="B51" s="18" t="s">
        <v>23</v>
      </c>
      <c r="C51" s="18" t="s">
        <v>164</v>
      </c>
      <c r="D51" s="18"/>
      <c r="E51" s="24">
        <v>8.123405154E9</v>
      </c>
      <c r="F51" s="24">
        <v>1.0</v>
      </c>
      <c r="G51" s="18" t="s">
        <v>164</v>
      </c>
      <c r="H51" s="18"/>
      <c r="I51" s="24">
        <v>8.123405154E9</v>
      </c>
      <c r="J51" s="18" t="s">
        <v>168</v>
      </c>
      <c r="K51" s="18"/>
      <c r="L51" s="18" t="s">
        <v>169</v>
      </c>
    </row>
    <row r="52">
      <c r="A52" s="18" t="s">
        <v>173</v>
      </c>
      <c r="B52" s="18" t="s">
        <v>23</v>
      </c>
      <c r="C52" s="18" t="s">
        <v>174</v>
      </c>
      <c r="D52" s="18"/>
      <c r="E52" s="24">
        <v>8.1252232644E10</v>
      </c>
      <c r="F52" s="24">
        <v>0.0</v>
      </c>
      <c r="G52" s="18" t="s">
        <v>174</v>
      </c>
      <c r="H52" s="18"/>
      <c r="I52" s="24">
        <v>8.1252232644E10</v>
      </c>
      <c r="J52" s="24">
        <v>999.0</v>
      </c>
      <c r="K52" s="18"/>
      <c r="L52" s="18"/>
    </row>
    <row r="53">
      <c r="A53" s="18" t="s">
        <v>1401</v>
      </c>
      <c r="B53" s="18" t="s">
        <v>23</v>
      </c>
      <c r="C53" s="18" t="s">
        <v>253</v>
      </c>
      <c r="D53" s="18" t="s">
        <v>254</v>
      </c>
      <c r="E53" s="24">
        <v>8.5232108618E10</v>
      </c>
      <c r="F53" s="24">
        <v>1.0</v>
      </c>
      <c r="G53" s="18" t="s">
        <v>253</v>
      </c>
      <c r="H53" s="18" t="s">
        <v>254</v>
      </c>
      <c r="I53" s="24">
        <v>8.5232108618E10</v>
      </c>
      <c r="J53" s="18" t="s">
        <v>251</v>
      </c>
      <c r="K53" s="18"/>
      <c r="L53" s="18" t="s">
        <v>1402</v>
      </c>
    </row>
    <row r="54">
      <c r="A54" s="18" t="s">
        <v>858</v>
      </c>
      <c r="B54" s="18" t="s">
        <v>23</v>
      </c>
      <c r="C54" s="18" t="s">
        <v>258</v>
      </c>
      <c r="D54" s="18" t="s">
        <v>259</v>
      </c>
      <c r="E54" s="24">
        <v>8.5736636579E10</v>
      </c>
      <c r="F54" s="24">
        <v>1.0</v>
      </c>
      <c r="G54" s="18" t="s">
        <v>258</v>
      </c>
      <c r="H54" s="18" t="s">
        <v>259</v>
      </c>
      <c r="I54" s="24">
        <v>8.5736636579E10</v>
      </c>
      <c r="J54" s="18" t="s">
        <v>257</v>
      </c>
      <c r="K54" s="18"/>
      <c r="L54" s="18" t="s">
        <v>866</v>
      </c>
    </row>
    <row r="55">
      <c r="A55" s="18" t="s">
        <v>1403</v>
      </c>
      <c r="B55" s="18" t="s">
        <v>23</v>
      </c>
      <c r="C55" s="18" t="s">
        <v>263</v>
      </c>
      <c r="D55" s="18" t="s">
        <v>265</v>
      </c>
      <c r="E55" s="24">
        <v>8.1330500074E10</v>
      </c>
      <c r="F55" s="24">
        <v>1.0</v>
      </c>
      <c r="G55" s="18" t="s">
        <v>263</v>
      </c>
      <c r="H55" s="18" t="s">
        <v>265</v>
      </c>
      <c r="I55" s="24">
        <v>8.1330500074E10</v>
      </c>
      <c r="J55" s="18" t="s">
        <v>262</v>
      </c>
      <c r="K55" s="18"/>
      <c r="L55" s="18" t="s">
        <v>1404</v>
      </c>
    </row>
    <row r="56">
      <c r="A56" s="18" t="s">
        <v>185</v>
      </c>
      <c r="B56" s="18" t="s">
        <v>23</v>
      </c>
      <c r="C56" s="18" t="s">
        <v>186</v>
      </c>
      <c r="D56" s="18"/>
      <c r="E56" s="24">
        <v>8.1556423161E10</v>
      </c>
      <c r="F56" s="24">
        <v>0.0</v>
      </c>
      <c r="G56" s="18" t="s">
        <v>186</v>
      </c>
      <c r="H56" s="18"/>
      <c r="I56" s="24">
        <v>8.1556423161E10</v>
      </c>
      <c r="J56" s="18" t="s">
        <v>192</v>
      </c>
      <c r="K56" s="18"/>
      <c r="L56" s="18"/>
    </row>
    <row r="57">
      <c r="A57" s="18" t="s">
        <v>1257</v>
      </c>
      <c r="B57" s="18" t="s">
        <v>23</v>
      </c>
      <c r="C57" s="18" t="s">
        <v>1259</v>
      </c>
      <c r="D57" s="18" t="s">
        <v>1260</v>
      </c>
      <c r="E57" s="24">
        <v>8.123456789E10</v>
      </c>
      <c r="F57" s="24">
        <v>0.0</v>
      </c>
      <c r="G57" s="18" t="s">
        <v>1259</v>
      </c>
      <c r="H57" s="18" t="s">
        <v>1260</v>
      </c>
      <c r="I57" s="24">
        <v>8.123456789E10</v>
      </c>
      <c r="J57" s="18" t="s">
        <v>1258</v>
      </c>
      <c r="K57" s="18"/>
      <c r="L57" s="18" t="s">
        <v>1166</v>
      </c>
    </row>
    <row r="58">
      <c r="A58" s="18" t="s">
        <v>951</v>
      </c>
      <c r="B58" s="18" t="s">
        <v>23</v>
      </c>
      <c r="C58" s="18" t="s">
        <v>953</v>
      </c>
      <c r="D58" s="18" t="s">
        <v>955</v>
      </c>
      <c r="E58" s="24">
        <v>8.789465123E9</v>
      </c>
      <c r="F58" s="24">
        <v>0.0</v>
      </c>
      <c r="G58" s="18" t="s">
        <v>953</v>
      </c>
      <c r="H58" s="18" t="s">
        <v>955</v>
      </c>
      <c r="I58" s="24">
        <v>8.789465123E9</v>
      </c>
      <c r="J58" s="24">
        <v>7.894561327898E12</v>
      </c>
      <c r="K58" s="18"/>
      <c r="L58" s="18" t="s">
        <v>957</v>
      </c>
    </row>
    <row r="59">
      <c r="A59" s="18" t="s">
        <v>959</v>
      </c>
      <c r="B59" s="18" t="s">
        <v>23</v>
      </c>
      <c r="C59" s="18" t="s">
        <v>963</v>
      </c>
      <c r="D59" s="18" t="s">
        <v>965</v>
      </c>
      <c r="E59" s="24">
        <v>8.7894563213E10</v>
      </c>
      <c r="F59" s="24">
        <v>0.0</v>
      </c>
      <c r="G59" s="18" t="s">
        <v>963</v>
      </c>
      <c r="H59" s="18" t="s">
        <v>965</v>
      </c>
      <c r="I59" s="24">
        <v>8.7894563213E10</v>
      </c>
      <c r="J59" s="24">
        <v>7.8987879456545E13</v>
      </c>
      <c r="K59" s="18"/>
      <c r="L59" s="18" t="s">
        <v>967</v>
      </c>
    </row>
    <row r="60">
      <c r="A60" s="18" t="s">
        <v>194</v>
      </c>
      <c r="B60" s="18" t="s">
        <v>23</v>
      </c>
      <c r="C60" s="18" t="s">
        <v>200</v>
      </c>
      <c r="D60" s="18"/>
      <c r="E60" s="24">
        <v>8.1332029263E10</v>
      </c>
      <c r="F60" s="24">
        <v>1.0</v>
      </c>
      <c r="G60" s="18" t="s">
        <v>200</v>
      </c>
      <c r="H60" s="18"/>
      <c r="I60" s="24">
        <v>8.1332029263E10</v>
      </c>
      <c r="J60" s="18" t="s">
        <v>211</v>
      </c>
      <c r="K60" s="18"/>
      <c r="L60" s="18" t="s">
        <v>213</v>
      </c>
    </row>
    <row r="61">
      <c r="A61" s="18" t="s">
        <v>216</v>
      </c>
      <c r="B61" s="18" t="s">
        <v>23</v>
      </c>
      <c r="C61" s="18" t="s">
        <v>219</v>
      </c>
      <c r="D61" s="18"/>
      <c r="E61" s="24">
        <v>8.5784809735E10</v>
      </c>
      <c r="F61" s="24">
        <v>1.0</v>
      </c>
      <c r="G61" s="18" t="s">
        <v>219</v>
      </c>
      <c r="H61" s="18"/>
      <c r="I61" s="24">
        <v>8.5784809735E10</v>
      </c>
      <c r="J61" s="18" t="s">
        <v>223</v>
      </c>
      <c r="K61" s="18"/>
      <c r="L61" s="18" t="s">
        <v>53</v>
      </c>
    </row>
    <row r="62">
      <c r="A62" s="18" t="s">
        <v>745</v>
      </c>
      <c r="B62" s="18" t="s">
        <v>23</v>
      </c>
      <c r="C62" s="18" t="s">
        <v>278</v>
      </c>
      <c r="D62" s="18" t="s">
        <v>279</v>
      </c>
      <c r="E62" s="24">
        <v>8.2336621788E10</v>
      </c>
      <c r="F62" s="24">
        <v>1.0</v>
      </c>
      <c r="G62" s="18" t="s">
        <v>278</v>
      </c>
      <c r="H62" s="18" t="s">
        <v>279</v>
      </c>
      <c r="I62" s="24">
        <v>8.2336621788E10</v>
      </c>
      <c r="J62" s="18" t="s">
        <v>277</v>
      </c>
      <c r="K62" s="18"/>
      <c r="L62" s="18" t="s">
        <v>753</v>
      </c>
    </row>
    <row r="63">
      <c r="A63" s="18" t="s">
        <v>1377</v>
      </c>
      <c r="B63" s="18" t="s">
        <v>23</v>
      </c>
      <c r="C63" s="18" t="s">
        <v>1379</v>
      </c>
      <c r="D63" s="18" t="s">
        <v>1380</v>
      </c>
      <c r="E63" s="24">
        <v>8.2143367634E10</v>
      </c>
      <c r="F63" s="24">
        <v>0.0</v>
      </c>
      <c r="G63" s="18" t="s">
        <v>1379</v>
      </c>
      <c r="H63" s="18" t="s">
        <v>1380</v>
      </c>
      <c r="I63" s="24">
        <v>8.2143367634E10</v>
      </c>
      <c r="J63" s="18" t="s">
        <v>1378</v>
      </c>
      <c r="K63" s="18"/>
      <c r="L63" s="18" t="s">
        <v>1383</v>
      </c>
    </row>
    <row r="64">
      <c r="A64" s="18" t="s">
        <v>228</v>
      </c>
      <c r="B64" s="18" t="s">
        <v>23</v>
      </c>
      <c r="C64" s="18" t="s">
        <v>229</v>
      </c>
      <c r="D64" s="18"/>
      <c r="E64" s="24">
        <v>8.5790218884E10</v>
      </c>
      <c r="F64" s="24">
        <v>1.0</v>
      </c>
      <c r="G64" s="18" t="s">
        <v>229</v>
      </c>
      <c r="H64" s="18"/>
      <c r="I64" s="24">
        <v>8.5790218884E10</v>
      </c>
      <c r="J64" s="18" t="s">
        <v>232</v>
      </c>
      <c r="K64" s="18"/>
      <c r="L64" s="18" t="s">
        <v>233</v>
      </c>
    </row>
    <row r="65">
      <c r="A65" s="18" t="s">
        <v>236</v>
      </c>
      <c r="B65" s="18" t="s">
        <v>23</v>
      </c>
      <c r="C65" s="18" t="s">
        <v>237</v>
      </c>
      <c r="D65" s="18"/>
      <c r="E65" s="24">
        <v>8.5736881069E10</v>
      </c>
      <c r="F65" s="24">
        <v>1.0</v>
      </c>
      <c r="G65" s="18" t="s">
        <v>237</v>
      </c>
      <c r="H65" s="18"/>
      <c r="I65" s="24">
        <v>8.5736881069E10</v>
      </c>
      <c r="J65" s="18" t="s">
        <v>241</v>
      </c>
      <c r="K65" s="18"/>
      <c r="L65" s="18"/>
    </row>
    <row r="66">
      <c r="A66" s="18" t="s">
        <v>1154</v>
      </c>
      <c r="B66" s="18" t="s">
        <v>23</v>
      </c>
      <c r="C66" s="18" t="s">
        <v>249</v>
      </c>
      <c r="D66" s="18" t="s">
        <v>297</v>
      </c>
      <c r="E66" s="24">
        <v>8.1914859925E10</v>
      </c>
      <c r="F66" s="24">
        <v>1.0</v>
      </c>
      <c r="G66" s="18" t="s">
        <v>249</v>
      </c>
      <c r="H66" s="18" t="s">
        <v>297</v>
      </c>
      <c r="I66" s="24">
        <v>8.1914859925E10</v>
      </c>
      <c r="J66" s="18" t="s">
        <v>296</v>
      </c>
      <c r="K66" s="18"/>
      <c r="L66" s="18" t="s">
        <v>1155</v>
      </c>
    </row>
    <row r="67">
      <c r="A67" s="18" t="s">
        <v>246</v>
      </c>
      <c r="B67" s="18" t="s">
        <v>23</v>
      </c>
      <c r="C67" s="18" t="s">
        <v>249</v>
      </c>
      <c r="D67" s="18"/>
      <c r="E67" s="24">
        <v>8.1914859925E10</v>
      </c>
      <c r="F67" s="24">
        <v>1.0</v>
      </c>
      <c r="G67" s="18" t="s">
        <v>249</v>
      </c>
      <c r="H67" s="18"/>
      <c r="I67" s="24">
        <v>8.1914859925E10</v>
      </c>
      <c r="J67" s="18" t="s">
        <v>255</v>
      </c>
      <c r="K67" s="18"/>
      <c r="L67" s="18"/>
    </row>
    <row r="68">
      <c r="A68" s="18" t="s">
        <v>1405</v>
      </c>
      <c r="B68" s="18" t="s">
        <v>23</v>
      </c>
      <c r="C68" s="18" t="s">
        <v>303</v>
      </c>
      <c r="D68" s="18" t="s">
        <v>304</v>
      </c>
      <c r="E68" s="24">
        <v>8.2299972261E10</v>
      </c>
      <c r="F68" s="24">
        <v>1.0</v>
      </c>
      <c r="G68" s="18" t="s">
        <v>303</v>
      </c>
      <c r="H68" s="18" t="s">
        <v>304</v>
      </c>
      <c r="I68" s="24">
        <v>8.2299972261E10</v>
      </c>
      <c r="J68" s="18" t="s">
        <v>302</v>
      </c>
      <c r="K68" s="18"/>
      <c r="L68" s="18" t="s">
        <v>1406</v>
      </c>
    </row>
    <row r="69">
      <c r="A69" s="18" t="s">
        <v>244</v>
      </c>
      <c r="B69" s="18" t="s">
        <v>23</v>
      </c>
      <c r="C69" s="18" t="s">
        <v>224</v>
      </c>
      <c r="D69" s="18"/>
      <c r="E69" s="24">
        <v>8.2335999707E10</v>
      </c>
      <c r="F69" s="24">
        <v>1.0</v>
      </c>
      <c r="G69" s="18" t="s">
        <v>224</v>
      </c>
      <c r="H69" s="18"/>
      <c r="I69" s="24">
        <v>8.2335999707E10</v>
      </c>
      <c r="J69" s="18" t="s">
        <v>247</v>
      </c>
      <c r="K69" s="18"/>
      <c r="L69" s="18"/>
    </row>
    <row r="70">
      <c r="A70" s="18" t="s">
        <v>292</v>
      </c>
      <c r="B70" s="18" t="s">
        <v>23</v>
      </c>
      <c r="C70" s="18" t="s">
        <v>295</v>
      </c>
      <c r="D70" s="18"/>
      <c r="E70" s="24">
        <v>8.1234381838E10</v>
      </c>
      <c r="F70" s="24">
        <v>1.0</v>
      </c>
      <c r="G70" s="18" t="s">
        <v>295</v>
      </c>
      <c r="H70" s="18"/>
      <c r="I70" s="24">
        <v>8.1234381838E10</v>
      </c>
      <c r="J70" s="18" t="s">
        <v>300</v>
      </c>
      <c r="K70" s="18"/>
      <c r="L70" s="18"/>
    </row>
    <row r="71">
      <c r="A71" s="18" t="s">
        <v>1185</v>
      </c>
      <c r="B71" s="18" t="s">
        <v>23</v>
      </c>
      <c r="C71" s="18" t="s">
        <v>320</v>
      </c>
      <c r="D71" s="18" t="s">
        <v>321</v>
      </c>
      <c r="E71" s="24">
        <v>8.560470467E10</v>
      </c>
      <c r="F71" s="24">
        <v>1.0</v>
      </c>
      <c r="G71" s="18" t="s">
        <v>320</v>
      </c>
      <c r="H71" s="18" t="s">
        <v>321</v>
      </c>
      <c r="I71" s="24">
        <v>8.560470467E10</v>
      </c>
      <c r="J71" s="18" t="s">
        <v>319</v>
      </c>
      <c r="K71" s="18"/>
      <c r="L71" s="18" t="s">
        <v>1186</v>
      </c>
    </row>
    <row r="72">
      <c r="A72" s="18" t="s">
        <v>1407</v>
      </c>
      <c r="B72" s="18" t="s">
        <v>23</v>
      </c>
      <c r="C72" s="18" t="s">
        <v>332</v>
      </c>
      <c r="D72" s="18" t="s">
        <v>333</v>
      </c>
      <c r="E72" s="24">
        <v>8.5326113894E10</v>
      </c>
      <c r="F72" s="24">
        <v>1.0</v>
      </c>
      <c r="G72" s="18" t="s">
        <v>332</v>
      </c>
      <c r="H72" s="18" t="s">
        <v>333</v>
      </c>
      <c r="I72" s="24">
        <v>8.5326113894E10</v>
      </c>
      <c r="J72" s="18" t="s">
        <v>330</v>
      </c>
      <c r="K72" s="18"/>
      <c r="L72" s="18" t="s">
        <v>1408</v>
      </c>
    </row>
    <row r="73">
      <c r="A73" s="18" t="s">
        <v>307</v>
      </c>
      <c r="B73" s="18" t="s">
        <v>23</v>
      </c>
      <c r="C73" s="18" t="s">
        <v>308</v>
      </c>
      <c r="D73" s="18"/>
      <c r="E73" s="24">
        <v>8.563518338E9</v>
      </c>
      <c r="F73" s="24">
        <v>0.0</v>
      </c>
      <c r="G73" s="18" t="s">
        <v>308</v>
      </c>
      <c r="H73" s="18"/>
      <c r="I73" s="24">
        <v>8.563518338E9</v>
      </c>
      <c r="J73" s="18" t="s">
        <v>313</v>
      </c>
      <c r="K73" s="18"/>
      <c r="L73" s="18"/>
    </row>
    <row r="74">
      <c r="A74" s="18" t="s">
        <v>1273</v>
      </c>
      <c r="B74" s="18" t="s">
        <v>23</v>
      </c>
      <c r="C74" s="18" t="s">
        <v>336</v>
      </c>
      <c r="D74" s="18" t="s">
        <v>337</v>
      </c>
      <c r="E74" s="24">
        <v>8.1336304421E10</v>
      </c>
      <c r="F74" s="24">
        <v>1.0</v>
      </c>
      <c r="G74" s="18" t="s">
        <v>336</v>
      </c>
      <c r="H74" s="18" t="s">
        <v>337</v>
      </c>
      <c r="I74" s="24">
        <v>8.1336304421E10</v>
      </c>
      <c r="J74" s="18" t="s">
        <v>335</v>
      </c>
      <c r="K74" s="18"/>
      <c r="L74" s="18" t="s">
        <v>1274</v>
      </c>
    </row>
    <row r="75">
      <c r="A75" s="18" t="s">
        <v>1409</v>
      </c>
      <c r="B75" s="18" t="s">
        <v>23</v>
      </c>
      <c r="C75" s="18" t="s">
        <v>340</v>
      </c>
      <c r="D75" s="18" t="s">
        <v>341</v>
      </c>
      <c r="E75" s="24">
        <v>8.5233731763E10</v>
      </c>
      <c r="F75" s="24">
        <v>1.0</v>
      </c>
      <c r="G75" s="18" t="s">
        <v>340</v>
      </c>
      <c r="H75" s="18" t="s">
        <v>341</v>
      </c>
      <c r="I75" s="24">
        <v>8.5233731763E10</v>
      </c>
      <c r="J75" s="18" t="s">
        <v>339</v>
      </c>
      <c r="K75" s="18"/>
      <c r="L75" s="18" t="s">
        <v>841</v>
      </c>
    </row>
    <row r="76">
      <c r="A76" s="18" t="s">
        <v>1077</v>
      </c>
      <c r="B76" s="18" t="s">
        <v>23</v>
      </c>
      <c r="C76" s="18" t="s">
        <v>1078</v>
      </c>
      <c r="D76" s="18" t="s">
        <v>347</v>
      </c>
      <c r="E76" s="24">
        <v>8.5812735927E10</v>
      </c>
      <c r="F76" s="24">
        <v>1.0</v>
      </c>
      <c r="G76" s="18" t="s">
        <v>1078</v>
      </c>
      <c r="H76" s="18" t="s">
        <v>347</v>
      </c>
      <c r="I76" s="24">
        <v>8.5812735927E10</v>
      </c>
      <c r="J76" s="18" t="s">
        <v>344</v>
      </c>
      <c r="K76" s="18"/>
      <c r="L76" s="18" t="s">
        <v>1079</v>
      </c>
    </row>
    <row r="77">
      <c r="A77" s="18" t="s">
        <v>316</v>
      </c>
      <c r="B77" s="18" t="s">
        <v>23</v>
      </c>
      <c r="C77" s="18" t="s">
        <v>318</v>
      </c>
      <c r="D77" s="18"/>
      <c r="E77" s="24">
        <v>8.1332102027E10</v>
      </c>
      <c r="F77" s="24">
        <v>0.0</v>
      </c>
      <c r="G77" s="18" t="s">
        <v>318</v>
      </c>
      <c r="H77" s="18"/>
      <c r="I77" s="24">
        <v>8.1332102027E10</v>
      </c>
      <c r="J77" s="24">
        <v>119.0</v>
      </c>
      <c r="K77" s="18"/>
      <c r="L77" s="18"/>
    </row>
    <row r="78">
      <c r="A78" s="18" t="s">
        <v>360</v>
      </c>
      <c r="B78" s="18" t="s">
        <v>23</v>
      </c>
      <c r="C78" s="18" t="s">
        <v>364</v>
      </c>
      <c r="D78" s="18"/>
      <c r="E78" s="24">
        <v>8.1359422525E10</v>
      </c>
      <c r="F78" s="24">
        <v>1.0</v>
      </c>
      <c r="G78" s="18" t="s">
        <v>364</v>
      </c>
      <c r="H78" s="18"/>
      <c r="I78" s="24">
        <v>8.1359422525E10</v>
      </c>
      <c r="J78" s="18" t="s">
        <v>371</v>
      </c>
      <c r="K78" s="18"/>
      <c r="L78" s="18" t="s">
        <v>373</v>
      </c>
    </row>
    <row r="79">
      <c r="A79" s="18" t="s">
        <v>376</v>
      </c>
      <c r="B79" s="18" t="s">
        <v>23</v>
      </c>
      <c r="C79" s="18" t="s">
        <v>356</v>
      </c>
      <c r="D79" s="18"/>
      <c r="E79" s="24">
        <v>8.1359422525E10</v>
      </c>
      <c r="F79" s="24">
        <v>1.0</v>
      </c>
      <c r="G79" s="18" t="s">
        <v>356</v>
      </c>
      <c r="H79" s="18"/>
      <c r="I79" s="24">
        <v>8.1359422525E10</v>
      </c>
      <c r="J79" s="18" t="s">
        <v>383</v>
      </c>
      <c r="K79" s="18"/>
      <c r="L79" s="18" t="s">
        <v>384</v>
      </c>
    </row>
    <row r="80">
      <c r="A80" s="18" t="s">
        <v>1410</v>
      </c>
      <c r="B80" s="18" t="s">
        <v>23</v>
      </c>
      <c r="C80" s="18" t="s">
        <v>365</v>
      </c>
      <c r="D80" s="18" t="s">
        <v>366</v>
      </c>
      <c r="E80" s="24">
        <v>8.5230941551E10</v>
      </c>
      <c r="F80" s="24">
        <v>1.0</v>
      </c>
      <c r="G80" s="18" t="s">
        <v>365</v>
      </c>
      <c r="H80" s="18" t="s">
        <v>366</v>
      </c>
      <c r="I80" s="24">
        <v>8.5230941551E10</v>
      </c>
      <c r="J80" s="18" t="s">
        <v>362</v>
      </c>
      <c r="K80" s="18"/>
      <c r="L80" s="18" t="s">
        <v>1411</v>
      </c>
    </row>
    <row r="81">
      <c r="A81" s="18" t="s">
        <v>385</v>
      </c>
      <c r="B81" s="18" t="s">
        <v>23</v>
      </c>
      <c r="C81" s="18" t="s">
        <v>370</v>
      </c>
      <c r="D81" s="18"/>
      <c r="E81" s="24">
        <v>8.2228499822E10</v>
      </c>
      <c r="F81" s="24">
        <v>1.0</v>
      </c>
      <c r="G81" s="18" t="s">
        <v>370</v>
      </c>
      <c r="H81" s="18"/>
      <c r="I81" s="24">
        <v>8.2228499822E10</v>
      </c>
      <c r="J81" s="18" t="s">
        <v>391</v>
      </c>
      <c r="K81" s="18"/>
      <c r="L81" s="18" t="s">
        <v>395</v>
      </c>
    </row>
    <row r="82">
      <c r="A82" s="18" t="s">
        <v>1412</v>
      </c>
      <c r="B82" s="18" t="s">
        <v>23</v>
      </c>
      <c r="C82" s="18" t="s">
        <v>379</v>
      </c>
      <c r="D82" s="18" t="s">
        <v>380</v>
      </c>
      <c r="E82" s="24">
        <v>8.1335455073E10</v>
      </c>
      <c r="F82" s="24">
        <v>1.0</v>
      </c>
      <c r="G82" s="18" t="s">
        <v>379</v>
      </c>
      <c r="H82" s="18" t="s">
        <v>380</v>
      </c>
      <c r="I82" s="24">
        <v>8.1335455073E10</v>
      </c>
      <c r="J82" s="18" t="s">
        <v>377</v>
      </c>
      <c r="K82" s="18"/>
      <c r="L82" s="18" t="s">
        <v>1413</v>
      </c>
    </row>
    <row r="83">
      <c r="A83" s="18" t="s">
        <v>276</v>
      </c>
      <c r="B83" s="18" t="s">
        <v>23</v>
      </c>
      <c r="C83" s="18" t="s">
        <v>267</v>
      </c>
      <c r="D83" s="18"/>
      <c r="E83" s="24">
        <v>8.5636325E9</v>
      </c>
      <c r="F83" s="24">
        <v>1.0</v>
      </c>
      <c r="G83" s="18" t="s">
        <v>267</v>
      </c>
      <c r="H83" s="18"/>
      <c r="I83" s="24">
        <v>8.5636325E9</v>
      </c>
      <c r="J83" s="18" t="s">
        <v>281</v>
      </c>
      <c r="K83" s="18"/>
      <c r="L83" s="18" t="s">
        <v>284</v>
      </c>
    </row>
    <row r="84">
      <c r="A84" s="18" t="s">
        <v>290</v>
      </c>
      <c r="B84" s="18" t="s">
        <v>23</v>
      </c>
      <c r="C84" s="18" t="s">
        <v>267</v>
      </c>
      <c r="D84" s="18" t="s">
        <v>268</v>
      </c>
      <c r="E84" s="24">
        <v>8.3850518E10</v>
      </c>
      <c r="F84" s="24">
        <v>1.0</v>
      </c>
      <c r="G84" s="18" t="s">
        <v>267</v>
      </c>
      <c r="H84" s="18" t="s">
        <v>268</v>
      </c>
      <c r="I84" s="24">
        <v>8.3850518E10</v>
      </c>
      <c r="J84" s="18" t="s">
        <v>264</v>
      </c>
      <c r="K84" s="18"/>
      <c r="L84" s="18" t="s">
        <v>301</v>
      </c>
    </row>
    <row r="85">
      <c r="A85" s="18" t="s">
        <v>1082</v>
      </c>
      <c r="B85" s="18" t="s">
        <v>23</v>
      </c>
      <c r="C85" s="18" t="s">
        <v>390</v>
      </c>
      <c r="D85" s="18" t="s">
        <v>392</v>
      </c>
      <c r="E85" s="24">
        <v>8.233452145E10</v>
      </c>
      <c r="F85" s="24">
        <v>1.0</v>
      </c>
      <c r="G85" s="18" t="s">
        <v>390</v>
      </c>
      <c r="H85" s="18" t="s">
        <v>392</v>
      </c>
      <c r="I85" s="24">
        <v>8.233452145E10</v>
      </c>
      <c r="J85" s="18" t="s">
        <v>389</v>
      </c>
      <c r="K85" s="18"/>
      <c r="L85" s="18" t="s">
        <v>1083</v>
      </c>
    </row>
    <row r="86">
      <c r="A86" s="18" t="s">
        <v>1414</v>
      </c>
      <c r="B86" s="18" t="s">
        <v>23</v>
      </c>
      <c r="C86" s="18" t="s">
        <v>399</v>
      </c>
      <c r="D86" s="18" t="s">
        <v>400</v>
      </c>
      <c r="E86" s="24">
        <v>8.5233912942E10</v>
      </c>
      <c r="F86" s="24">
        <v>1.0</v>
      </c>
      <c r="G86" s="18" t="s">
        <v>399</v>
      </c>
      <c r="H86" s="18" t="s">
        <v>400</v>
      </c>
      <c r="I86" s="24">
        <v>8.5233912942E10</v>
      </c>
      <c r="J86" s="18" t="s">
        <v>397</v>
      </c>
      <c r="K86" s="18"/>
      <c r="L86" s="18" t="s">
        <v>1415</v>
      </c>
    </row>
    <row r="87">
      <c r="A87" s="18" t="s">
        <v>329</v>
      </c>
      <c r="B87" s="18" t="s">
        <v>23</v>
      </c>
      <c r="C87" s="18" t="s">
        <v>311</v>
      </c>
      <c r="D87" s="18"/>
      <c r="E87" s="24">
        <v>8.5790570462E10</v>
      </c>
      <c r="F87" s="24">
        <v>1.0</v>
      </c>
      <c r="G87" s="18" t="s">
        <v>311</v>
      </c>
      <c r="H87" s="18"/>
      <c r="I87" s="24">
        <v>8.5790570462E10</v>
      </c>
      <c r="J87" s="18" t="s">
        <v>331</v>
      </c>
      <c r="K87" s="18"/>
      <c r="L87" s="18"/>
    </row>
    <row r="88">
      <c r="A88" s="18" t="s">
        <v>1237</v>
      </c>
      <c r="B88" s="18" t="s">
        <v>23</v>
      </c>
      <c r="C88" s="18" t="s">
        <v>405</v>
      </c>
      <c r="D88" s="18" t="s">
        <v>406</v>
      </c>
      <c r="E88" s="24">
        <v>8.5714169155E10</v>
      </c>
      <c r="F88" s="24">
        <v>1.0</v>
      </c>
      <c r="G88" s="18" t="s">
        <v>405</v>
      </c>
      <c r="H88" s="18" t="s">
        <v>406</v>
      </c>
      <c r="I88" s="24">
        <v>8.5714169155E10</v>
      </c>
      <c r="J88" s="18" t="s">
        <v>404</v>
      </c>
      <c r="K88" s="18"/>
      <c r="L88" s="18" t="s">
        <v>1238</v>
      </c>
    </row>
    <row r="89">
      <c r="A89" s="18" t="s">
        <v>1416</v>
      </c>
      <c r="B89" s="18" t="s">
        <v>23</v>
      </c>
      <c r="C89" s="18" t="s">
        <v>415</v>
      </c>
      <c r="D89" s="18" t="s">
        <v>416</v>
      </c>
      <c r="E89" s="24">
        <v>8.3845379145E10</v>
      </c>
      <c r="F89" s="24">
        <v>1.0</v>
      </c>
      <c r="G89" s="18" t="s">
        <v>415</v>
      </c>
      <c r="H89" s="18" t="s">
        <v>416</v>
      </c>
      <c r="I89" s="24">
        <v>8.3845379145E10</v>
      </c>
      <c r="J89" s="18" t="s">
        <v>414</v>
      </c>
      <c r="K89" s="18"/>
      <c r="L89" s="18" t="s">
        <v>1417</v>
      </c>
    </row>
    <row r="90">
      <c r="A90" s="18" t="s">
        <v>423</v>
      </c>
      <c r="B90" s="18" t="s">
        <v>23</v>
      </c>
      <c r="C90" s="18" t="s">
        <v>420</v>
      </c>
      <c r="D90" s="18"/>
      <c r="E90" s="24">
        <v>8.133569183E10</v>
      </c>
      <c r="F90" s="24">
        <v>1.0</v>
      </c>
      <c r="G90" s="18" t="s">
        <v>420</v>
      </c>
      <c r="H90" s="18"/>
      <c r="I90" s="24">
        <v>8.133569183E10</v>
      </c>
      <c r="J90" s="18" t="s">
        <v>419</v>
      </c>
      <c r="K90" s="18"/>
      <c r="L90" s="18"/>
    </row>
    <row r="91">
      <c r="A91" s="18" t="s">
        <v>1418</v>
      </c>
      <c r="B91" s="18" t="s">
        <v>23</v>
      </c>
      <c r="C91" s="18" t="s">
        <v>427</v>
      </c>
      <c r="D91" s="18" t="s">
        <v>428</v>
      </c>
      <c r="E91" s="24">
        <v>8.1335252669E10</v>
      </c>
      <c r="F91" s="24">
        <v>1.0</v>
      </c>
      <c r="G91" s="18" t="s">
        <v>427</v>
      </c>
      <c r="H91" s="18" t="s">
        <v>428</v>
      </c>
      <c r="I91" s="24">
        <v>8.1335252669E10</v>
      </c>
      <c r="J91" s="18" t="s">
        <v>426</v>
      </c>
      <c r="K91" s="18"/>
      <c r="L91" s="18" t="s">
        <v>1419</v>
      </c>
    </row>
    <row r="92">
      <c r="A92" s="18" t="s">
        <v>1420</v>
      </c>
      <c r="B92" s="18" t="s">
        <v>23</v>
      </c>
      <c r="C92" s="18" t="s">
        <v>431</v>
      </c>
      <c r="D92" s="18" t="s">
        <v>432</v>
      </c>
      <c r="E92" s="24">
        <v>8.564527995E10</v>
      </c>
      <c r="F92" s="24">
        <v>1.0</v>
      </c>
      <c r="G92" s="18" t="s">
        <v>431</v>
      </c>
      <c r="H92" s="18" t="s">
        <v>432</v>
      </c>
      <c r="I92" s="24">
        <v>8.564527995E10</v>
      </c>
      <c r="J92" s="18" t="s">
        <v>430</v>
      </c>
      <c r="K92" s="18"/>
      <c r="L92" s="18" t="s">
        <v>1421</v>
      </c>
    </row>
    <row r="93">
      <c r="A93" s="18" t="s">
        <v>440</v>
      </c>
      <c r="B93" s="18" t="s">
        <v>23</v>
      </c>
      <c r="C93" s="18" t="s">
        <v>445</v>
      </c>
      <c r="D93" s="18"/>
      <c r="E93" s="24">
        <v>8.1332102027E10</v>
      </c>
      <c r="F93" s="24">
        <v>0.0</v>
      </c>
      <c r="G93" s="18" t="s">
        <v>445</v>
      </c>
      <c r="H93" s="18"/>
      <c r="I93" s="24">
        <v>8.1332102027E10</v>
      </c>
      <c r="J93" s="24">
        <v>1001001.0</v>
      </c>
      <c r="K93" s="18"/>
      <c r="L93" s="18" t="s">
        <v>455</v>
      </c>
    </row>
    <row r="94">
      <c r="A94" s="18" t="s">
        <v>457</v>
      </c>
      <c r="B94" s="18" t="s">
        <v>23</v>
      </c>
      <c r="C94" s="18" t="s">
        <v>436</v>
      </c>
      <c r="D94" s="18"/>
      <c r="E94" s="24">
        <v>8.2232414825E10</v>
      </c>
      <c r="F94" s="24">
        <v>1.0</v>
      </c>
      <c r="G94" s="18" t="s">
        <v>436</v>
      </c>
      <c r="H94" s="18"/>
      <c r="I94" s="24">
        <v>8.2232414825E10</v>
      </c>
      <c r="J94" s="18" t="s">
        <v>467</v>
      </c>
      <c r="K94" s="18"/>
      <c r="L94" s="18" t="s">
        <v>470</v>
      </c>
    </row>
    <row r="95">
      <c r="A95" s="18" t="s">
        <v>1422</v>
      </c>
      <c r="B95" s="18" t="s">
        <v>23</v>
      </c>
      <c r="C95" s="18" t="s">
        <v>442</v>
      </c>
      <c r="D95" s="18" t="s">
        <v>443</v>
      </c>
      <c r="E95" s="24">
        <v>8.1233539127E10</v>
      </c>
      <c r="F95" s="24">
        <v>1.0</v>
      </c>
      <c r="G95" s="18" t="s">
        <v>442</v>
      </c>
      <c r="H95" s="18" t="s">
        <v>443</v>
      </c>
      <c r="I95" s="24">
        <v>8.1233539127E10</v>
      </c>
      <c r="J95" s="18" t="s">
        <v>441</v>
      </c>
      <c r="K95" s="18"/>
      <c r="L95" s="18" t="s">
        <v>1423</v>
      </c>
    </row>
    <row r="96">
      <c r="A96" s="18" t="s">
        <v>473</v>
      </c>
      <c r="B96" s="18" t="s">
        <v>23</v>
      </c>
      <c r="C96" s="18" t="s">
        <v>452</v>
      </c>
      <c r="D96" s="18"/>
      <c r="E96" s="24">
        <v>8.2231263861E10</v>
      </c>
      <c r="F96" s="24">
        <v>1.0</v>
      </c>
      <c r="G96" s="18" t="s">
        <v>452</v>
      </c>
      <c r="H96" s="18"/>
      <c r="I96" s="24">
        <v>8.2231263861E10</v>
      </c>
      <c r="J96" s="18" t="s">
        <v>483</v>
      </c>
      <c r="K96" s="18"/>
      <c r="L96" s="18" t="s">
        <v>486</v>
      </c>
    </row>
    <row r="97">
      <c r="A97" s="18" t="s">
        <v>977</v>
      </c>
      <c r="B97" s="18" t="s">
        <v>23</v>
      </c>
      <c r="C97" s="18" t="s">
        <v>452</v>
      </c>
      <c r="D97" s="18" t="s">
        <v>979</v>
      </c>
      <c r="E97" s="24">
        <v>8.5736954848E10</v>
      </c>
      <c r="F97" s="24">
        <v>1.0</v>
      </c>
      <c r="G97" s="18" t="s">
        <v>452</v>
      </c>
      <c r="H97" s="18" t="s">
        <v>979</v>
      </c>
      <c r="I97" s="24">
        <v>8.5736954848E10</v>
      </c>
      <c r="J97" s="18" t="s">
        <v>451</v>
      </c>
      <c r="K97" s="18"/>
      <c r="L97" s="18" t="s">
        <v>980</v>
      </c>
    </row>
    <row r="98">
      <c r="A98" s="18" t="s">
        <v>1385</v>
      </c>
      <c r="B98" s="18" t="s">
        <v>23</v>
      </c>
      <c r="C98" s="18" t="s">
        <v>1387</v>
      </c>
      <c r="D98" s="18" t="s">
        <v>1389</v>
      </c>
      <c r="E98" s="24">
        <v>8.2298765432E10</v>
      </c>
      <c r="F98" s="24">
        <v>0.0</v>
      </c>
      <c r="G98" s="18" t="s">
        <v>1387</v>
      </c>
      <c r="H98" s="18" t="s">
        <v>1389</v>
      </c>
      <c r="I98" s="24">
        <v>8.2298765432E10</v>
      </c>
      <c r="J98" s="18" t="s">
        <v>1074</v>
      </c>
      <c r="K98" s="18"/>
      <c r="L98" s="18" t="s">
        <v>1390</v>
      </c>
    </row>
    <row r="99">
      <c r="A99" s="18" t="s">
        <v>1172</v>
      </c>
      <c r="B99" s="18" t="s">
        <v>23</v>
      </c>
      <c r="C99" s="18" t="s">
        <v>1075</v>
      </c>
      <c r="D99" s="18" t="s">
        <v>1173</v>
      </c>
      <c r="E99" s="24">
        <v>8.5174325636E10</v>
      </c>
      <c r="F99" s="24">
        <v>1.0</v>
      </c>
      <c r="G99" s="18" t="s">
        <v>1075</v>
      </c>
      <c r="H99" s="18" t="s">
        <v>1173</v>
      </c>
      <c r="I99" s="24">
        <v>8.5174325636E10</v>
      </c>
      <c r="J99" s="18"/>
      <c r="K99" s="18"/>
      <c r="L99" s="18"/>
    </row>
    <row r="100">
      <c r="A100" s="18" t="s">
        <v>490</v>
      </c>
      <c r="B100" s="18" t="s">
        <v>23</v>
      </c>
      <c r="C100" s="18" t="s">
        <v>460</v>
      </c>
      <c r="D100" s="18"/>
      <c r="E100" s="24">
        <v>8.563622003E9</v>
      </c>
      <c r="F100" s="24">
        <v>1.0</v>
      </c>
      <c r="G100" s="18" t="s">
        <v>460</v>
      </c>
      <c r="H100" s="18"/>
      <c r="I100" s="24">
        <v>8.563622003E9</v>
      </c>
      <c r="J100" s="18" t="s">
        <v>501</v>
      </c>
      <c r="K100" s="18"/>
      <c r="L100" s="18"/>
    </row>
    <row r="101">
      <c r="A101" s="18" t="s">
        <v>502</v>
      </c>
      <c r="B101" s="18" t="s">
        <v>23</v>
      </c>
      <c r="C101" s="18" t="s">
        <v>466</v>
      </c>
      <c r="D101" s="18"/>
      <c r="E101" s="24">
        <v>8.1335616515E10</v>
      </c>
      <c r="F101" s="24">
        <v>1.0</v>
      </c>
      <c r="G101" s="18" t="s">
        <v>466</v>
      </c>
      <c r="H101" s="18"/>
      <c r="I101" s="24">
        <v>8.1335616515E10</v>
      </c>
      <c r="J101" s="18" t="s">
        <v>510</v>
      </c>
      <c r="K101" s="18"/>
      <c r="L101" s="18"/>
    </row>
    <row r="102">
      <c r="A102" s="18" t="s">
        <v>1080</v>
      </c>
      <c r="B102" s="18" t="s">
        <v>23</v>
      </c>
      <c r="C102" s="18" t="s">
        <v>1081</v>
      </c>
      <c r="D102" s="18" t="s">
        <v>347</v>
      </c>
      <c r="E102" s="24">
        <v>81.0</v>
      </c>
      <c r="F102" s="24">
        <v>0.0</v>
      </c>
      <c r="G102" s="18" t="s">
        <v>1081</v>
      </c>
      <c r="H102" s="18" t="s">
        <v>347</v>
      </c>
      <c r="I102" s="24">
        <v>81.0</v>
      </c>
      <c r="J102" s="18" t="s">
        <v>344</v>
      </c>
      <c r="K102" s="18"/>
      <c r="L102" s="18" t="s">
        <v>1079</v>
      </c>
    </row>
    <row r="103">
      <c r="A103" s="18" t="s">
        <v>1424</v>
      </c>
      <c r="B103" s="18" t="s">
        <v>23</v>
      </c>
      <c r="C103" s="18" t="s">
        <v>474</v>
      </c>
      <c r="D103" s="18" t="s">
        <v>475</v>
      </c>
      <c r="E103" s="24">
        <v>8.123572537E9</v>
      </c>
      <c r="F103" s="24">
        <v>1.0</v>
      </c>
      <c r="G103" s="18" t="s">
        <v>474</v>
      </c>
      <c r="H103" s="18" t="s">
        <v>475</v>
      </c>
      <c r="I103" s="24">
        <v>8.123572537E9</v>
      </c>
      <c r="J103" s="18" t="s">
        <v>471</v>
      </c>
      <c r="K103" s="18"/>
      <c r="L103" s="18" t="s">
        <v>1425</v>
      </c>
    </row>
    <row r="104">
      <c r="A104" s="18" t="s">
        <v>513</v>
      </c>
      <c r="B104" s="18" t="s">
        <v>23</v>
      </c>
      <c r="C104" s="18" t="s">
        <v>478</v>
      </c>
      <c r="D104" s="18"/>
      <c r="E104" s="24">
        <v>8.2264051008E10</v>
      </c>
      <c r="F104" s="24">
        <v>1.0</v>
      </c>
      <c r="G104" s="18" t="s">
        <v>478</v>
      </c>
      <c r="H104" s="18"/>
      <c r="I104" s="24">
        <v>8.2264051008E10</v>
      </c>
      <c r="J104" s="18" t="s">
        <v>523</v>
      </c>
      <c r="K104" s="18"/>
      <c r="L104" s="18" t="s">
        <v>197</v>
      </c>
    </row>
    <row r="105">
      <c r="A105" s="18" t="s">
        <v>529</v>
      </c>
      <c r="B105" s="18" t="s">
        <v>23</v>
      </c>
      <c r="C105" s="18" t="s">
        <v>485</v>
      </c>
      <c r="D105" s="18"/>
      <c r="E105" s="24">
        <v>8.1238451871E10</v>
      </c>
      <c r="F105" s="24">
        <v>1.0</v>
      </c>
      <c r="G105" s="18" t="s">
        <v>485</v>
      </c>
      <c r="H105" s="18"/>
      <c r="I105" s="24">
        <v>8.1238451871E10</v>
      </c>
      <c r="J105" s="18" t="s">
        <v>540</v>
      </c>
      <c r="K105" s="18"/>
      <c r="L105" s="18"/>
    </row>
    <row r="106">
      <c r="A106" s="18" t="s">
        <v>1426</v>
      </c>
      <c r="B106" s="18" t="s">
        <v>23</v>
      </c>
      <c r="C106" s="18" t="s">
        <v>491</v>
      </c>
      <c r="D106" s="18" t="s">
        <v>492</v>
      </c>
      <c r="E106" s="24">
        <v>8.2215570607E10</v>
      </c>
      <c r="F106" s="24">
        <v>1.0</v>
      </c>
      <c r="G106" s="18" t="s">
        <v>491</v>
      </c>
      <c r="H106" s="18" t="s">
        <v>492</v>
      </c>
      <c r="I106" s="24">
        <v>8.2215570607E10</v>
      </c>
      <c r="J106" s="18" t="s">
        <v>489</v>
      </c>
      <c r="K106" s="18"/>
      <c r="L106" s="18" t="s">
        <v>1427</v>
      </c>
    </row>
    <row r="107">
      <c r="A107" s="18" t="s">
        <v>544</v>
      </c>
      <c r="B107" s="18" t="s">
        <v>23</v>
      </c>
      <c r="C107" s="18" t="s">
        <v>546</v>
      </c>
      <c r="D107" s="18"/>
      <c r="E107" s="24">
        <v>8.1335199545E10</v>
      </c>
      <c r="F107" s="24">
        <v>0.0</v>
      </c>
      <c r="G107" s="18" t="s">
        <v>546</v>
      </c>
      <c r="H107" s="18"/>
      <c r="I107" s="24">
        <v>8.1335199545E10</v>
      </c>
      <c r="J107" s="18" t="s">
        <v>554</v>
      </c>
      <c r="K107" s="18"/>
      <c r="L107" s="18"/>
    </row>
    <row r="108">
      <c r="A108" s="18" t="s">
        <v>378</v>
      </c>
      <c r="B108" s="18" t="s">
        <v>23</v>
      </c>
      <c r="C108" s="18" t="s">
        <v>363</v>
      </c>
      <c r="D108" s="18"/>
      <c r="E108" s="24">
        <v>8.7856803894E10</v>
      </c>
      <c r="F108" s="24">
        <v>1.0</v>
      </c>
      <c r="G108" s="18" t="s">
        <v>363</v>
      </c>
      <c r="H108" s="18"/>
      <c r="I108" s="24">
        <v>8.7856803894E10</v>
      </c>
      <c r="J108" s="18" t="s">
        <v>382</v>
      </c>
      <c r="K108" s="18"/>
      <c r="L108" s="18"/>
    </row>
    <row r="109">
      <c r="A109" s="18" t="s">
        <v>1261</v>
      </c>
      <c r="B109" s="18" t="s">
        <v>23</v>
      </c>
      <c r="C109" s="18" t="s">
        <v>1263</v>
      </c>
      <c r="D109" s="18" t="s">
        <v>1264</v>
      </c>
      <c r="E109" s="24">
        <v>8.123456789E10</v>
      </c>
      <c r="F109" s="24">
        <v>0.0</v>
      </c>
      <c r="G109" s="18" t="s">
        <v>1263</v>
      </c>
      <c r="H109" s="18" t="s">
        <v>1264</v>
      </c>
      <c r="I109" s="24">
        <v>8.123456789E10</v>
      </c>
      <c r="J109" s="18" t="s">
        <v>1262</v>
      </c>
      <c r="K109" s="18"/>
      <c r="L109" s="18" t="s">
        <v>1266</v>
      </c>
    </row>
    <row r="110">
      <c r="A110" s="18" t="s">
        <v>408</v>
      </c>
      <c r="B110" s="18" t="s">
        <v>23</v>
      </c>
      <c r="C110" s="18" t="s">
        <v>396</v>
      </c>
      <c r="D110" s="18"/>
      <c r="E110" s="24">
        <v>8.5259059866E10</v>
      </c>
      <c r="F110" s="24">
        <v>1.0</v>
      </c>
      <c r="G110" s="18" t="s">
        <v>396</v>
      </c>
      <c r="H110" s="18"/>
      <c r="I110" s="24">
        <v>8.5259059866E10</v>
      </c>
      <c r="J110" s="18" t="s">
        <v>412</v>
      </c>
      <c r="K110" s="18"/>
      <c r="L110" s="18"/>
    </row>
    <row r="111">
      <c r="A111" s="18" t="s">
        <v>422</v>
      </c>
      <c r="B111" s="18" t="s">
        <v>23</v>
      </c>
      <c r="C111" s="18" t="s">
        <v>396</v>
      </c>
      <c r="D111" s="18" t="s">
        <v>127</v>
      </c>
      <c r="E111" s="24">
        <v>8.9523655038E10</v>
      </c>
      <c r="F111" s="24">
        <v>1.0</v>
      </c>
      <c r="G111" s="18" t="s">
        <v>396</v>
      </c>
      <c r="H111" s="18" t="s">
        <v>127</v>
      </c>
      <c r="I111" s="24">
        <v>8.9523655038E10</v>
      </c>
      <c r="J111" s="18" t="s">
        <v>425</v>
      </c>
      <c r="K111" s="18"/>
      <c r="L111" s="18" t="s">
        <v>129</v>
      </c>
    </row>
    <row r="112">
      <c r="A112" s="18" t="s">
        <v>439</v>
      </c>
      <c r="B112" s="18" t="s">
        <v>23</v>
      </c>
      <c r="C112" s="18" t="s">
        <v>396</v>
      </c>
      <c r="D112" s="18" t="s">
        <v>446</v>
      </c>
      <c r="E112" s="24">
        <v>8.5259059866E10</v>
      </c>
      <c r="F112" s="24">
        <v>1.0</v>
      </c>
      <c r="G112" s="18" t="s">
        <v>396</v>
      </c>
      <c r="H112" s="18" t="s">
        <v>446</v>
      </c>
      <c r="I112" s="24">
        <v>8.5259059866E10</v>
      </c>
      <c r="J112" s="24">
        <v>102.0</v>
      </c>
      <c r="K112" s="18"/>
      <c r="L112" s="18" t="s">
        <v>453</v>
      </c>
    </row>
    <row r="113">
      <c r="A113" s="18" t="s">
        <v>983</v>
      </c>
      <c r="B113" s="18" t="s">
        <v>23</v>
      </c>
      <c r="C113" s="18" t="s">
        <v>514</v>
      </c>
      <c r="D113" s="18" t="s">
        <v>515</v>
      </c>
      <c r="E113" s="24">
        <v>8.9603093251E10</v>
      </c>
      <c r="F113" s="24">
        <v>1.0</v>
      </c>
      <c r="G113" s="18" t="s">
        <v>514</v>
      </c>
      <c r="H113" s="18" t="s">
        <v>515</v>
      </c>
      <c r="I113" s="24">
        <v>8.9603093251E10</v>
      </c>
      <c r="J113" s="18" t="s">
        <v>512</v>
      </c>
      <c r="K113" s="18"/>
      <c r="L113" s="18" t="s">
        <v>987</v>
      </c>
    </row>
    <row r="114">
      <c r="A114" s="18" t="s">
        <v>578</v>
      </c>
      <c r="B114" s="18" t="s">
        <v>23</v>
      </c>
      <c r="C114" s="18" t="s">
        <v>514</v>
      </c>
      <c r="D114" s="18"/>
      <c r="E114" s="24">
        <v>8.9603093251E10</v>
      </c>
      <c r="F114" s="24">
        <v>1.0</v>
      </c>
      <c r="G114" s="18" t="s">
        <v>514</v>
      </c>
      <c r="H114" s="18"/>
      <c r="I114" s="24">
        <v>8.9603093251E10</v>
      </c>
      <c r="J114" s="18" t="s">
        <v>588</v>
      </c>
      <c r="K114" s="18"/>
      <c r="L114" s="18"/>
    </row>
    <row r="115">
      <c r="A115" s="18" t="s">
        <v>1183</v>
      </c>
      <c r="B115" s="18" t="s">
        <v>23</v>
      </c>
      <c r="C115" s="18" t="s">
        <v>518</v>
      </c>
      <c r="D115" s="18" t="s">
        <v>519</v>
      </c>
      <c r="E115" s="24">
        <v>8.5235415195E10</v>
      </c>
      <c r="F115" s="24">
        <v>1.0</v>
      </c>
      <c r="G115" s="18" t="s">
        <v>518</v>
      </c>
      <c r="H115" s="18" t="s">
        <v>519</v>
      </c>
      <c r="I115" s="24">
        <v>8.5235415195E10</v>
      </c>
      <c r="J115" s="18" t="s">
        <v>517</v>
      </c>
      <c r="K115" s="18"/>
      <c r="L115" s="18" t="s">
        <v>1184</v>
      </c>
    </row>
    <row r="116">
      <c r="A116" s="18" t="s">
        <v>595</v>
      </c>
      <c r="B116" s="18" t="s">
        <v>23</v>
      </c>
      <c r="C116" s="18" t="s">
        <v>527</v>
      </c>
      <c r="D116" s="18"/>
      <c r="E116" s="24">
        <v>8.2244612233E10</v>
      </c>
      <c r="F116" s="24">
        <v>1.0</v>
      </c>
      <c r="G116" s="18" t="s">
        <v>527</v>
      </c>
      <c r="H116" s="18"/>
      <c r="I116" s="24">
        <v>8.2244612233E10</v>
      </c>
      <c r="J116" s="18" t="s">
        <v>604</v>
      </c>
      <c r="K116" s="18"/>
      <c r="L116" s="18"/>
    </row>
    <row r="117">
      <c r="A117" s="18" t="s">
        <v>608</v>
      </c>
      <c r="B117" s="18" t="s">
        <v>23</v>
      </c>
      <c r="C117" s="18" t="s">
        <v>532</v>
      </c>
      <c r="D117" s="18"/>
      <c r="E117" s="24">
        <v>8.2233902019E10</v>
      </c>
      <c r="F117" s="24">
        <v>1.0</v>
      </c>
      <c r="G117" s="18" t="s">
        <v>532</v>
      </c>
      <c r="H117" s="18"/>
      <c r="I117" s="24">
        <v>8.2233902019E10</v>
      </c>
      <c r="J117" s="18" t="s">
        <v>616</v>
      </c>
      <c r="K117" s="18"/>
      <c r="L117" s="18"/>
    </row>
    <row r="118">
      <c r="A118" s="18" t="s">
        <v>992</v>
      </c>
      <c r="B118" s="18" t="s">
        <v>23</v>
      </c>
      <c r="C118" s="18" t="s">
        <v>994</v>
      </c>
      <c r="D118" s="18" t="s">
        <v>995</v>
      </c>
      <c r="E118" s="24">
        <v>8.1328289929E10</v>
      </c>
      <c r="F118" s="24">
        <v>1.0</v>
      </c>
      <c r="G118" s="18" t="s">
        <v>994</v>
      </c>
      <c r="H118" s="18" t="s">
        <v>995</v>
      </c>
      <c r="I118" s="24">
        <v>8.1328289929E10</v>
      </c>
      <c r="J118" s="18" t="s">
        <v>531</v>
      </c>
      <c r="K118" s="18"/>
      <c r="L118" s="18" t="s">
        <v>93</v>
      </c>
    </row>
    <row r="119">
      <c r="A119" s="18" t="s">
        <v>620</v>
      </c>
      <c r="B119" s="18" t="s">
        <v>23</v>
      </c>
      <c r="C119" s="18" t="s">
        <v>536</v>
      </c>
      <c r="D119" s="18"/>
      <c r="E119" s="24">
        <v>8.5710247947E10</v>
      </c>
      <c r="F119" s="24">
        <v>1.0</v>
      </c>
      <c r="G119" s="18" t="s">
        <v>536</v>
      </c>
      <c r="H119" s="18"/>
      <c r="I119" s="24">
        <v>8.5710247947E10</v>
      </c>
      <c r="J119" s="18" t="s">
        <v>628</v>
      </c>
      <c r="K119" s="18"/>
      <c r="L119" s="18"/>
    </row>
    <row r="120">
      <c r="A120" s="18" t="s">
        <v>633</v>
      </c>
      <c r="B120" s="18" t="s">
        <v>23</v>
      </c>
      <c r="C120" s="18" t="s">
        <v>542</v>
      </c>
      <c r="D120" s="18"/>
      <c r="E120" s="24">
        <v>8.589524964E10</v>
      </c>
      <c r="F120" s="24">
        <v>1.0</v>
      </c>
      <c r="G120" s="18" t="s">
        <v>542</v>
      </c>
      <c r="H120" s="18"/>
      <c r="I120" s="24">
        <v>8.589524964E10</v>
      </c>
      <c r="J120" s="18" t="s">
        <v>541</v>
      </c>
      <c r="K120" s="18"/>
      <c r="L120" s="18" t="s">
        <v>642</v>
      </c>
    </row>
    <row r="121">
      <c r="A121" s="18" t="s">
        <v>644</v>
      </c>
      <c r="B121" s="18" t="s">
        <v>23</v>
      </c>
      <c r="C121" s="18" t="s">
        <v>548</v>
      </c>
      <c r="D121" s="18"/>
      <c r="E121" s="24">
        <v>8.2233902019E10</v>
      </c>
      <c r="F121" s="24">
        <v>1.0</v>
      </c>
      <c r="G121" s="18" t="s">
        <v>548</v>
      </c>
      <c r="H121" s="18"/>
      <c r="I121" s="24">
        <v>8.2233902019E10</v>
      </c>
      <c r="J121" s="18" t="s">
        <v>648</v>
      </c>
      <c r="K121" s="18"/>
      <c r="L121" s="18"/>
    </row>
    <row r="122">
      <c r="A122" s="18" t="s">
        <v>651</v>
      </c>
      <c r="B122" s="18" t="s">
        <v>23</v>
      </c>
      <c r="C122" s="18" t="s">
        <v>553</v>
      </c>
      <c r="D122" s="18"/>
      <c r="E122" s="24">
        <v>8.5649377468E10</v>
      </c>
      <c r="F122" s="24">
        <v>1.0</v>
      </c>
      <c r="G122" s="18" t="s">
        <v>553</v>
      </c>
      <c r="H122" s="18"/>
      <c r="I122" s="24">
        <v>8.5649377468E10</v>
      </c>
      <c r="J122" s="18" t="s">
        <v>658</v>
      </c>
      <c r="K122" s="18"/>
      <c r="L122" s="18"/>
    </row>
    <row r="123">
      <c r="A123" s="18" t="s">
        <v>662</v>
      </c>
      <c r="B123" s="18" t="s">
        <v>23</v>
      </c>
      <c r="C123" s="18" t="s">
        <v>558</v>
      </c>
      <c r="D123" s="18"/>
      <c r="E123" s="24">
        <v>8.1231281171E10</v>
      </c>
      <c r="F123" s="24">
        <v>1.0</v>
      </c>
      <c r="G123" s="18" t="s">
        <v>558</v>
      </c>
      <c r="H123" s="18"/>
      <c r="I123" s="24">
        <v>8.1231281171E10</v>
      </c>
      <c r="J123" s="18" t="s">
        <v>557</v>
      </c>
      <c r="K123" s="18"/>
      <c r="L123" s="18" t="s">
        <v>670</v>
      </c>
    </row>
    <row r="124">
      <c r="A124" s="18" t="s">
        <v>674</v>
      </c>
      <c r="B124" s="18" t="s">
        <v>23</v>
      </c>
      <c r="C124" s="18" t="s">
        <v>563</v>
      </c>
      <c r="D124" s="18"/>
      <c r="E124" s="24">
        <v>8.1330394994E10</v>
      </c>
      <c r="F124" s="24">
        <v>1.0</v>
      </c>
      <c r="G124" s="18" t="s">
        <v>563</v>
      </c>
      <c r="H124" s="18"/>
      <c r="I124" s="24">
        <v>8.1330394994E10</v>
      </c>
      <c r="J124" s="18" t="s">
        <v>685</v>
      </c>
      <c r="K124" s="18"/>
      <c r="L124" s="18"/>
    </row>
    <row r="125">
      <c r="A125" s="18" t="s">
        <v>1199</v>
      </c>
      <c r="B125" s="18" t="s">
        <v>23</v>
      </c>
      <c r="C125" s="18" t="s">
        <v>1201</v>
      </c>
      <c r="D125" s="18" t="s">
        <v>1202</v>
      </c>
      <c r="E125" s="24">
        <v>8.5857501171E10</v>
      </c>
      <c r="F125" s="24">
        <v>0.0</v>
      </c>
      <c r="G125" s="18" t="s">
        <v>1201</v>
      </c>
      <c r="H125" s="18" t="s">
        <v>1202</v>
      </c>
      <c r="I125" s="24">
        <v>8.5857501171E10</v>
      </c>
      <c r="J125" s="18" t="s">
        <v>1200</v>
      </c>
      <c r="K125" s="18"/>
      <c r="L125" s="18" t="s">
        <v>1203</v>
      </c>
    </row>
    <row r="126">
      <c r="A126" s="18" t="s">
        <v>686</v>
      </c>
      <c r="B126" s="18" t="s">
        <v>23</v>
      </c>
      <c r="C126" s="18" t="s">
        <v>567</v>
      </c>
      <c r="D126" s="18"/>
      <c r="E126" s="24">
        <v>8.5851877086E10</v>
      </c>
      <c r="F126" s="24">
        <v>1.0</v>
      </c>
      <c r="G126" s="18" t="s">
        <v>567</v>
      </c>
      <c r="H126" s="18"/>
      <c r="I126" s="24">
        <v>8.5851877086E10</v>
      </c>
      <c r="J126" s="18" t="s">
        <v>694</v>
      </c>
      <c r="K126" s="18"/>
      <c r="L126" s="18"/>
    </row>
    <row r="127">
      <c r="A127" s="18" t="s">
        <v>1428</v>
      </c>
      <c r="B127" s="18" t="s">
        <v>23</v>
      </c>
      <c r="C127" s="18" t="s">
        <v>571</v>
      </c>
      <c r="D127" s="18" t="s">
        <v>572</v>
      </c>
      <c r="E127" s="24">
        <v>8.5755349122E10</v>
      </c>
      <c r="F127" s="24">
        <v>1.0</v>
      </c>
      <c r="G127" s="18" t="s">
        <v>571</v>
      </c>
      <c r="H127" s="18" t="s">
        <v>572</v>
      </c>
      <c r="I127" s="24">
        <v>8.5755349122E10</v>
      </c>
      <c r="J127" s="18" t="s">
        <v>570</v>
      </c>
      <c r="K127" s="18"/>
      <c r="L127" s="18"/>
    </row>
    <row r="128">
      <c r="A128" s="18" t="s">
        <v>1084</v>
      </c>
      <c r="B128" s="18" t="s">
        <v>23</v>
      </c>
      <c r="C128" s="18" t="s">
        <v>576</v>
      </c>
      <c r="D128" s="18" t="s">
        <v>392</v>
      </c>
      <c r="E128" s="24">
        <v>8.22453632E10</v>
      </c>
      <c r="F128" s="24">
        <v>1.0</v>
      </c>
      <c r="G128" s="18" t="s">
        <v>576</v>
      </c>
      <c r="H128" s="18" t="s">
        <v>392</v>
      </c>
      <c r="I128" s="24">
        <v>8.22453632E10</v>
      </c>
      <c r="J128" s="18" t="s">
        <v>575</v>
      </c>
      <c r="K128" s="18"/>
      <c r="L128" s="18" t="s">
        <v>68</v>
      </c>
    </row>
    <row r="129">
      <c r="A129" s="18" t="s">
        <v>1429</v>
      </c>
      <c r="B129" s="18" t="s">
        <v>23</v>
      </c>
      <c r="C129" s="18" t="s">
        <v>580</v>
      </c>
      <c r="D129" s="18" t="s">
        <v>581</v>
      </c>
      <c r="E129" s="24">
        <v>8.1335573403E10</v>
      </c>
      <c r="F129" s="24">
        <v>1.0</v>
      </c>
      <c r="G129" s="18" t="s">
        <v>580</v>
      </c>
      <c r="H129" s="18" t="s">
        <v>581</v>
      </c>
      <c r="I129" s="24">
        <v>8.1335573403E10</v>
      </c>
      <c r="J129" s="18" t="s">
        <v>579</v>
      </c>
      <c r="K129" s="18"/>
      <c r="L129" s="18" t="s">
        <v>1430</v>
      </c>
    </row>
    <row r="130">
      <c r="A130" s="18" t="s">
        <v>498</v>
      </c>
      <c r="B130" s="18" t="s">
        <v>23</v>
      </c>
      <c r="C130" s="18" t="s">
        <v>477</v>
      </c>
      <c r="D130" s="18"/>
      <c r="E130" s="24">
        <v>8.10987654321E11</v>
      </c>
      <c r="F130" s="24">
        <v>0.0</v>
      </c>
      <c r="G130" s="18" t="s">
        <v>477</v>
      </c>
      <c r="H130" s="18"/>
      <c r="I130" s="24">
        <v>8.10987654321E11</v>
      </c>
      <c r="J130" s="24">
        <v>8.8829666E7</v>
      </c>
      <c r="K130" s="18"/>
      <c r="L130" s="18"/>
    </row>
    <row r="131">
      <c r="A131" s="18" t="s">
        <v>1265</v>
      </c>
      <c r="B131" s="18" t="s">
        <v>23</v>
      </c>
      <c r="C131" s="18" t="s">
        <v>1268</v>
      </c>
      <c r="D131" s="18" t="s">
        <v>1270</v>
      </c>
      <c r="E131" s="24">
        <v>8.1556554554E10</v>
      </c>
      <c r="F131" s="24">
        <v>1.0</v>
      </c>
      <c r="G131" s="18" t="s">
        <v>1268</v>
      </c>
      <c r="H131" s="18" t="s">
        <v>1270</v>
      </c>
      <c r="I131" s="24">
        <v>8.1556554554E10</v>
      </c>
      <c r="J131" s="18" t="s">
        <v>1267</v>
      </c>
      <c r="K131" s="18"/>
      <c r="L131" s="18" t="s">
        <v>967</v>
      </c>
    </row>
    <row r="132">
      <c r="A132" s="18" t="s">
        <v>1431</v>
      </c>
      <c r="B132" s="18" t="s">
        <v>23</v>
      </c>
      <c r="C132" s="18" t="s">
        <v>585</v>
      </c>
      <c r="D132" s="18" t="s">
        <v>586</v>
      </c>
      <c r="E132" s="24">
        <v>8.123171979E9</v>
      </c>
      <c r="F132" s="24">
        <v>1.0</v>
      </c>
      <c r="G132" s="18" t="s">
        <v>585</v>
      </c>
      <c r="H132" s="18" t="s">
        <v>586</v>
      </c>
      <c r="I132" s="24">
        <v>8.123171979E9</v>
      </c>
      <c r="J132" s="18" t="s">
        <v>584</v>
      </c>
      <c r="K132" s="18"/>
      <c r="L132" s="18" t="s">
        <v>1432</v>
      </c>
    </row>
    <row r="133">
      <c r="A133" s="18" t="s">
        <v>721</v>
      </c>
      <c r="B133" s="18" t="s">
        <v>23</v>
      </c>
      <c r="C133" s="18" t="s">
        <v>590</v>
      </c>
      <c r="D133" s="18"/>
      <c r="E133" s="24">
        <v>8.5100839993E10</v>
      </c>
      <c r="F133" s="24">
        <v>1.0</v>
      </c>
      <c r="G133" s="18" t="s">
        <v>590</v>
      </c>
      <c r="H133" s="18"/>
      <c r="I133" s="24">
        <v>8.5100839993E10</v>
      </c>
      <c r="J133" s="18" t="s">
        <v>732</v>
      </c>
      <c r="K133" s="18"/>
      <c r="L133" s="18"/>
    </row>
    <row r="134">
      <c r="A134" s="18" t="s">
        <v>738</v>
      </c>
      <c r="B134" s="18" t="s">
        <v>23</v>
      </c>
      <c r="C134" s="18" t="s">
        <v>594</v>
      </c>
      <c r="D134" s="18"/>
      <c r="E134" s="24">
        <v>8.5334055897E10</v>
      </c>
      <c r="F134" s="24">
        <v>1.0</v>
      </c>
      <c r="G134" s="18" t="s">
        <v>594</v>
      </c>
      <c r="H134" s="18"/>
      <c r="I134" s="24">
        <v>8.5334055897E10</v>
      </c>
      <c r="J134" s="18" t="s">
        <v>746</v>
      </c>
      <c r="K134" s="18"/>
      <c r="L134" s="18" t="s">
        <v>747</v>
      </c>
    </row>
    <row r="135">
      <c r="A135" s="18" t="s">
        <v>751</v>
      </c>
      <c r="B135" s="18" t="s">
        <v>23</v>
      </c>
      <c r="C135" s="18" t="s">
        <v>599</v>
      </c>
      <c r="D135" s="18"/>
      <c r="E135" s="24">
        <v>8.5790407759E10</v>
      </c>
      <c r="F135" s="24">
        <v>1.0</v>
      </c>
      <c r="G135" s="18" t="s">
        <v>599</v>
      </c>
      <c r="H135" s="18"/>
      <c r="I135" s="24">
        <v>8.5790407759E10</v>
      </c>
      <c r="J135" s="18" t="s">
        <v>759</v>
      </c>
      <c r="K135" s="18"/>
      <c r="L135" s="18" t="s">
        <v>762</v>
      </c>
    </row>
    <row r="136">
      <c r="A136" s="18" t="s">
        <v>1151</v>
      </c>
      <c r="B136" s="18" t="s">
        <v>23</v>
      </c>
      <c r="C136" s="18" t="s">
        <v>599</v>
      </c>
      <c r="D136" s="18" t="s">
        <v>1152</v>
      </c>
      <c r="E136" s="24">
        <v>8.5790407759E10</v>
      </c>
      <c r="F136" s="24">
        <v>1.0</v>
      </c>
      <c r="G136" s="18" t="s">
        <v>599</v>
      </c>
      <c r="H136" s="18" t="s">
        <v>1152</v>
      </c>
      <c r="I136" s="24">
        <v>8.5790407759E10</v>
      </c>
      <c r="J136" s="18" t="s">
        <v>598</v>
      </c>
      <c r="K136" s="18"/>
      <c r="L136" s="18" t="s">
        <v>1153</v>
      </c>
    </row>
    <row r="137">
      <c r="A137" s="18" t="s">
        <v>765</v>
      </c>
      <c r="B137" s="18" t="s">
        <v>23</v>
      </c>
      <c r="C137" s="18" t="s">
        <v>768</v>
      </c>
      <c r="D137" s="18"/>
      <c r="E137" s="24">
        <v>8.9603178884E10</v>
      </c>
      <c r="F137" s="24">
        <v>1.0</v>
      </c>
      <c r="G137" s="18" t="s">
        <v>768</v>
      </c>
      <c r="H137" s="18"/>
      <c r="I137" s="24">
        <v>8.9603178884E10</v>
      </c>
      <c r="J137" s="18" t="s">
        <v>770</v>
      </c>
      <c r="K137" s="18"/>
      <c r="L137" s="18"/>
    </row>
    <row r="138">
      <c r="A138" s="18" t="s">
        <v>1158</v>
      </c>
      <c r="B138" s="18" t="s">
        <v>23</v>
      </c>
      <c r="C138" s="18" t="s">
        <v>1159</v>
      </c>
      <c r="D138" s="18" t="s">
        <v>611</v>
      </c>
      <c r="E138" s="24">
        <v>8.16567197E8</v>
      </c>
      <c r="F138" s="24">
        <v>1.0</v>
      </c>
      <c r="G138" s="18" t="s">
        <v>1159</v>
      </c>
      <c r="H138" s="18" t="s">
        <v>611</v>
      </c>
      <c r="I138" s="24">
        <v>8.16567197E8</v>
      </c>
      <c r="J138" s="18" t="s">
        <v>609</v>
      </c>
      <c r="K138" s="18"/>
      <c r="L138" s="18" t="s">
        <v>1160</v>
      </c>
    </row>
    <row r="139">
      <c r="A139" s="18" t="s">
        <v>771</v>
      </c>
      <c r="B139" s="18" t="s">
        <v>23</v>
      </c>
      <c r="C139" s="18" t="s">
        <v>605</v>
      </c>
      <c r="D139" s="18"/>
      <c r="E139" s="24">
        <v>8.1231206844E10</v>
      </c>
      <c r="F139" s="24">
        <v>1.0</v>
      </c>
      <c r="G139" s="18" t="s">
        <v>605</v>
      </c>
      <c r="H139" s="18"/>
      <c r="I139" s="24">
        <v>8.1231206844E10</v>
      </c>
      <c r="J139" s="18" t="s">
        <v>775</v>
      </c>
      <c r="K139" s="18"/>
      <c r="L139" s="18" t="s">
        <v>777</v>
      </c>
    </row>
    <row r="140">
      <c r="A140" s="18" t="s">
        <v>778</v>
      </c>
      <c r="B140" s="18" t="s">
        <v>23</v>
      </c>
      <c r="C140" s="18" t="s">
        <v>610</v>
      </c>
      <c r="D140" s="18"/>
      <c r="E140" s="24">
        <v>8.16567197E8</v>
      </c>
      <c r="F140" s="24">
        <v>1.0</v>
      </c>
      <c r="G140" s="18" t="s">
        <v>610</v>
      </c>
      <c r="H140" s="18"/>
      <c r="I140" s="24">
        <v>8.16567197E8</v>
      </c>
      <c r="J140" s="18" t="s">
        <v>784</v>
      </c>
      <c r="K140" s="18"/>
      <c r="L140" s="18"/>
    </row>
    <row r="141">
      <c r="A141" s="18" t="s">
        <v>1282</v>
      </c>
      <c r="B141" s="18" t="s">
        <v>23</v>
      </c>
      <c r="C141" s="18" t="s">
        <v>1284</v>
      </c>
      <c r="D141" s="18" t="s">
        <v>1286</v>
      </c>
      <c r="E141" s="24">
        <v>8.9579876543E10</v>
      </c>
      <c r="F141" s="24">
        <v>1.0</v>
      </c>
      <c r="G141" s="18" t="s">
        <v>1284</v>
      </c>
      <c r="H141" s="18" t="s">
        <v>1286</v>
      </c>
      <c r="I141" s="24">
        <v>8.9579876543E10</v>
      </c>
      <c r="J141" s="18" t="s">
        <v>1283</v>
      </c>
      <c r="K141" s="18"/>
      <c r="L141" s="18" t="s">
        <v>1019</v>
      </c>
    </row>
    <row r="142">
      <c r="A142" s="18" t="s">
        <v>1017</v>
      </c>
      <c r="B142" s="18" t="s">
        <v>23</v>
      </c>
      <c r="C142" s="18" t="s">
        <v>1018</v>
      </c>
      <c r="D142" s="18" t="s">
        <v>1009</v>
      </c>
      <c r="E142" s="24">
        <v>9.87655678909E11</v>
      </c>
      <c r="F142" s="24">
        <v>0.0</v>
      </c>
      <c r="G142" s="18" t="s">
        <v>1018</v>
      </c>
      <c r="H142" s="18" t="s">
        <v>1009</v>
      </c>
      <c r="I142" s="24">
        <v>9.87655678909E11</v>
      </c>
      <c r="J142" s="24">
        <v>9.87654321234567E14</v>
      </c>
      <c r="K142" s="18"/>
      <c r="L142" s="18" t="s">
        <v>1019</v>
      </c>
    </row>
    <row r="143">
      <c r="A143" s="18" t="s">
        <v>1433</v>
      </c>
      <c r="B143" s="18" t="s">
        <v>23</v>
      </c>
      <c r="C143" s="18" t="s">
        <v>617</v>
      </c>
      <c r="D143" s="18" t="s">
        <v>618</v>
      </c>
      <c r="E143" s="24">
        <v>8.233596541E10</v>
      </c>
      <c r="F143" s="24">
        <v>1.0</v>
      </c>
      <c r="G143" s="18" t="s">
        <v>617</v>
      </c>
      <c r="H143" s="18" t="s">
        <v>618</v>
      </c>
      <c r="I143" s="24">
        <v>8.233596541E10</v>
      </c>
      <c r="J143" s="18" t="s">
        <v>614</v>
      </c>
      <c r="K143" s="18"/>
      <c r="L143" s="18" t="s">
        <v>1434</v>
      </c>
    </row>
    <row r="144">
      <c r="A144" s="18" t="s">
        <v>1293</v>
      </c>
      <c r="B144" s="18" t="s">
        <v>23</v>
      </c>
      <c r="C144" s="18" t="s">
        <v>1295</v>
      </c>
      <c r="D144" s="18" t="s">
        <v>1297</v>
      </c>
      <c r="E144" s="24">
        <v>8.5233898981E10</v>
      </c>
      <c r="F144" s="24">
        <v>1.0</v>
      </c>
      <c r="G144" s="18" t="s">
        <v>1295</v>
      </c>
      <c r="H144" s="18" t="s">
        <v>1297</v>
      </c>
      <c r="I144" s="24">
        <v>8.5233898981E10</v>
      </c>
      <c r="J144" s="24">
        <v>1.23546848954E11</v>
      </c>
      <c r="K144" s="18"/>
      <c r="L144" s="18" t="s">
        <v>1301</v>
      </c>
    </row>
    <row r="145">
      <c r="A145" s="18" t="s">
        <v>1391</v>
      </c>
      <c r="B145" s="18" t="s">
        <v>23</v>
      </c>
      <c r="C145" s="18" t="s">
        <v>1392</v>
      </c>
      <c r="D145" s="18" t="s">
        <v>1393</v>
      </c>
      <c r="E145" s="24">
        <v>8.6598653246E10</v>
      </c>
      <c r="F145" s="24">
        <v>0.0</v>
      </c>
      <c r="G145" s="18" t="s">
        <v>1392</v>
      </c>
      <c r="H145" s="18" t="s">
        <v>1393</v>
      </c>
      <c r="I145" s="24">
        <v>8.6598653246E10</v>
      </c>
      <c r="J145" s="24">
        <v>3.1420326598523E13</v>
      </c>
      <c r="K145" s="18"/>
      <c r="L145" s="18" t="s">
        <v>1394</v>
      </c>
    </row>
    <row r="146">
      <c r="A146" s="18" t="s">
        <v>787</v>
      </c>
      <c r="B146" s="18" t="s">
        <v>23</v>
      </c>
      <c r="C146" s="18" t="s">
        <v>635</v>
      </c>
      <c r="D146" s="18"/>
      <c r="E146" s="24">
        <v>8.1310015763E10</v>
      </c>
      <c r="F146" s="24">
        <v>1.0</v>
      </c>
      <c r="G146" s="18" t="s">
        <v>635</v>
      </c>
      <c r="H146" s="18"/>
      <c r="I146" s="24">
        <v>8.1310015763E10</v>
      </c>
      <c r="J146" s="18" t="s">
        <v>795</v>
      </c>
      <c r="K146" s="18"/>
      <c r="L146" s="18"/>
    </row>
    <row r="147">
      <c r="A147" s="18" t="s">
        <v>1303</v>
      </c>
      <c r="B147" s="18" t="s">
        <v>23</v>
      </c>
      <c r="C147" s="18" t="s">
        <v>125</v>
      </c>
      <c r="D147" s="18" t="s">
        <v>641</v>
      </c>
      <c r="E147" s="24">
        <v>8.2334470456E10</v>
      </c>
      <c r="F147" s="24">
        <v>1.0</v>
      </c>
      <c r="G147" s="18" t="s">
        <v>125</v>
      </c>
      <c r="H147" s="18" t="s">
        <v>641</v>
      </c>
      <c r="I147" s="24">
        <v>8.2334470456E10</v>
      </c>
      <c r="J147" s="18" t="s">
        <v>1305</v>
      </c>
      <c r="K147" s="18"/>
      <c r="L147" s="18" t="s">
        <v>129</v>
      </c>
    </row>
    <row r="148">
      <c r="A148" s="18" t="s">
        <v>1269</v>
      </c>
      <c r="B148" s="18" t="s">
        <v>23</v>
      </c>
      <c r="C148" s="18" t="s">
        <v>1271</v>
      </c>
      <c r="D148" s="18" t="s">
        <v>1272</v>
      </c>
      <c r="E148" s="24">
        <v>8.123456789E10</v>
      </c>
      <c r="F148" s="24">
        <v>1.0</v>
      </c>
      <c r="G148" s="18" t="s">
        <v>1271</v>
      </c>
      <c r="H148" s="18" t="s">
        <v>1272</v>
      </c>
      <c r="I148" s="24">
        <v>8.123456789E10</v>
      </c>
      <c r="J148" s="24">
        <v>122.0</v>
      </c>
      <c r="K148" s="18"/>
      <c r="L148" s="18" t="s">
        <v>1203</v>
      </c>
    </row>
    <row r="149">
      <c r="A149" s="18" t="s">
        <v>773</v>
      </c>
      <c r="B149" s="18" t="s">
        <v>23</v>
      </c>
      <c r="C149" s="18" t="s">
        <v>645</v>
      </c>
      <c r="D149" s="18" t="s">
        <v>646</v>
      </c>
      <c r="E149" s="24">
        <v>8.5259626461E10</v>
      </c>
      <c r="F149" s="24">
        <v>1.0</v>
      </c>
      <c r="G149" s="18" t="s">
        <v>645</v>
      </c>
      <c r="H149" s="18" t="s">
        <v>646</v>
      </c>
      <c r="I149" s="24">
        <v>8.5259626461E10</v>
      </c>
      <c r="J149" s="18" t="s">
        <v>643</v>
      </c>
      <c r="K149" s="18"/>
      <c r="L149" s="18" t="s">
        <v>779</v>
      </c>
    </row>
    <row r="150">
      <c r="A150" s="18" t="s">
        <v>801</v>
      </c>
      <c r="B150" s="18" t="s">
        <v>23</v>
      </c>
      <c r="C150" s="18" t="s">
        <v>650</v>
      </c>
      <c r="D150" s="18"/>
      <c r="E150" s="24">
        <v>8.5235002321E10</v>
      </c>
      <c r="F150" s="24">
        <v>1.0</v>
      </c>
      <c r="G150" s="18" t="s">
        <v>650</v>
      </c>
      <c r="H150" s="18"/>
      <c r="I150" s="24">
        <v>8.5235002321E10</v>
      </c>
      <c r="J150" s="18" t="s">
        <v>809</v>
      </c>
      <c r="K150" s="18"/>
      <c r="L150" s="18"/>
    </row>
    <row r="151">
      <c r="A151" s="18" t="s">
        <v>1314</v>
      </c>
      <c r="B151" s="18" t="s">
        <v>23</v>
      </c>
      <c r="C151" s="18" t="s">
        <v>1317</v>
      </c>
      <c r="D151" s="18" t="s">
        <v>1321</v>
      </c>
      <c r="E151" s="24">
        <v>8.5123456871E10</v>
      </c>
      <c r="F151" s="24">
        <v>1.0</v>
      </c>
      <c r="G151" s="18" t="s">
        <v>1317</v>
      </c>
      <c r="H151" s="18" t="s">
        <v>1321</v>
      </c>
      <c r="I151" s="24">
        <v>8.5123456871E10</v>
      </c>
      <c r="J151" s="24">
        <v>1.234567891E11</v>
      </c>
      <c r="K151" s="18"/>
      <c r="L151" s="18" t="s">
        <v>1325</v>
      </c>
    </row>
    <row r="152">
      <c r="A152" s="18" t="s">
        <v>1435</v>
      </c>
      <c r="B152" s="18" t="s">
        <v>23</v>
      </c>
      <c r="C152" s="18" t="s">
        <v>656</v>
      </c>
      <c r="D152" s="18" t="s">
        <v>659</v>
      </c>
      <c r="E152" s="24">
        <v>8.1231849964E10</v>
      </c>
      <c r="F152" s="24">
        <v>1.0</v>
      </c>
      <c r="G152" s="18" t="s">
        <v>656</v>
      </c>
      <c r="H152" s="18" t="s">
        <v>659</v>
      </c>
      <c r="I152" s="24">
        <v>8.1231849964E10</v>
      </c>
      <c r="J152" s="18" t="s">
        <v>655</v>
      </c>
      <c r="K152" s="18"/>
      <c r="L152" s="18" t="s">
        <v>1436</v>
      </c>
    </row>
    <row r="153">
      <c r="A153" s="18" t="s">
        <v>1031</v>
      </c>
      <c r="B153" s="18" t="s">
        <v>23</v>
      </c>
      <c r="C153" s="18" t="s">
        <v>665</v>
      </c>
      <c r="D153" s="18" t="s">
        <v>1034</v>
      </c>
      <c r="E153" s="24">
        <v>8.5851312209E10</v>
      </c>
      <c r="F153" s="24">
        <v>1.0</v>
      </c>
      <c r="G153" s="18" t="s">
        <v>665</v>
      </c>
      <c r="H153" s="18" t="s">
        <v>1034</v>
      </c>
      <c r="I153" s="24">
        <v>8.5851312209E10</v>
      </c>
      <c r="J153" s="18" t="s">
        <v>1040</v>
      </c>
      <c r="K153" s="18"/>
      <c r="L153" s="18" t="s">
        <v>93</v>
      </c>
    </row>
    <row r="154">
      <c r="A154" s="18" t="s">
        <v>1437</v>
      </c>
      <c r="B154" s="18" t="s">
        <v>23</v>
      </c>
      <c r="C154" s="18" t="s">
        <v>671</v>
      </c>
      <c r="D154" s="18" t="s">
        <v>673</v>
      </c>
      <c r="E154" s="24">
        <v>8.523487736E10</v>
      </c>
      <c r="F154" s="24">
        <v>1.0</v>
      </c>
      <c r="G154" s="18" t="s">
        <v>671</v>
      </c>
      <c r="H154" s="18" t="s">
        <v>673</v>
      </c>
      <c r="I154" s="24">
        <v>8.523487736E10</v>
      </c>
      <c r="J154" s="18" t="s">
        <v>669</v>
      </c>
      <c r="K154" s="18"/>
      <c r="L154" s="18" t="s">
        <v>1438</v>
      </c>
    </row>
    <row r="155">
      <c r="A155" s="18" t="s">
        <v>1439</v>
      </c>
      <c r="B155" s="18" t="s">
        <v>23</v>
      </c>
      <c r="C155" s="18" t="s">
        <v>679</v>
      </c>
      <c r="D155" s="18" t="s">
        <v>681</v>
      </c>
      <c r="E155" s="24">
        <v>8.5608292785E10</v>
      </c>
      <c r="F155" s="24">
        <v>1.0</v>
      </c>
      <c r="G155" s="18" t="s">
        <v>679</v>
      </c>
      <c r="H155" s="18" t="s">
        <v>681</v>
      </c>
      <c r="I155" s="24">
        <v>8.5608292785E10</v>
      </c>
      <c r="J155" s="18" t="s">
        <v>677</v>
      </c>
      <c r="K155" s="18"/>
      <c r="L155" s="18" t="s">
        <v>1440</v>
      </c>
    </row>
    <row r="156" ht="16.5" customHeight="1">
      <c r="A156" s="18" t="s">
        <v>924</v>
      </c>
      <c r="B156" s="18" t="s">
        <v>23</v>
      </c>
      <c r="C156" s="18" t="s">
        <v>688</v>
      </c>
      <c r="D156" s="18" t="s">
        <v>690</v>
      </c>
      <c r="E156" s="24">
        <v>8.5235665155E10</v>
      </c>
      <c r="F156" s="24">
        <v>1.0</v>
      </c>
      <c r="G156" s="18" t="s">
        <v>688</v>
      </c>
      <c r="H156" s="18" t="s">
        <v>690</v>
      </c>
      <c r="I156" s="24">
        <v>8.5235665155E10</v>
      </c>
      <c r="J156" s="18" t="s">
        <v>687</v>
      </c>
      <c r="K156" s="18"/>
      <c r="L156" s="18" t="s">
        <v>929</v>
      </c>
    </row>
    <row r="157">
      <c r="A157" s="18" t="s">
        <v>931</v>
      </c>
      <c r="B157" s="18" t="s">
        <v>23</v>
      </c>
      <c r="C157" s="18" t="s">
        <v>933</v>
      </c>
      <c r="D157" s="18" t="s">
        <v>690</v>
      </c>
      <c r="E157" s="24">
        <v>8.5235665155E10</v>
      </c>
      <c r="F157" s="24">
        <v>1.0</v>
      </c>
      <c r="G157" s="18" t="s">
        <v>933</v>
      </c>
      <c r="H157" s="18" t="s">
        <v>690</v>
      </c>
      <c r="I157" s="24">
        <v>8.5235665155E10</v>
      </c>
      <c r="J157" s="18" t="s">
        <v>922</v>
      </c>
      <c r="K157" s="18"/>
      <c r="L157" s="18" t="s">
        <v>941</v>
      </c>
    </row>
    <row r="158">
      <c r="A158" s="18" t="s">
        <v>1441</v>
      </c>
      <c r="B158" s="18" t="s">
        <v>23</v>
      </c>
      <c r="C158" s="18" t="s">
        <v>696</v>
      </c>
      <c r="D158" s="18" t="s">
        <v>697</v>
      </c>
      <c r="E158" s="24">
        <v>8.113777067E9</v>
      </c>
      <c r="F158" s="24">
        <v>1.0</v>
      </c>
      <c r="G158" s="18" t="s">
        <v>696</v>
      </c>
      <c r="H158" s="18" t="s">
        <v>697</v>
      </c>
      <c r="I158" s="24">
        <v>8.113777067E9</v>
      </c>
      <c r="J158" s="18" t="s">
        <v>695</v>
      </c>
      <c r="K158" s="18"/>
      <c r="L158" s="18" t="s">
        <v>1442</v>
      </c>
    </row>
    <row r="159">
      <c r="A159" s="18" t="s">
        <v>1443</v>
      </c>
      <c r="B159" s="18" t="s">
        <v>23</v>
      </c>
      <c r="C159" s="18" t="s">
        <v>701</v>
      </c>
      <c r="D159" s="18" t="s">
        <v>702</v>
      </c>
      <c r="E159" s="24">
        <v>8.5843004495E10</v>
      </c>
      <c r="F159" s="24">
        <v>1.0</v>
      </c>
      <c r="G159" s="18" t="s">
        <v>701</v>
      </c>
      <c r="H159" s="18" t="s">
        <v>702</v>
      </c>
      <c r="I159" s="24">
        <v>8.5843004495E10</v>
      </c>
      <c r="J159" s="18" t="s">
        <v>700</v>
      </c>
      <c r="K159" s="18"/>
      <c r="L159" s="18" t="s">
        <v>1444</v>
      </c>
    </row>
    <row r="160">
      <c r="A160" s="18" t="s">
        <v>835</v>
      </c>
      <c r="B160" s="18" t="s">
        <v>23</v>
      </c>
      <c r="C160" s="18" t="s">
        <v>706</v>
      </c>
      <c r="D160" s="18" t="s">
        <v>707</v>
      </c>
      <c r="E160" s="24">
        <v>8.5749592637E10</v>
      </c>
      <c r="F160" s="24">
        <v>1.0</v>
      </c>
      <c r="G160" s="18" t="s">
        <v>706</v>
      </c>
      <c r="H160" s="18" t="s">
        <v>707</v>
      </c>
      <c r="I160" s="24">
        <v>8.5749592637E10</v>
      </c>
      <c r="J160" s="18" t="s">
        <v>705</v>
      </c>
      <c r="K160" s="18"/>
      <c r="L160" s="18" t="s">
        <v>843</v>
      </c>
    </row>
    <row r="161">
      <c r="A161" s="18" t="s">
        <v>814</v>
      </c>
      <c r="B161" s="18" t="s">
        <v>23</v>
      </c>
      <c r="C161" s="18" t="s">
        <v>711</v>
      </c>
      <c r="D161" s="18"/>
      <c r="E161" s="24">
        <v>8.5648811748E10</v>
      </c>
      <c r="F161" s="24">
        <v>1.0</v>
      </c>
      <c r="G161" s="18" t="s">
        <v>711</v>
      </c>
      <c r="H161" s="18"/>
      <c r="I161" s="24">
        <v>8.5648811748E10</v>
      </c>
      <c r="J161" s="18" t="s">
        <v>822</v>
      </c>
      <c r="K161" s="18"/>
      <c r="L161" s="18"/>
    </row>
    <row r="162">
      <c r="A162" s="18" t="s">
        <v>828</v>
      </c>
      <c r="B162" s="18" t="s">
        <v>23</v>
      </c>
      <c r="C162" s="18" t="s">
        <v>831</v>
      </c>
      <c r="D162" s="18"/>
      <c r="E162" s="24">
        <v>8.2133308063E10</v>
      </c>
      <c r="F162" s="24">
        <v>1.0</v>
      </c>
      <c r="G162" s="18" t="s">
        <v>831</v>
      </c>
      <c r="H162" s="18"/>
      <c r="I162" s="24">
        <v>8.2133308063E10</v>
      </c>
      <c r="J162" s="18" t="s">
        <v>838</v>
      </c>
      <c r="K162" s="18"/>
      <c r="L162" s="18" t="s">
        <v>841</v>
      </c>
    </row>
    <row r="163">
      <c r="A163" s="18" t="s">
        <v>1226</v>
      </c>
      <c r="B163" s="18" t="s">
        <v>23</v>
      </c>
      <c r="C163" s="18" t="s">
        <v>716</v>
      </c>
      <c r="D163" s="18" t="s">
        <v>718</v>
      </c>
      <c r="E163" s="24">
        <v>8.5233915366E10</v>
      </c>
      <c r="F163" s="24">
        <v>1.0</v>
      </c>
      <c r="G163" s="18" t="s">
        <v>716</v>
      </c>
      <c r="H163" s="18" t="s">
        <v>718</v>
      </c>
      <c r="I163" s="24">
        <v>8.5233915366E10</v>
      </c>
      <c r="J163" s="18" t="s">
        <v>715</v>
      </c>
      <c r="K163" s="18"/>
      <c r="L163" s="18" t="s">
        <v>1228</v>
      </c>
    </row>
    <row r="164">
      <c r="A164" s="18" t="s">
        <v>968</v>
      </c>
      <c r="B164" s="18" t="s">
        <v>23</v>
      </c>
      <c r="C164" s="18" t="s">
        <v>969</v>
      </c>
      <c r="D164" s="18" t="s">
        <v>724</v>
      </c>
      <c r="E164" s="24">
        <v>8.2301027322E10</v>
      </c>
      <c r="F164" s="24">
        <v>1.0</v>
      </c>
      <c r="G164" s="18" t="s">
        <v>969</v>
      </c>
      <c r="H164" s="18" t="s">
        <v>724</v>
      </c>
      <c r="I164" s="24">
        <v>8.2301027322E10</v>
      </c>
      <c r="J164" s="18" t="s">
        <v>722</v>
      </c>
      <c r="K164" s="18"/>
      <c r="L164" s="18" t="s">
        <v>971</v>
      </c>
    </row>
    <row r="165">
      <c r="A165" s="18" t="s">
        <v>844</v>
      </c>
      <c r="B165" s="18" t="s">
        <v>23</v>
      </c>
      <c r="C165" s="18" t="s">
        <v>723</v>
      </c>
      <c r="D165" s="18"/>
      <c r="E165" s="24">
        <v>8.22301027322E11</v>
      </c>
      <c r="F165" s="24">
        <v>1.0</v>
      </c>
      <c r="G165" s="18" t="s">
        <v>723</v>
      </c>
      <c r="H165" s="18"/>
      <c r="I165" s="24">
        <v>8.22301027322E11</v>
      </c>
      <c r="J165" s="18" t="s">
        <v>854</v>
      </c>
      <c r="K165" s="18"/>
      <c r="L165" s="18"/>
    </row>
    <row r="166">
      <c r="A166" s="18" t="s">
        <v>857</v>
      </c>
      <c r="B166" s="18" t="s">
        <v>23</v>
      </c>
      <c r="C166" s="18" t="s">
        <v>859</v>
      </c>
      <c r="D166" s="18"/>
      <c r="E166" s="24">
        <v>8.1334851474E10</v>
      </c>
      <c r="F166" s="24">
        <v>1.0</v>
      </c>
      <c r="G166" s="18" t="s">
        <v>859</v>
      </c>
      <c r="H166" s="18"/>
      <c r="I166" s="24">
        <v>8.1334851474E10</v>
      </c>
      <c r="J166" s="24">
        <v>4.352101145E9</v>
      </c>
      <c r="K166" s="18"/>
      <c r="L166" s="18" t="s">
        <v>865</v>
      </c>
    </row>
    <row r="167">
      <c r="A167" s="18" t="s">
        <v>1167</v>
      </c>
      <c r="B167" s="18" t="s">
        <v>23</v>
      </c>
      <c r="C167" s="18" t="s">
        <v>1169</v>
      </c>
      <c r="D167" s="18" t="s">
        <v>1170</v>
      </c>
      <c r="E167" s="24">
        <v>8.1334851474E10</v>
      </c>
      <c r="F167" s="24">
        <v>0.0</v>
      </c>
      <c r="G167" s="18" t="s">
        <v>1169</v>
      </c>
      <c r="H167" s="18" t="s">
        <v>1170</v>
      </c>
      <c r="I167" s="24">
        <v>8.1334851474E10</v>
      </c>
      <c r="J167" s="18" t="s">
        <v>1168</v>
      </c>
      <c r="K167" s="18"/>
      <c r="L167" s="18" t="s">
        <v>1171</v>
      </c>
    </row>
    <row r="168">
      <c r="A168" s="18" t="s">
        <v>868</v>
      </c>
      <c r="B168" s="18" t="s">
        <v>23</v>
      </c>
      <c r="C168" s="18" t="s">
        <v>727</v>
      </c>
      <c r="D168" s="18"/>
      <c r="E168" s="24">
        <v>8.2139641863E10</v>
      </c>
      <c r="F168" s="24">
        <v>1.0</v>
      </c>
      <c r="G168" s="18" t="s">
        <v>727</v>
      </c>
      <c r="H168" s="18"/>
      <c r="I168" s="24">
        <v>8.2139641863E10</v>
      </c>
      <c r="J168" s="18" t="s">
        <v>726</v>
      </c>
      <c r="K168" s="18"/>
      <c r="L168" s="18"/>
    </row>
    <row r="169">
      <c r="A169" s="18" t="s">
        <v>878</v>
      </c>
      <c r="B169" s="18" t="s">
        <v>23</v>
      </c>
      <c r="C169" s="18" t="s">
        <v>735</v>
      </c>
      <c r="D169" s="18"/>
      <c r="E169" s="24">
        <v>8.5210394099E10</v>
      </c>
      <c r="F169" s="24">
        <v>1.0</v>
      </c>
      <c r="G169" s="18" t="s">
        <v>735</v>
      </c>
      <c r="H169" s="18"/>
      <c r="I169" s="24">
        <v>8.5210394099E10</v>
      </c>
      <c r="J169" s="18" t="s">
        <v>733</v>
      </c>
      <c r="K169" s="18"/>
      <c r="L169" s="18" t="s">
        <v>886</v>
      </c>
    </row>
    <row r="170">
      <c r="A170" s="18" t="s">
        <v>890</v>
      </c>
      <c r="B170" s="18" t="s">
        <v>23</v>
      </c>
      <c r="C170" s="18" t="s">
        <v>740</v>
      </c>
      <c r="D170" s="18"/>
      <c r="E170" s="24">
        <v>8.5233900788E10</v>
      </c>
      <c r="F170" s="24">
        <v>1.0</v>
      </c>
      <c r="G170" s="18" t="s">
        <v>740</v>
      </c>
      <c r="H170" s="18"/>
      <c r="I170" s="24">
        <v>8.5233900788E10</v>
      </c>
      <c r="J170" s="18" t="s">
        <v>896</v>
      </c>
      <c r="K170" s="18"/>
      <c r="L170" s="18"/>
    </row>
    <row r="171">
      <c r="A171" s="18" t="s">
        <v>1204</v>
      </c>
      <c r="B171" s="18" t="s">
        <v>23</v>
      </c>
      <c r="C171" s="18" t="s">
        <v>1206</v>
      </c>
      <c r="D171" s="18" t="s">
        <v>1207</v>
      </c>
      <c r="E171" s="24">
        <v>8.5857501171E10</v>
      </c>
      <c r="F171" s="24">
        <v>1.0</v>
      </c>
      <c r="G171" s="18" t="s">
        <v>1206</v>
      </c>
      <c r="H171" s="18" t="s">
        <v>1207</v>
      </c>
      <c r="I171" s="24">
        <v>8.5857501171E10</v>
      </c>
      <c r="J171" s="18" t="s">
        <v>1205</v>
      </c>
      <c r="K171" s="18"/>
      <c r="L171" s="18" t="s">
        <v>455</v>
      </c>
    </row>
    <row r="172">
      <c r="A172" s="18" t="s">
        <v>1156</v>
      </c>
      <c r="B172" s="18" t="s">
        <v>23</v>
      </c>
      <c r="C172" s="18" t="s">
        <v>756</v>
      </c>
      <c r="D172" s="18" t="s">
        <v>1157</v>
      </c>
      <c r="E172" s="24">
        <v>8.2330607672E10</v>
      </c>
      <c r="F172" s="24">
        <v>1.0</v>
      </c>
      <c r="G172" s="18" t="s">
        <v>756</v>
      </c>
      <c r="H172" s="18" t="s">
        <v>1157</v>
      </c>
      <c r="I172" s="24">
        <v>8.2330607672E10</v>
      </c>
      <c r="J172" s="18" t="s">
        <v>754</v>
      </c>
      <c r="K172" s="18"/>
      <c r="L172" s="18" t="s">
        <v>1155</v>
      </c>
    </row>
    <row r="173">
      <c r="A173" s="18" t="s">
        <v>901</v>
      </c>
      <c r="B173" s="18" t="s">
        <v>23</v>
      </c>
      <c r="C173" s="18" t="s">
        <v>756</v>
      </c>
      <c r="D173" s="18"/>
      <c r="E173" s="24">
        <v>8.2330607672E10</v>
      </c>
      <c r="F173" s="24">
        <v>1.0</v>
      </c>
      <c r="G173" s="18" t="s">
        <v>756</v>
      </c>
      <c r="H173" s="18"/>
      <c r="I173" s="24">
        <v>8.2330607672E10</v>
      </c>
      <c r="J173" s="18" t="s">
        <v>908</v>
      </c>
      <c r="K173" s="18"/>
      <c r="L173" s="18" t="s">
        <v>909</v>
      </c>
    </row>
    <row r="174">
      <c r="A174" s="18" t="s">
        <v>1008</v>
      </c>
      <c r="B174" s="18" t="s">
        <v>23</v>
      </c>
      <c r="C174" s="18" t="s">
        <v>957</v>
      </c>
      <c r="D174" s="18" t="s">
        <v>1009</v>
      </c>
      <c r="E174" s="24">
        <v>8.213214321E9</v>
      </c>
      <c r="F174" s="24">
        <v>0.0</v>
      </c>
      <c r="G174" s="18" t="s">
        <v>957</v>
      </c>
      <c r="H174" s="18" t="s">
        <v>1009</v>
      </c>
      <c r="I174" s="24">
        <v>8.213214321E9</v>
      </c>
      <c r="J174" s="24">
        <v>1.23456789E8</v>
      </c>
      <c r="K174" s="18"/>
      <c r="L174" s="18" t="s">
        <v>1010</v>
      </c>
    </row>
    <row r="175">
      <c r="A175" s="18" t="s">
        <v>1013</v>
      </c>
      <c r="B175" s="18" t="s">
        <v>23</v>
      </c>
      <c r="C175" s="18" t="s">
        <v>1015</v>
      </c>
      <c r="D175" s="18" t="s">
        <v>1016</v>
      </c>
      <c r="E175" s="24">
        <v>8.1234567898E10</v>
      </c>
      <c r="F175" s="24">
        <v>0.0</v>
      </c>
      <c r="G175" s="18" t="s">
        <v>1015</v>
      </c>
      <c r="H175" s="18" t="s">
        <v>1016</v>
      </c>
      <c r="I175" s="24">
        <v>8.1234567898E10</v>
      </c>
      <c r="J175" s="24">
        <v>123.0</v>
      </c>
      <c r="K175" s="18"/>
      <c r="L175" s="18" t="s">
        <v>27</v>
      </c>
    </row>
    <row r="176">
      <c r="A176" s="18" t="s">
        <v>912</v>
      </c>
      <c r="B176" s="18" t="s">
        <v>23</v>
      </c>
      <c r="C176" s="18" t="s">
        <v>766</v>
      </c>
      <c r="D176" s="18"/>
      <c r="E176" s="24">
        <v>8.212788887E10</v>
      </c>
      <c r="F176" s="24">
        <v>1.0</v>
      </c>
      <c r="G176" s="18" t="s">
        <v>766</v>
      </c>
      <c r="H176" s="18"/>
      <c r="I176" s="24">
        <v>8.212788887E10</v>
      </c>
      <c r="J176" s="18" t="s">
        <v>916</v>
      </c>
      <c r="K176" s="18"/>
      <c r="L176" s="18" t="s">
        <v>917</v>
      </c>
    </row>
    <row r="177">
      <c r="A177" s="18" t="s">
        <v>919</v>
      </c>
      <c r="B177" s="18" t="s">
        <v>23</v>
      </c>
      <c r="C177" s="18" t="s">
        <v>781</v>
      </c>
      <c r="D177" s="18"/>
      <c r="E177" s="24">
        <v>8.2335525155E10</v>
      </c>
      <c r="F177" s="24">
        <v>1.0</v>
      </c>
      <c r="G177" s="18" t="s">
        <v>781</v>
      </c>
      <c r="H177" s="18"/>
      <c r="I177" s="24">
        <v>8.2335525155E10</v>
      </c>
      <c r="J177" s="18" t="s">
        <v>927</v>
      </c>
      <c r="K177" s="18"/>
      <c r="L177" s="18"/>
    </row>
    <row r="178">
      <c r="A178" s="18" t="s">
        <v>930</v>
      </c>
      <c r="B178" s="18" t="s">
        <v>23</v>
      </c>
      <c r="C178" s="18" t="s">
        <v>788</v>
      </c>
      <c r="D178" s="18"/>
      <c r="E178" s="24">
        <v>8.56451631E10</v>
      </c>
      <c r="F178" s="24">
        <v>1.0</v>
      </c>
      <c r="G178" s="18" t="s">
        <v>788</v>
      </c>
      <c r="H178" s="18"/>
      <c r="I178" s="24">
        <v>8.56451631E10</v>
      </c>
      <c r="J178" s="18" t="s">
        <v>935</v>
      </c>
      <c r="K178" s="18"/>
      <c r="L178" s="18" t="s">
        <v>937</v>
      </c>
    </row>
    <row r="179">
      <c r="A179" s="18" t="s">
        <v>1348</v>
      </c>
      <c r="B179" s="18" t="s">
        <v>23</v>
      </c>
      <c r="C179" s="18" t="s">
        <v>1351</v>
      </c>
      <c r="D179" s="18" t="s">
        <v>798</v>
      </c>
      <c r="E179" s="24">
        <v>8.5159259788E10</v>
      </c>
      <c r="F179" s="24">
        <v>1.0</v>
      </c>
      <c r="G179" s="18" t="s">
        <v>1351</v>
      </c>
      <c r="H179" s="18" t="s">
        <v>798</v>
      </c>
      <c r="I179" s="24">
        <v>8.5159259788E10</v>
      </c>
      <c r="J179" s="18" t="s">
        <v>1350</v>
      </c>
      <c r="K179" s="18"/>
      <c r="L179" s="18" t="s">
        <v>1354</v>
      </c>
    </row>
    <row r="180">
      <c r="A180" s="18" t="s">
        <v>940</v>
      </c>
      <c r="B180" s="18" t="s">
        <v>23</v>
      </c>
      <c r="C180" s="18" t="s">
        <v>803</v>
      </c>
      <c r="D180" s="18"/>
      <c r="E180" s="24">
        <v>8.5791575347E10</v>
      </c>
      <c r="F180" s="24">
        <v>1.0</v>
      </c>
      <c r="G180" s="18" t="s">
        <v>803</v>
      </c>
      <c r="H180" s="18"/>
      <c r="I180" s="24">
        <v>8.5791575347E10</v>
      </c>
      <c r="J180" s="18" t="s">
        <v>947</v>
      </c>
      <c r="K180" s="18"/>
      <c r="L180" s="18"/>
    </row>
    <row r="181">
      <c r="A181" s="18" t="s">
        <v>996</v>
      </c>
      <c r="B181" s="18" t="s">
        <v>23</v>
      </c>
      <c r="C181" s="18" t="s">
        <v>999</v>
      </c>
      <c r="D181" s="18" t="s">
        <v>811</v>
      </c>
      <c r="E181" s="24">
        <v>8.124985514E9</v>
      </c>
      <c r="F181" s="24">
        <v>1.0</v>
      </c>
      <c r="G181" s="18" t="s">
        <v>999</v>
      </c>
      <c r="H181" s="18" t="s">
        <v>811</v>
      </c>
      <c r="I181" s="24">
        <v>8.124985514E9</v>
      </c>
      <c r="J181" s="18" t="s">
        <v>806</v>
      </c>
      <c r="K181" s="18"/>
      <c r="L181" s="18" t="s">
        <v>84</v>
      </c>
    </row>
    <row r="182">
      <c r="A182" s="18" t="s">
        <v>952</v>
      </c>
      <c r="B182" s="18" t="s">
        <v>23</v>
      </c>
      <c r="C182" s="18" t="s">
        <v>808</v>
      </c>
      <c r="D182" s="18"/>
      <c r="E182" s="24">
        <v>8.1310015763E10</v>
      </c>
      <c r="F182" s="24">
        <v>1.0</v>
      </c>
      <c r="G182" s="18" t="s">
        <v>808</v>
      </c>
      <c r="H182" s="18"/>
      <c r="I182" s="24">
        <v>8.1310015763E10</v>
      </c>
      <c r="J182" s="18" t="s">
        <v>961</v>
      </c>
      <c r="K182" s="18"/>
      <c r="L182" s="18"/>
    </row>
    <row r="183">
      <c r="A183" s="18" t="s">
        <v>966</v>
      </c>
      <c r="B183" s="18" t="s">
        <v>23</v>
      </c>
      <c r="C183" s="18" t="s">
        <v>816</v>
      </c>
      <c r="D183" s="18"/>
      <c r="E183" s="24">
        <v>8.5233523631E10</v>
      </c>
      <c r="F183" s="24">
        <v>1.0</v>
      </c>
      <c r="G183" s="18" t="s">
        <v>816</v>
      </c>
      <c r="H183" s="18"/>
      <c r="I183" s="24">
        <v>8.5233523631E10</v>
      </c>
      <c r="J183" s="18" t="s">
        <v>972</v>
      </c>
      <c r="K183" s="18"/>
      <c r="L183" s="18"/>
    </row>
    <row r="184">
      <c r="A184" s="18" t="s">
        <v>973</v>
      </c>
      <c r="B184" s="18" t="s">
        <v>23</v>
      </c>
      <c r="C184" s="18" t="s">
        <v>824</v>
      </c>
      <c r="D184" s="18"/>
      <c r="E184" s="24">
        <v>8.1359556552E10</v>
      </c>
      <c r="F184" s="24">
        <v>1.0</v>
      </c>
      <c r="G184" s="18" t="s">
        <v>824</v>
      </c>
      <c r="H184" s="18"/>
      <c r="I184" s="24">
        <v>8.1359556552E10</v>
      </c>
      <c r="J184" s="18" t="s">
        <v>975</v>
      </c>
      <c r="K184" s="18"/>
      <c r="L184" s="18" t="s">
        <v>976</v>
      </c>
    </row>
    <row r="185">
      <c r="A185" s="18" t="s">
        <v>1445</v>
      </c>
      <c r="B185" s="18" t="s">
        <v>23</v>
      </c>
      <c r="C185" s="18" t="s">
        <v>830</v>
      </c>
      <c r="D185" s="18" t="s">
        <v>832</v>
      </c>
      <c r="E185" s="24">
        <v>8.5648524244E10</v>
      </c>
      <c r="F185" s="24">
        <v>1.0</v>
      </c>
      <c r="G185" s="18" t="s">
        <v>830</v>
      </c>
      <c r="H185" s="18" t="s">
        <v>832</v>
      </c>
      <c r="I185" s="24">
        <v>8.5648524244E10</v>
      </c>
      <c r="J185" s="18" t="s">
        <v>829</v>
      </c>
      <c r="K185" s="18"/>
      <c r="L185" s="18" t="s">
        <v>1446</v>
      </c>
    </row>
    <row r="186">
      <c r="A186" s="18" t="s">
        <v>978</v>
      </c>
      <c r="B186" s="18" t="s">
        <v>23</v>
      </c>
      <c r="C186" s="18" t="s">
        <v>839</v>
      </c>
      <c r="D186" s="18"/>
      <c r="E186" s="24">
        <v>8.124918253E9</v>
      </c>
      <c r="F186" s="24">
        <v>1.0</v>
      </c>
      <c r="G186" s="18" t="s">
        <v>839</v>
      </c>
      <c r="H186" s="18"/>
      <c r="I186" s="24">
        <v>8.124918253E9</v>
      </c>
      <c r="J186" s="18" t="s">
        <v>982</v>
      </c>
      <c r="K186" s="18"/>
      <c r="L186" s="18" t="s">
        <v>984</v>
      </c>
    </row>
    <row r="187">
      <c r="A187" s="18" t="s">
        <v>1003</v>
      </c>
      <c r="B187" s="18" t="s">
        <v>23</v>
      </c>
      <c r="C187" s="18" t="s">
        <v>1004</v>
      </c>
      <c r="D187" s="18" t="s">
        <v>848</v>
      </c>
      <c r="E187" s="24">
        <v>8.5814137165E10</v>
      </c>
      <c r="F187" s="24">
        <v>1.0</v>
      </c>
      <c r="G187" s="18" t="s">
        <v>1004</v>
      </c>
      <c r="H187" s="18" t="s">
        <v>848</v>
      </c>
      <c r="I187" s="24">
        <v>8.5814137165E10</v>
      </c>
      <c r="J187" s="18" t="s">
        <v>845</v>
      </c>
      <c r="K187" s="18"/>
      <c r="L187" s="18" t="s">
        <v>84</v>
      </c>
    </row>
    <row r="188">
      <c r="A188" s="18" t="s">
        <v>985</v>
      </c>
      <c r="B188" s="18" t="s">
        <v>23</v>
      </c>
      <c r="C188" s="18" t="s">
        <v>986</v>
      </c>
      <c r="D188" s="18"/>
      <c r="E188" s="24">
        <v>8.1234381838E10</v>
      </c>
      <c r="F188" s="24">
        <v>1.0</v>
      </c>
      <c r="G188" s="18" t="s">
        <v>986</v>
      </c>
      <c r="H188" s="18"/>
      <c r="I188" s="24">
        <v>8.1234381838E10</v>
      </c>
      <c r="J188" s="18" t="s">
        <v>988</v>
      </c>
      <c r="K188" s="18"/>
      <c r="L188" s="18"/>
    </row>
    <row r="189">
      <c r="A189" s="18" t="s">
        <v>1447</v>
      </c>
      <c r="B189" s="18" t="s">
        <v>23</v>
      </c>
      <c r="C189" s="18" t="s">
        <v>852</v>
      </c>
      <c r="D189" s="18" t="s">
        <v>853</v>
      </c>
      <c r="E189" s="24">
        <v>8.5235744779E10</v>
      </c>
      <c r="F189" s="24">
        <v>1.0</v>
      </c>
      <c r="G189" s="18" t="s">
        <v>852</v>
      </c>
      <c r="H189" s="18" t="s">
        <v>853</v>
      </c>
      <c r="I189" s="24">
        <v>8.5235744779E10</v>
      </c>
      <c r="J189" s="18" t="s">
        <v>851</v>
      </c>
      <c r="K189" s="18"/>
      <c r="L189" s="18" t="s">
        <v>1448</v>
      </c>
    </row>
    <row r="190">
      <c r="A190" s="18" t="s">
        <v>989</v>
      </c>
      <c r="B190" s="18" t="s">
        <v>23</v>
      </c>
      <c r="C190" s="18" t="s">
        <v>861</v>
      </c>
      <c r="D190" s="18"/>
      <c r="E190" s="24">
        <v>8.1359860945E10</v>
      </c>
      <c r="F190" s="24">
        <v>1.0</v>
      </c>
      <c r="G190" s="18" t="s">
        <v>861</v>
      </c>
      <c r="H190" s="18"/>
      <c r="I190" s="24">
        <v>8.1359860945E10</v>
      </c>
      <c r="J190" s="18" t="s">
        <v>991</v>
      </c>
      <c r="K190" s="18"/>
      <c r="L190" s="18"/>
    </row>
    <row r="191">
      <c r="A191" s="18" t="s">
        <v>993</v>
      </c>
      <c r="B191" s="18" t="s">
        <v>23</v>
      </c>
      <c r="C191" s="18" t="s">
        <v>869</v>
      </c>
      <c r="D191" s="18"/>
      <c r="E191" s="24">
        <v>8.1578188341E10</v>
      </c>
      <c r="F191" s="24">
        <v>1.0</v>
      </c>
      <c r="G191" s="18" t="s">
        <v>869</v>
      </c>
      <c r="H191" s="18"/>
      <c r="I191" s="24">
        <v>8.1578188341E10</v>
      </c>
      <c r="J191" s="18" t="s">
        <v>998</v>
      </c>
      <c r="K191" s="18"/>
      <c r="L191" s="18" t="s">
        <v>1000</v>
      </c>
    </row>
    <row r="192">
      <c r="A192" s="18" t="s">
        <v>1001</v>
      </c>
      <c r="B192" s="18" t="s">
        <v>23</v>
      </c>
      <c r="C192" s="18" t="s">
        <v>876</v>
      </c>
      <c r="D192" s="18"/>
      <c r="E192" s="24">
        <v>8.2334512595E10</v>
      </c>
      <c r="F192" s="24">
        <v>1.0</v>
      </c>
      <c r="G192" s="18" t="s">
        <v>876</v>
      </c>
      <c r="H192" s="18"/>
      <c r="I192" s="24">
        <v>8.2334512595E10</v>
      </c>
      <c r="J192" s="18" t="s">
        <v>875</v>
      </c>
      <c r="K192" s="18"/>
      <c r="L192" s="18"/>
    </row>
    <row r="193">
      <c r="A193" s="18" t="s">
        <v>661</v>
      </c>
      <c r="B193" s="18" t="s">
        <v>23</v>
      </c>
      <c r="C193" s="18" t="s">
        <v>630</v>
      </c>
      <c r="D193" s="18"/>
      <c r="E193" s="24">
        <v>8.2143422489E10</v>
      </c>
      <c r="F193" s="24">
        <v>1.0</v>
      </c>
      <c r="G193" s="18" t="s">
        <v>630</v>
      </c>
      <c r="H193" s="18"/>
      <c r="I193" s="24">
        <v>8.2143422489E10</v>
      </c>
      <c r="J193" s="18" t="s">
        <v>664</v>
      </c>
      <c r="K193" s="18"/>
      <c r="L193" s="18" t="s">
        <v>672</v>
      </c>
    </row>
    <row r="194">
      <c r="A194" s="18" t="s">
        <v>1451</v>
      </c>
      <c r="B194" s="18" t="s">
        <v>23</v>
      </c>
      <c r="C194" s="18" t="s">
        <v>888</v>
      </c>
      <c r="D194" s="18" t="s">
        <v>889</v>
      </c>
      <c r="E194" s="24">
        <v>8.155039276E9</v>
      </c>
      <c r="F194" s="24">
        <v>1.0</v>
      </c>
      <c r="G194" s="18" t="s">
        <v>888</v>
      </c>
      <c r="H194" s="18" t="s">
        <v>889</v>
      </c>
      <c r="I194" s="24">
        <v>8.155039276E9</v>
      </c>
      <c r="J194" s="18" t="s">
        <v>887</v>
      </c>
      <c r="K194" s="18"/>
      <c r="L194" s="18" t="s">
        <v>1452</v>
      </c>
    </row>
    <row r="195">
      <c r="A195" s="18" t="s">
        <v>1453</v>
      </c>
      <c r="B195" s="18" t="s">
        <v>23</v>
      </c>
      <c r="C195" s="18" t="s">
        <v>897</v>
      </c>
      <c r="D195" s="18" t="s">
        <v>899</v>
      </c>
      <c r="E195" s="24">
        <v>8.2229184007E10</v>
      </c>
      <c r="F195" s="24">
        <v>1.0</v>
      </c>
      <c r="G195" s="18" t="s">
        <v>897</v>
      </c>
      <c r="H195" s="18" t="s">
        <v>899</v>
      </c>
      <c r="I195" s="24">
        <v>8.2229184007E10</v>
      </c>
      <c r="J195" s="18" t="s">
        <v>893</v>
      </c>
      <c r="K195" s="18"/>
      <c r="L195" s="18" t="s">
        <v>1454</v>
      </c>
    </row>
    <row r="196">
      <c r="A196" s="18" t="s">
        <v>1007</v>
      </c>
      <c r="B196" s="18" t="s">
        <v>23</v>
      </c>
      <c r="C196" s="18" t="s">
        <v>903</v>
      </c>
      <c r="D196" s="18"/>
      <c r="E196" s="24">
        <v>8.2336420388E10</v>
      </c>
      <c r="F196" s="24">
        <v>1.0</v>
      </c>
      <c r="G196" s="18" t="s">
        <v>903</v>
      </c>
      <c r="H196" s="18"/>
      <c r="I196" s="24">
        <v>8.2336420388E10</v>
      </c>
      <c r="J196" s="18" t="s">
        <v>1012</v>
      </c>
      <c r="K196" s="18"/>
      <c r="L196" s="18" t="s">
        <v>1014</v>
      </c>
    </row>
    <row r="197">
      <c r="A197" s="18" t="s">
        <v>717</v>
      </c>
      <c r="B197" s="18" t="s">
        <v>23</v>
      </c>
      <c r="C197" s="18" t="s">
        <v>680</v>
      </c>
      <c r="D197" s="18"/>
      <c r="E197" s="24">
        <v>8.5649377468E10</v>
      </c>
      <c r="F197" s="24">
        <v>1.0</v>
      </c>
      <c r="G197" s="18" t="s">
        <v>680</v>
      </c>
      <c r="H197" s="18"/>
      <c r="I197" s="24">
        <v>8.5649377468E10</v>
      </c>
      <c r="J197" s="18" t="s">
        <v>720</v>
      </c>
      <c r="K197" s="18"/>
      <c r="L197" s="18"/>
    </row>
    <row r="198">
      <c r="A198" s="18" t="s">
        <v>1455</v>
      </c>
      <c r="B198" s="18" t="s">
        <v>23</v>
      </c>
      <c r="C198" s="18" t="s">
        <v>938</v>
      </c>
      <c r="D198" s="18" t="s">
        <v>939</v>
      </c>
      <c r="E198" s="24">
        <v>8.5736191771E10</v>
      </c>
      <c r="F198" s="24">
        <v>1.0</v>
      </c>
      <c r="G198" s="18" t="s">
        <v>938</v>
      </c>
      <c r="H198" s="18" t="s">
        <v>939</v>
      </c>
      <c r="I198" s="24">
        <v>8.5736191771E10</v>
      </c>
      <c r="J198" s="18" t="s">
        <v>936</v>
      </c>
      <c r="K198" s="18"/>
      <c r="L198" s="18" t="s">
        <v>1406</v>
      </c>
    </row>
    <row r="199">
      <c r="A199" s="18" t="s">
        <v>1124</v>
      </c>
      <c r="B199" s="18" t="s">
        <v>23</v>
      </c>
      <c r="C199" s="18" t="s">
        <v>948</v>
      </c>
      <c r="D199" s="18" t="s">
        <v>954</v>
      </c>
      <c r="E199" s="24">
        <v>8.2244693431E10</v>
      </c>
      <c r="F199" s="24">
        <v>1.0</v>
      </c>
      <c r="G199" s="18" t="s">
        <v>948</v>
      </c>
      <c r="H199" s="18" t="s">
        <v>954</v>
      </c>
      <c r="I199" s="24">
        <v>8.2244693431E10</v>
      </c>
      <c r="J199" s="18" t="s">
        <v>946</v>
      </c>
      <c r="K199" s="18"/>
      <c r="L199" s="18" t="s">
        <v>1125</v>
      </c>
    </row>
    <row r="200">
      <c r="A200" s="18" t="s">
        <v>1023</v>
      </c>
      <c r="B200" s="18" t="s">
        <v>23</v>
      </c>
      <c r="C200" s="18" t="s">
        <v>1024</v>
      </c>
      <c r="D200" s="18"/>
      <c r="E200" s="24">
        <v>8.145607689E10</v>
      </c>
      <c r="F200" s="24">
        <v>1.0</v>
      </c>
      <c r="G200" s="18" t="s">
        <v>1024</v>
      </c>
      <c r="H200" s="18"/>
      <c r="I200" s="24">
        <v>8.145607689E10</v>
      </c>
      <c r="J200" s="18" t="s">
        <v>1029</v>
      </c>
      <c r="K200" s="18"/>
      <c r="L200" s="18"/>
    </row>
    <row r="201">
      <c r="A201" s="18" t="s">
        <v>1456</v>
      </c>
      <c r="B201" s="18" t="s">
        <v>23</v>
      </c>
      <c r="C201" s="18" t="s">
        <v>960</v>
      </c>
      <c r="D201" s="18" t="s">
        <v>962</v>
      </c>
      <c r="E201" s="24">
        <v>8.5645411453E10</v>
      </c>
      <c r="F201" s="24">
        <v>1.0</v>
      </c>
      <c r="G201" s="18" t="s">
        <v>960</v>
      </c>
      <c r="H201" s="18" t="s">
        <v>962</v>
      </c>
      <c r="I201" s="24">
        <v>8.5645411453E10</v>
      </c>
      <c r="J201" s="18" t="s">
        <v>958</v>
      </c>
      <c r="K201" s="18"/>
      <c r="L201" s="18" t="s">
        <v>1457</v>
      </c>
    </row>
    <row r="202">
      <c r="A202" s="18" t="s">
        <v>1458</v>
      </c>
      <c r="B202" s="18" t="s">
        <v>1459</v>
      </c>
      <c r="C202" s="18" t="s">
        <v>1460</v>
      </c>
      <c r="D202" s="18" t="s">
        <v>1461</v>
      </c>
      <c r="E202" s="24">
        <v>8.1236554778E10</v>
      </c>
      <c r="F202" s="24">
        <v>1.0</v>
      </c>
      <c r="G202" s="18" t="s">
        <v>1460</v>
      </c>
      <c r="H202" s="18" t="s">
        <v>1461</v>
      </c>
      <c r="I202" s="24">
        <v>8.1236554778E10</v>
      </c>
      <c r="J202" s="24">
        <v>2.1123323356656E13</v>
      </c>
      <c r="K202" s="18"/>
      <c r="L202" s="18" t="s">
        <v>1462</v>
      </c>
    </row>
    <row r="203">
      <c r="A203" s="18" t="s">
        <v>1463</v>
      </c>
      <c r="B203" s="18" t="s">
        <v>791</v>
      </c>
      <c r="C203" s="18" t="s">
        <v>1464</v>
      </c>
      <c r="D203" s="18"/>
      <c r="E203" s="24">
        <v>8.1217006728E10</v>
      </c>
      <c r="F203" s="24">
        <v>1.0</v>
      </c>
      <c r="G203" s="18" t="s">
        <v>1464</v>
      </c>
      <c r="H203" s="18"/>
      <c r="I203" s="24">
        <v>8.1217006728E10</v>
      </c>
      <c r="J203" s="18" t="s">
        <v>1465</v>
      </c>
      <c r="K203" s="18"/>
      <c r="L203" s="18" t="s">
        <v>1466</v>
      </c>
    </row>
    <row r="204">
      <c r="A204" s="18" t="s">
        <v>1467</v>
      </c>
      <c r="B204" s="18" t="s">
        <v>791</v>
      </c>
      <c r="C204" s="18" t="s">
        <v>1468</v>
      </c>
      <c r="D204" s="18"/>
      <c r="E204" s="24">
        <v>1.0</v>
      </c>
      <c r="F204" s="24">
        <v>1.0</v>
      </c>
      <c r="G204" s="18" t="s">
        <v>1468</v>
      </c>
      <c r="H204" s="18"/>
      <c r="I204" s="24">
        <v>1.0</v>
      </c>
      <c r="J204" s="18" t="s">
        <v>1469</v>
      </c>
      <c r="K204" s="18"/>
      <c r="L204" s="18" t="s">
        <v>1470</v>
      </c>
    </row>
    <row r="205">
      <c r="A205" s="18" t="s">
        <v>1126</v>
      </c>
      <c r="B205" s="18" t="s">
        <v>791</v>
      </c>
      <c r="C205" s="18" t="s">
        <v>1127</v>
      </c>
      <c r="D205" s="18" t="s">
        <v>1122</v>
      </c>
      <c r="E205" s="24">
        <v>8.2142538557E10</v>
      </c>
      <c r="F205" s="24">
        <v>0.0</v>
      </c>
      <c r="G205" s="18"/>
      <c r="H205" s="18"/>
      <c r="I205" s="18"/>
      <c r="J205" s="18"/>
      <c r="K205" s="18"/>
      <c r="L205" s="18"/>
    </row>
    <row r="206">
      <c r="A206" s="18" t="s">
        <v>1128</v>
      </c>
      <c r="B206" s="18" t="s">
        <v>791</v>
      </c>
      <c r="C206" s="18" t="s">
        <v>1127</v>
      </c>
      <c r="D206" s="18" t="s">
        <v>1122</v>
      </c>
      <c r="E206" s="24">
        <v>8.2142538557E10</v>
      </c>
      <c r="F206" s="24">
        <v>0.0</v>
      </c>
      <c r="G206" s="18"/>
      <c r="H206" s="18"/>
      <c r="I206" s="18"/>
      <c r="J206" s="18"/>
      <c r="K206" s="18"/>
      <c r="L206" s="18"/>
    </row>
    <row r="207">
      <c r="A207" s="18" t="s">
        <v>1129</v>
      </c>
      <c r="B207" s="18" t="s">
        <v>791</v>
      </c>
      <c r="C207" s="18" t="s">
        <v>1127</v>
      </c>
      <c r="D207" s="18" t="s">
        <v>1122</v>
      </c>
      <c r="E207" s="24">
        <v>8.2142538557E10</v>
      </c>
      <c r="F207" s="24">
        <v>0.0</v>
      </c>
      <c r="G207" s="18"/>
      <c r="H207" s="18"/>
      <c r="I207" s="18"/>
      <c r="J207" s="18"/>
      <c r="K207" s="18"/>
      <c r="L207" s="18"/>
    </row>
    <row r="208">
      <c r="A208" s="18" t="s">
        <v>1471</v>
      </c>
      <c r="B208" s="18" t="s">
        <v>791</v>
      </c>
      <c r="C208" s="18" t="s">
        <v>1472</v>
      </c>
      <c r="D208" s="18"/>
      <c r="E208" s="24">
        <v>1.0</v>
      </c>
      <c r="F208" s="24">
        <v>1.0</v>
      </c>
      <c r="G208" s="18" t="s">
        <v>1472</v>
      </c>
      <c r="H208" s="18"/>
      <c r="I208" s="24">
        <v>1.0</v>
      </c>
      <c r="J208" s="18" t="s">
        <v>1473</v>
      </c>
      <c r="K208" s="18"/>
      <c r="L208" s="18" t="s">
        <v>1474</v>
      </c>
    </row>
    <row r="209">
      <c r="A209" s="18" t="s">
        <v>1475</v>
      </c>
      <c r="B209" s="18" t="s">
        <v>791</v>
      </c>
      <c r="C209" s="18" t="s">
        <v>1476</v>
      </c>
      <c r="D209" s="18"/>
      <c r="E209" s="24">
        <v>8.223018766E10</v>
      </c>
      <c r="F209" s="24">
        <v>1.0</v>
      </c>
      <c r="G209" s="18" t="s">
        <v>1476</v>
      </c>
      <c r="H209" s="18"/>
      <c r="I209" s="24">
        <v>8.223018766E10</v>
      </c>
      <c r="J209" s="18" t="s">
        <v>1477</v>
      </c>
      <c r="K209" s="18"/>
      <c r="L209" s="18" t="s">
        <v>1478</v>
      </c>
    </row>
    <row r="210">
      <c r="A210" s="18" t="s">
        <v>1479</v>
      </c>
      <c r="B210" s="18" t="s">
        <v>791</v>
      </c>
      <c r="C210" s="18" t="s">
        <v>1480</v>
      </c>
      <c r="D210" s="18"/>
      <c r="E210" s="24">
        <v>8.5655388475E10</v>
      </c>
      <c r="F210" s="24">
        <v>1.0</v>
      </c>
      <c r="G210" s="18" t="s">
        <v>1480</v>
      </c>
      <c r="H210" s="18"/>
      <c r="I210" s="24">
        <v>8.5655388475E10</v>
      </c>
      <c r="J210" s="18" t="s">
        <v>1481</v>
      </c>
      <c r="K210" s="18"/>
      <c r="L210" s="18" t="s">
        <v>1482</v>
      </c>
    </row>
    <row r="211">
      <c r="A211" s="18" t="s">
        <v>1483</v>
      </c>
      <c r="B211" s="18" t="s">
        <v>791</v>
      </c>
      <c r="C211" s="18" t="s">
        <v>1484</v>
      </c>
      <c r="D211" s="18"/>
      <c r="E211" s="24">
        <v>8.5853639904E10</v>
      </c>
      <c r="F211" s="24">
        <v>1.0</v>
      </c>
      <c r="G211" s="18" t="s">
        <v>1484</v>
      </c>
      <c r="H211" s="18"/>
      <c r="I211" s="24">
        <v>8.5853639904E10</v>
      </c>
      <c r="J211" s="24">
        <v>3.52103101284002E14</v>
      </c>
      <c r="K211" s="18"/>
      <c r="L211" s="18" t="s">
        <v>1485</v>
      </c>
    </row>
    <row r="212">
      <c r="A212" s="18" t="s">
        <v>1486</v>
      </c>
      <c r="B212" s="18" t="s">
        <v>791</v>
      </c>
      <c r="C212" s="18" t="s">
        <v>1487</v>
      </c>
      <c r="D212" s="18"/>
      <c r="E212" s="24">
        <v>1.0</v>
      </c>
      <c r="F212" s="24">
        <v>1.0</v>
      </c>
      <c r="G212" s="18" t="s">
        <v>1487</v>
      </c>
      <c r="H212" s="18"/>
      <c r="I212" s="24">
        <v>1.0</v>
      </c>
      <c r="J212" s="18" t="s">
        <v>1488</v>
      </c>
      <c r="K212" s="18"/>
      <c r="L212" s="18" t="s">
        <v>1489</v>
      </c>
    </row>
    <row r="213">
      <c r="A213" s="18" t="s">
        <v>1490</v>
      </c>
      <c r="B213" s="18" t="s">
        <v>791</v>
      </c>
      <c r="C213" s="18" t="s">
        <v>1491</v>
      </c>
      <c r="D213" s="18"/>
      <c r="E213" s="24">
        <v>8.5259451325E10</v>
      </c>
      <c r="F213" s="24">
        <v>1.0</v>
      </c>
      <c r="G213" s="18" t="s">
        <v>1491</v>
      </c>
      <c r="H213" s="18"/>
      <c r="I213" s="24">
        <v>8.5259451325E10</v>
      </c>
      <c r="J213" s="18" t="s">
        <v>1492</v>
      </c>
      <c r="K213" s="18"/>
      <c r="L213" s="18" t="s">
        <v>1493</v>
      </c>
    </row>
    <row r="214">
      <c r="A214" s="18" t="s">
        <v>1494</v>
      </c>
      <c r="B214" s="18" t="s">
        <v>791</v>
      </c>
      <c r="C214" s="18" t="s">
        <v>1495</v>
      </c>
      <c r="D214" s="18"/>
      <c r="E214" s="18"/>
      <c r="F214" s="24">
        <v>1.0</v>
      </c>
      <c r="G214" s="18" t="s">
        <v>1495</v>
      </c>
      <c r="H214" s="18"/>
      <c r="I214" s="18"/>
      <c r="J214" s="18" t="s">
        <v>1496</v>
      </c>
      <c r="K214" s="18"/>
      <c r="L214" s="18"/>
    </row>
    <row r="215">
      <c r="A215" s="18" t="s">
        <v>1497</v>
      </c>
      <c r="B215" s="18" t="s">
        <v>791</v>
      </c>
      <c r="C215" s="18" t="s">
        <v>1498</v>
      </c>
      <c r="D215" s="18"/>
      <c r="E215" s="24">
        <v>1.0</v>
      </c>
      <c r="F215" s="24">
        <v>1.0</v>
      </c>
      <c r="G215" s="18" t="s">
        <v>1498</v>
      </c>
      <c r="H215" s="18"/>
      <c r="I215" s="24">
        <v>1.0</v>
      </c>
      <c r="J215" s="18" t="s">
        <v>1499</v>
      </c>
      <c r="K215" s="18"/>
      <c r="L215" s="18" t="s">
        <v>84</v>
      </c>
    </row>
    <row r="216">
      <c r="A216" s="18" t="s">
        <v>1500</v>
      </c>
      <c r="B216" s="18" t="s">
        <v>791</v>
      </c>
      <c r="C216" s="18" t="s">
        <v>1501</v>
      </c>
      <c r="D216" s="18"/>
      <c r="E216" s="24">
        <v>1.0</v>
      </c>
      <c r="F216" s="24">
        <v>1.0</v>
      </c>
      <c r="G216" s="18" t="s">
        <v>1501</v>
      </c>
      <c r="H216" s="18"/>
      <c r="I216" s="24">
        <v>1.0</v>
      </c>
      <c r="J216" s="18" t="s">
        <v>1502</v>
      </c>
      <c r="K216" s="18"/>
      <c r="L216" s="18" t="s">
        <v>1503</v>
      </c>
    </row>
    <row r="217">
      <c r="A217" s="18" t="s">
        <v>1504</v>
      </c>
      <c r="B217" s="18" t="s">
        <v>791</v>
      </c>
      <c r="C217" s="18" t="s">
        <v>1505</v>
      </c>
      <c r="D217" s="18"/>
      <c r="E217" s="24">
        <v>8.2142973516E10</v>
      </c>
      <c r="F217" s="24">
        <v>1.0</v>
      </c>
      <c r="G217" s="18" t="s">
        <v>1505</v>
      </c>
      <c r="H217" s="18"/>
      <c r="I217" s="24">
        <v>8.2142973516E10</v>
      </c>
      <c r="J217" s="18" t="s">
        <v>1506</v>
      </c>
      <c r="K217" s="18"/>
      <c r="L217" s="18" t="s">
        <v>1507</v>
      </c>
    </row>
    <row r="218">
      <c r="A218" s="18" t="s">
        <v>1508</v>
      </c>
      <c r="B218" s="18" t="s">
        <v>791</v>
      </c>
      <c r="C218" s="18" t="s">
        <v>1509</v>
      </c>
      <c r="D218" s="18"/>
      <c r="E218" s="24">
        <v>8.5235630305E10</v>
      </c>
      <c r="F218" s="24">
        <v>1.0</v>
      </c>
      <c r="G218" s="18" t="s">
        <v>1509</v>
      </c>
      <c r="H218" s="18"/>
      <c r="I218" s="24">
        <v>8.5235630305E10</v>
      </c>
      <c r="J218" s="18" t="s">
        <v>1510</v>
      </c>
      <c r="K218" s="18"/>
      <c r="L218" s="18" t="s">
        <v>1511</v>
      </c>
    </row>
    <row r="219">
      <c r="A219" s="18" t="s">
        <v>1512</v>
      </c>
      <c r="B219" s="18" t="s">
        <v>791</v>
      </c>
      <c r="C219" s="18" t="s">
        <v>1513</v>
      </c>
      <c r="D219" s="18"/>
      <c r="E219" s="24">
        <v>0.0</v>
      </c>
      <c r="F219" s="24">
        <v>1.0</v>
      </c>
      <c r="G219" s="18" t="s">
        <v>1513</v>
      </c>
      <c r="H219" s="18"/>
      <c r="I219" s="24">
        <v>0.0</v>
      </c>
      <c r="J219" s="18" t="s">
        <v>1514</v>
      </c>
      <c r="K219" s="18"/>
      <c r="L219" s="18" t="s">
        <v>1515</v>
      </c>
    </row>
    <row r="220">
      <c r="A220" s="18" t="s">
        <v>1516</v>
      </c>
      <c r="B220" s="18" t="s">
        <v>791</v>
      </c>
      <c r="C220" s="18" t="s">
        <v>1517</v>
      </c>
      <c r="D220" s="18"/>
      <c r="E220" s="24">
        <v>8.5103373232E10</v>
      </c>
      <c r="F220" s="24">
        <v>1.0</v>
      </c>
      <c r="G220" s="18" t="s">
        <v>1517</v>
      </c>
      <c r="H220" s="18"/>
      <c r="I220" s="24">
        <v>8.5103373232E10</v>
      </c>
      <c r="J220" s="18" t="s">
        <v>1518</v>
      </c>
      <c r="K220" s="18"/>
      <c r="L220" s="18" t="s">
        <v>1519</v>
      </c>
    </row>
    <row r="221">
      <c r="A221" s="18" t="s">
        <v>1520</v>
      </c>
      <c r="B221" s="18" t="s">
        <v>791</v>
      </c>
      <c r="C221" s="18" t="s">
        <v>1521</v>
      </c>
      <c r="D221" s="18"/>
      <c r="E221" s="24">
        <v>8.5649098067E10</v>
      </c>
      <c r="F221" s="24">
        <v>1.0</v>
      </c>
      <c r="G221" s="18" t="s">
        <v>1521</v>
      </c>
      <c r="H221" s="18"/>
      <c r="I221" s="24">
        <v>8.5649098067E10</v>
      </c>
      <c r="J221" s="18" t="s">
        <v>1522</v>
      </c>
      <c r="K221" s="18"/>
      <c r="L221" s="18" t="s">
        <v>1523</v>
      </c>
    </row>
    <row r="222">
      <c r="A222" s="18" t="s">
        <v>1524</v>
      </c>
      <c r="B222" s="18" t="s">
        <v>791</v>
      </c>
      <c r="C222" s="18" t="s">
        <v>1525</v>
      </c>
      <c r="D222" s="18"/>
      <c r="E222" s="24">
        <v>8.2141872198E10</v>
      </c>
      <c r="F222" s="24">
        <v>1.0</v>
      </c>
      <c r="G222" s="18" t="s">
        <v>1525</v>
      </c>
      <c r="H222" s="18"/>
      <c r="I222" s="24">
        <v>8.2141872198E10</v>
      </c>
      <c r="J222" s="18" t="s">
        <v>1526</v>
      </c>
      <c r="K222" s="18"/>
      <c r="L222" s="18" t="s">
        <v>1527</v>
      </c>
    </row>
    <row r="223">
      <c r="A223" s="18" t="s">
        <v>1528</v>
      </c>
      <c r="B223" s="18" t="s">
        <v>791</v>
      </c>
      <c r="C223" s="18" t="s">
        <v>1529</v>
      </c>
      <c r="D223" s="18"/>
      <c r="E223" s="24">
        <v>8.5735602442E10</v>
      </c>
      <c r="F223" s="24">
        <v>1.0</v>
      </c>
      <c r="G223" s="18" t="s">
        <v>1529</v>
      </c>
      <c r="H223" s="18"/>
      <c r="I223" s="24">
        <v>8.5735602442E10</v>
      </c>
      <c r="J223" s="18" t="s">
        <v>1530</v>
      </c>
      <c r="K223" s="18"/>
      <c r="L223" s="18" t="s">
        <v>1531</v>
      </c>
    </row>
    <row r="224">
      <c r="A224" s="18" t="s">
        <v>1532</v>
      </c>
      <c r="B224" s="18" t="s">
        <v>791</v>
      </c>
      <c r="C224" s="18" t="s">
        <v>1533</v>
      </c>
      <c r="D224" s="18"/>
      <c r="E224" s="24">
        <v>8.2140637531E10</v>
      </c>
      <c r="F224" s="24">
        <v>1.0</v>
      </c>
      <c r="G224" s="18" t="s">
        <v>1533</v>
      </c>
      <c r="H224" s="18"/>
      <c r="I224" s="24">
        <v>8.2140637531E10</v>
      </c>
      <c r="J224" s="18" t="s">
        <v>1534</v>
      </c>
      <c r="K224" s="18"/>
      <c r="L224" s="18" t="s">
        <v>1535</v>
      </c>
    </row>
    <row r="225">
      <c r="A225" s="18" t="s">
        <v>1536</v>
      </c>
      <c r="B225" s="18" t="s">
        <v>791</v>
      </c>
      <c r="C225" s="18" t="s">
        <v>1537</v>
      </c>
      <c r="D225" s="18"/>
      <c r="E225" s="24">
        <v>8.5654128073E10</v>
      </c>
      <c r="F225" s="24">
        <v>1.0</v>
      </c>
      <c r="G225" s="18" t="s">
        <v>1537</v>
      </c>
      <c r="H225" s="18"/>
      <c r="I225" s="24">
        <v>8.5654128073E10</v>
      </c>
      <c r="J225" s="18" t="s">
        <v>1538</v>
      </c>
      <c r="K225" s="18"/>
      <c r="L225" s="18" t="s">
        <v>1539</v>
      </c>
    </row>
    <row r="226">
      <c r="A226" s="18" t="s">
        <v>1540</v>
      </c>
      <c r="B226" s="18" t="s">
        <v>791</v>
      </c>
      <c r="C226" s="18" t="s">
        <v>1541</v>
      </c>
      <c r="D226" s="18"/>
      <c r="E226" s="24">
        <v>8.5236354217E10</v>
      </c>
      <c r="F226" s="24">
        <v>1.0</v>
      </c>
      <c r="G226" s="18" t="s">
        <v>1541</v>
      </c>
      <c r="H226" s="18"/>
      <c r="I226" s="24">
        <v>8.5236354217E10</v>
      </c>
      <c r="J226" s="18" t="s">
        <v>1542</v>
      </c>
      <c r="K226" s="18"/>
      <c r="L226" s="18" t="s">
        <v>1543</v>
      </c>
    </row>
    <row r="227">
      <c r="A227" s="18" t="s">
        <v>1544</v>
      </c>
      <c r="B227" s="18" t="s">
        <v>791</v>
      </c>
      <c r="C227" s="18" t="s">
        <v>1541</v>
      </c>
      <c r="D227" s="18"/>
      <c r="E227" s="24">
        <v>1.0</v>
      </c>
      <c r="F227" s="24">
        <v>1.0</v>
      </c>
      <c r="G227" s="18" t="s">
        <v>1541</v>
      </c>
      <c r="H227" s="18"/>
      <c r="I227" s="24">
        <v>1.0</v>
      </c>
      <c r="J227" s="18" t="s">
        <v>1545</v>
      </c>
      <c r="K227" s="18"/>
      <c r="L227" s="18" t="s">
        <v>1546</v>
      </c>
    </row>
    <row r="228">
      <c r="A228" s="18" t="s">
        <v>1547</v>
      </c>
      <c r="B228" s="18" t="s">
        <v>791</v>
      </c>
      <c r="C228" s="18" t="s">
        <v>1537</v>
      </c>
      <c r="D228" s="18"/>
      <c r="E228" s="24">
        <v>8.5708015999E10</v>
      </c>
      <c r="F228" s="24">
        <v>1.0</v>
      </c>
      <c r="G228" s="18" t="s">
        <v>1537</v>
      </c>
      <c r="H228" s="18"/>
      <c r="I228" s="24">
        <v>8.5708015999E10</v>
      </c>
      <c r="J228" s="18" t="s">
        <v>1548</v>
      </c>
      <c r="K228" s="18"/>
      <c r="L228" s="18" t="s">
        <v>1549</v>
      </c>
    </row>
    <row r="229">
      <c r="A229" s="18" t="s">
        <v>1550</v>
      </c>
      <c r="B229" s="18" t="s">
        <v>791</v>
      </c>
      <c r="C229" s="18" t="s">
        <v>1551</v>
      </c>
      <c r="D229" s="18"/>
      <c r="E229" s="24">
        <v>8.5748432062E10</v>
      </c>
      <c r="F229" s="24">
        <v>1.0</v>
      </c>
      <c r="G229" s="18" t="s">
        <v>1551</v>
      </c>
      <c r="H229" s="18"/>
      <c r="I229" s="24">
        <v>8.5748432062E10</v>
      </c>
      <c r="J229" s="18" t="s">
        <v>1552</v>
      </c>
      <c r="K229" s="18"/>
      <c r="L229" s="18" t="s">
        <v>1553</v>
      </c>
    </row>
    <row r="230">
      <c r="A230" s="18" t="s">
        <v>1554</v>
      </c>
      <c r="B230" s="18" t="s">
        <v>791</v>
      </c>
      <c r="C230" s="18" t="s">
        <v>1555</v>
      </c>
      <c r="D230" s="18"/>
      <c r="E230" s="24">
        <v>8.5235630305E10</v>
      </c>
      <c r="F230" s="24">
        <v>1.0</v>
      </c>
      <c r="G230" s="18" t="s">
        <v>1555</v>
      </c>
      <c r="H230" s="18"/>
      <c r="I230" s="24">
        <v>8.5235630305E10</v>
      </c>
      <c r="J230" s="18" t="s">
        <v>1556</v>
      </c>
      <c r="K230" s="18"/>
      <c r="L230" s="18" t="s">
        <v>1511</v>
      </c>
    </row>
    <row r="231">
      <c r="A231" s="18" t="s">
        <v>1557</v>
      </c>
      <c r="B231" s="18" t="s">
        <v>791</v>
      </c>
      <c r="C231" s="18" t="s">
        <v>1558</v>
      </c>
      <c r="D231" s="18"/>
      <c r="E231" s="24">
        <v>8.233279389E10</v>
      </c>
      <c r="F231" s="24">
        <v>1.0</v>
      </c>
      <c r="G231" s="18" t="s">
        <v>1558</v>
      </c>
      <c r="H231" s="18"/>
      <c r="I231" s="24">
        <v>8.233279389E10</v>
      </c>
      <c r="J231" s="18" t="s">
        <v>1559</v>
      </c>
      <c r="K231" s="18"/>
      <c r="L231" s="18" t="s">
        <v>1560</v>
      </c>
    </row>
    <row r="232">
      <c r="A232" s="18" t="s">
        <v>1561</v>
      </c>
      <c r="B232" s="18" t="s">
        <v>791</v>
      </c>
      <c r="C232" s="18" t="s">
        <v>1562</v>
      </c>
      <c r="D232" s="18"/>
      <c r="E232" s="24">
        <v>8.233279389E10</v>
      </c>
      <c r="F232" s="24">
        <v>1.0</v>
      </c>
      <c r="G232" s="18" t="s">
        <v>1562</v>
      </c>
      <c r="H232" s="18"/>
      <c r="I232" s="24">
        <v>8.233279389E10</v>
      </c>
      <c r="J232" s="18" t="s">
        <v>1563</v>
      </c>
      <c r="K232" s="18"/>
      <c r="L232" s="18" t="s">
        <v>1560</v>
      </c>
    </row>
    <row r="233">
      <c r="A233" s="18" t="s">
        <v>1564</v>
      </c>
      <c r="B233" s="18" t="s">
        <v>791</v>
      </c>
      <c r="C233" s="18" t="s">
        <v>1565</v>
      </c>
      <c r="D233" s="18"/>
      <c r="E233" s="24">
        <v>1.0</v>
      </c>
      <c r="F233" s="24">
        <v>1.0</v>
      </c>
      <c r="G233" s="18" t="s">
        <v>1565</v>
      </c>
      <c r="H233" s="18"/>
      <c r="I233" s="24">
        <v>1.0</v>
      </c>
      <c r="J233" s="18" t="s">
        <v>1566</v>
      </c>
      <c r="K233" s="18"/>
      <c r="L233" s="18" t="s">
        <v>1489</v>
      </c>
    </row>
    <row r="234">
      <c r="A234" s="18" t="s">
        <v>1567</v>
      </c>
      <c r="B234" s="18" t="s">
        <v>791</v>
      </c>
      <c r="C234" s="18" t="s">
        <v>1568</v>
      </c>
      <c r="D234" s="18"/>
      <c r="E234" s="24">
        <v>1.0</v>
      </c>
      <c r="F234" s="24">
        <v>1.0</v>
      </c>
      <c r="G234" s="18" t="s">
        <v>1568</v>
      </c>
      <c r="H234" s="18"/>
      <c r="I234" s="24">
        <v>1.0</v>
      </c>
      <c r="J234" s="18" t="s">
        <v>1569</v>
      </c>
      <c r="K234" s="18"/>
      <c r="L234" s="18" t="s">
        <v>1489</v>
      </c>
    </row>
    <row r="235">
      <c r="A235" s="18" t="s">
        <v>1570</v>
      </c>
      <c r="B235" s="18" t="s">
        <v>791</v>
      </c>
      <c r="C235" s="18" t="s">
        <v>1571</v>
      </c>
      <c r="D235" s="18"/>
      <c r="E235" s="24">
        <v>8.1335261669E10</v>
      </c>
      <c r="F235" s="24">
        <v>1.0</v>
      </c>
      <c r="G235" s="18" t="s">
        <v>1571</v>
      </c>
      <c r="H235" s="18"/>
      <c r="I235" s="24">
        <v>8.1335261669E10</v>
      </c>
      <c r="J235" s="18" t="s">
        <v>1572</v>
      </c>
      <c r="K235" s="18"/>
      <c r="L235" s="18" t="s">
        <v>1573</v>
      </c>
    </row>
    <row r="236">
      <c r="A236" s="18" t="s">
        <v>1574</v>
      </c>
      <c r="B236" s="18" t="s">
        <v>791</v>
      </c>
      <c r="C236" s="18" t="s">
        <v>1575</v>
      </c>
      <c r="D236" s="18"/>
      <c r="E236" s="24">
        <v>1.0</v>
      </c>
      <c r="F236" s="24">
        <v>1.0</v>
      </c>
      <c r="G236" s="18" t="s">
        <v>1575</v>
      </c>
      <c r="H236" s="18"/>
      <c r="I236" s="24">
        <v>1.0</v>
      </c>
      <c r="J236" s="18" t="s">
        <v>1576</v>
      </c>
      <c r="K236" s="18"/>
      <c r="L236" s="18" t="s">
        <v>1503</v>
      </c>
    </row>
    <row r="237">
      <c r="A237" s="18" t="s">
        <v>1577</v>
      </c>
      <c r="B237" s="18" t="s">
        <v>791</v>
      </c>
      <c r="C237" s="18" t="s">
        <v>1578</v>
      </c>
      <c r="D237" s="18"/>
      <c r="E237" s="24">
        <v>1.0</v>
      </c>
      <c r="F237" s="24">
        <v>1.0</v>
      </c>
      <c r="G237" s="18" t="s">
        <v>1578</v>
      </c>
      <c r="H237" s="18"/>
      <c r="I237" s="24">
        <v>1.0</v>
      </c>
      <c r="J237" s="18" t="s">
        <v>1580</v>
      </c>
      <c r="K237" s="18"/>
      <c r="L237" s="18" t="s">
        <v>1503</v>
      </c>
    </row>
    <row r="238">
      <c r="A238" s="18" t="s">
        <v>1581</v>
      </c>
      <c r="B238" s="18" t="s">
        <v>791</v>
      </c>
      <c r="C238" s="18" t="s">
        <v>1582</v>
      </c>
      <c r="D238" s="18"/>
      <c r="E238" s="24">
        <v>8.5649098067E10</v>
      </c>
      <c r="F238" s="24">
        <v>1.0</v>
      </c>
      <c r="G238" s="18" t="s">
        <v>1582</v>
      </c>
      <c r="H238" s="18"/>
      <c r="I238" s="24">
        <v>8.5649098067E10</v>
      </c>
      <c r="J238" s="18" t="s">
        <v>1583</v>
      </c>
      <c r="K238" s="18"/>
      <c r="L238" s="18" t="s">
        <v>1523</v>
      </c>
    </row>
    <row r="239">
      <c r="A239" s="18" t="s">
        <v>1584</v>
      </c>
      <c r="B239" s="18" t="s">
        <v>791</v>
      </c>
      <c r="C239" s="18" t="s">
        <v>1585</v>
      </c>
      <c r="D239" s="18"/>
      <c r="E239" s="24">
        <v>8.5708015999E10</v>
      </c>
      <c r="F239" s="24">
        <v>1.0</v>
      </c>
      <c r="G239" s="18" t="s">
        <v>1585</v>
      </c>
      <c r="H239" s="18"/>
      <c r="I239" s="24">
        <v>8.5708015999E10</v>
      </c>
      <c r="J239" s="18" t="s">
        <v>1586</v>
      </c>
      <c r="K239" s="18"/>
      <c r="L239" s="18" t="s">
        <v>1549</v>
      </c>
    </row>
    <row r="240">
      <c r="A240" s="18" t="s">
        <v>1587</v>
      </c>
      <c r="B240" s="18" t="s">
        <v>791</v>
      </c>
      <c r="C240" s="18" t="s">
        <v>1588</v>
      </c>
      <c r="D240" s="18"/>
      <c r="E240" s="24">
        <v>1.0</v>
      </c>
      <c r="F240" s="24">
        <v>1.0</v>
      </c>
      <c r="G240" s="18" t="s">
        <v>1588</v>
      </c>
      <c r="H240" s="18"/>
      <c r="I240" s="24">
        <v>1.0</v>
      </c>
      <c r="J240" s="18" t="s">
        <v>1589</v>
      </c>
      <c r="K240" s="18"/>
      <c r="L240" s="18" t="s">
        <v>84</v>
      </c>
    </row>
    <row r="241">
      <c r="A241" s="18" t="s">
        <v>1590</v>
      </c>
      <c r="B241" s="18" t="s">
        <v>791</v>
      </c>
      <c r="C241" s="18" t="s">
        <v>1591</v>
      </c>
      <c r="D241" s="18"/>
      <c r="E241" s="24">
        <v>0.0</v>
      </c>
      <c r="F241" s="24">
        <v>1.0</v>
      </c>
      <c r="G241" s="18" t="s">
        <v>1591</v>
      </c>
      <c r="H241" s="18"/>
      <c r="I241" s="24">
        <v>0.0</v>
      </c>
      <c r="J241" s="18" t="s">
        <v>1592</v>
      </c>
      <c r="K241" s="18"/>
      <c r="L241" s="18" t="s">
        <v>1515</v>
      </c>
    </row>
    <row r="242">
      <c r="A242" s="18" t="s">
        <v>1593</v>
      </c>
      <c r="B242" s="18" t="s">
        <v>791</v>
      </c>
      <c r="C242" s="18" t="s">
        <v>1594</v>
      </c>
      <c r="D242" s="18"/>
      <c r="E242" s="24">
        <v>8.5235180496E10</v>
      </c>
      <c r="F242" s="24">
        <v>1.0</v>
      </c>
      <c r="G242" s="18" t="s">
        <v>1594</v>
      </c>
      <c r="H242" s="18"/>
      <c r="I242" s="24">
        <v>8.5235180496E10</v>
      </c>
      <c r="J242" s="18" t="s">
        <v>1595</v>
      </c>
      <c r="K242" s="18"/>
      <c r="L242" s="18" t="s">
        <v>1596</v>
      </c>
    </row>
    <row r="243">
      <c r="A243" s="18" t="s">
        <v>1597</v>
      </c>
      <c r="B243" s="18" t="s">
        <v>791</v>
      </c>
      <c r="C243" s="18" t="s">
        <v>1598</v>
      </c>
      <c r="D243" s="18"/>
      <c r="E243" s="24">
        <v>1.0</v>
      </c>
      <c r="F243" s="24">
        <v>1.0</v>
      </c>
      <c r="G243" s="18" t="s">
        <v>1598</v>
      </c>
      <c r="H243" s="18"/>
      <c r="I243" s="24">
        <v>1.0</v>
      </c>
      <c r="J243" s="18" t="s">
        <v>1599</v>
      </c>
      <c r="K243" s="18"/>
      <c r="L243" s="18" t="s">
        <v>1503</v>
      </c>
    </row>
    <row r="244">
      <c r="A244" s="18" t="s">
        <v>1600</v>
      </c>
      <c r="B244" s="18" t="s">
        <v>791</v>
      </c>
      <c r="C244" s="18" t="s">
        <v>1601</v>
      </c>
      <c r="D244" s="18"/>
      <c r="E244" s="24">
        <v>1.0</v>
      </c>
      <c r="F244" s="24">
        <v>1.0</v>
      </c>
      <c r="G244" s="18" t="s">
        <v>1601</v>
      </c>
      <c r="H244" s="18"/>
      <c r="I244" s="24">
        <v>1.0</v>
      </c>
      <c r="J244" s="18" t="s">
        <v>1602</v>
      </c>
      <c r="K244" s="18"/>
      <c r="L244" s="18" t="s">
        <v>84</v>
      </c>
    </row>
    <row r="245">
      <c r="A245" s="18" t="s">
        <v>1603</v>
      </c>
      <c r="B245" s="18" t="s">
        <v>791</v>
      </c>
      <c r="C245" s="18" t="s">
        <v>1604</v>
      </c>
      <c r="D245" s="18"/>
      <c r="E245" s="24">
        <v>0.0</v>
      </c>
      <c r="F245" s="24">
        <v>1.0</v>
      </c>
      <c r="G245" s="18" t="s">
        <v>1604</v>
      </c>
      <c r="H245" s="18"/>
      <c r="I245" s="24">
        <v>0.0</v>
      </c>
      <c r="J245" s="18" t="s">
        <v>1605</v>
      </c>
      <c r="K245" s="18"/>
      <c r="L245" s="18" t="s">
        <v>1515</v>
      </c>
    </row>
    <row r="246">
      <c r="A246" s="18" t="s">
        <v>1606</v>
      </c>
      <c r="B246" s="18" t="s">
        <v>791</v>
      </c>
      <c r="C246" s="18" t="s">
        <v>1607</v>
      </c>
      <c r="D246" s="18"/>
      <c r="E246" s="24">
        <v>8.5234446671E10</v>
      </c>
      <c r="F246" s="24">
        <v>1.0</v>
      </c>
      <c r="G246" s="18" t="s">
        <v>1607</v>
      </c>
      <c r="H246" s="18"/>
      <c r="I246" s="24">
        <v>8.5234446671E10</v>
      </c>
      <c r="J246" s="18" t="s">
        <v>1608</v>
      </c>
      <c r="K246" s="18"/>
      <c r="L246" s="18" t="s">
        <v>1609</v>
      </c>
    </row>
    <row r="247">
      <c r="A247" s="18" t="s">
        <v>1610</v>
      </c>
      <c r="B247" s="18" t="s">
        <v>791</v>
      </c>
      <c r="C247" s="18" t="s">
        <v>1611</v>
      </c>
      <c r="D247" s="18"/>
      <c r="E247" s="24">
        <v>8.5235630305E10</v>
      </c>
      <c r="F247" s="24">
        <v>1.0</v>
      </c>
      <c r="G247" s="18" t="s">
        <v>1611</v>
      </c>
      <c r="H247" s="18"/>
      <c r="I247" s="24">
        <v>8.5235630305E10</v>
      </c>
      <c r="J247" s="18" t="s">
        <v>1612</v>
      </c>
      <c r="K247" s="18"/>
      <c r="L247" s="18" t="s">
        <v>1511</v>
      </c>
    </row>
    <row r="248">
      <c r="A248" s="18" t="s">
        <v>1613</v>
      </c>
      <c r="B248" s="18" t="s">
        <v>791</v>
      </c>
      <c r="C248" s="18" t="s">
        <v>1614</v>
      </c>
      <c r="D248" s="18"/>
      <c r="E248" s="24">
        <v>0.0</v>
      </c>
      <c r="F248" s="24">
        <v>1.0</v>
      </c>
      <c r="G248" s="18" t="s">
        <v>1614</v>
      </c>
      <c r="H248" s="18"/>
      <c r="I248" s="24">
        <v>0.0</v>
      </c>
      <c r="J248" s="18" t="s">
        <v>1615</v>
      </c>
      <c r="K248" s="18"/>
      <c r="L248" s="18" t="s">
        <v>1515</v>
      </c>
    </row>
    <row r="249">
      <c r="A249" s="18" t="s">
        <v>1616</v>
      </c>
      <c r="B249" s="18" t="s">
        <v>791</v>
      </c>
      <c r="C249" s="18" t="s">
        <v>1617</v>
      </c>
      <c r="D249" s="18"/>
      <c r="E249" s="24">
        <v>8.5749511857E10</v>
      </c>
      <c r="F249" s="24">
        <v>1.0</v>
      </c>
      <c r="G249" s="18" t="s">
        <v>1617</v>
      </c>
      <c r="H249" s="18"/>
      <c r="I249" s="24">
        <v>8.5749511857E10</v>
      </c>
      <c r="J249" s="18" t="s">
        <v>1618</v>
      </c>
      <c r="K249" s="18"/>
      <c r="L249" s="18" t="s">
        <v>1619</v>
      </c>
    </row>
    <row r="250">
      <c r="A250" s="18" t="s">
        <v>1620</v>
      </c>
      <c r="B250" s="18" t="s">
        <v>791</v>
      </c>
      <c r="C250" s="18" t="s">
        <v>1621</v>
      </c>
      <c r="D250" s="18"/>
      <c r="E250" s="24">
        <v>8.13359905E10</v>
      </c>
      <c r="F250" s="24">
        <v>1.0</v>
      </c>
      <c r="G250" s="18" t="s">
        <v>1621</v>
      </c>
      <c r="H250" s="18"/>
      <c r="I250" s="24">
        <v>8.13359905E10</v>
      </c>
      <c r="J250" s="18" t="s">
        <v>1622</v>
      </c>
      <c r="K250" s="18"/>
      <c r="L250" s="18" t="s">
        <v>1623</v>
      </c>
    </row>
    <row r="251">
      <c r="A251" s="18" t="s">
        <v>1624</v>
      </c>
      <c r="B251" s="18" t="s">
        <v>791</v>
      </c>
      <c r="C251" s="18" t="s">
        <v>1625</v>
      </c>
      <c r="D251" s="18"/>
      <c r="E251" s="24">
        <v>1.0</v>
      </c>
      <c r="F251" s="24">
        <v>1.0</v>
      </c>
      <c r="G251" s="18" t="s">
        <v>1625</v>
      </c>
      <c r="H251" s="18"/>
      <c r="I251" s="24">
        <v>1.0</v>
      </c>
      <c r="J251" s="18" t="s">
        <v>1626</v>
      </c>
      <c r="K251" s="18"/>
      <c r="L251" s="18" t="s">
        <v>1489</v>
      </c>
    </row>
    <row r="252">
      <c r="A252" s="18" t="s">
        <v>1627</v>
      </c>
      <c r="B252" s="18" t="s">
        <v>791</v>
      </c>
      <c r="C252" s="18" t="s">
        <v>1628</v>
      </c>
      <c r="D252" s="18"/>
      <c r="E252" s="24">
        <v>2.0</v>
      </c>
      <c r="F252" s="24">
        <v>1.0</v>
      </c>
      <c r="G252" s="18" t="s">
        <v>1628</v>
      </c>
      <c r="H252" s="18"/>
      <c r="I252" s="24">
        <v>2.0</v>
      </c>
      <c r="J252" s="18" t="s">
        <v>1629</v>
      </c>
      <c r="K252" s="18"/>
      <c r="L252" s="18" t="s">
        <v>1546</v>
      </c>
    </row>
    <row r="253">
      <c r="A253" s="18" t="s">
        <v>1630</v>
      </c>
      <c r="B253" s="18" t="s">
        <v>791</v>
      </c>
      <c r="C253" s="18" t="s">
        <v>1631</v>
      </c>
      <c r="D253" s="18"/>
      <c r="E253" s="24">
        <v>8.1333906122E10</v>
      </c>
      <c r="F253" s="24">
        <v>1.0</v>
      </c>
      <c r="G253" s="18" t="s">
        <v>1631</v>
      </c>
      <c r="H253" s="18"/>
      <c r="I253" s="24">
        <v>8.1333906122E10</v>
      </c>
      <c r="J253" s="18" t="s">
        <v>1632</v>
      </c>
      <c r="K253" s="18"/>
      <c r="L253" s="18" t="s">
        <v>1633</v>
      </c>
    </row>
    <row r="254">
      <c r="A254" s="18" t="s">
        <v>1634</v>
      </c>
      <c r="B254" s="18" t="s">
        <v>791</v>
      </c>
      <c r="C254" s="18" t="s">
        <v>1635</v>
      </c>
      <c r="D254" s="18"/>
      <c r="E254" s="24">
        <v>8.1329122107E10</v>
      </c>
      <c r="F254" s="24">
        <v>1.0</v>
      </c>
      <c r="G254" s="18" t="s">
        <v>1635</v>
      </c>
      <c r="H254" s="18"/>
      <c r="I254" s="24">
        <v>8.1329122107E10</v>
      </c>
      <c r="J254" s="18" t="s">
        <v>1636</v>
      </c>
      <c r="K254" s="18"/>
      <c r="L254" s="18" t="s">
        <v>1637</v>
      </c>
    </row>
    <row r="255">
      <c r="A255" s="18" t="s">
        <v>1638</v>
      </c>
      <c r="B255" s="18" t="s">
        <v>791</v>
      </c>
      <c r="C255" s="18" t="s">
        <v>1639</v>
      </c>
      <c r="D255" s="18"/>
      <c r="E255" s="24">
        <v>8.5649098067E10</v>
      </c>
      <c r="F255" s="24">
        <v>1.0</v>
      </c>
      <c r="G255" s="18" t="s">
        <v>1639</v>
      </c>
      <c r="H255" s="18"/>
      <c r="I255" s="24">
        <v>8.5649098067E10</v>
      </c>
      <c r="J255" s="18" t="s">
        <v>1640</v>
      </c>
      <c r="K255" s="18"/>
      <c r="L255" s="18" t="s">
        <v>1523</v>
      </c>
    </row>
    <row r="256">
      <c r="A256" s="18" t="s">
        <v>1641</v>
      </c>
      <c r="B256" s="18" t="s">
        <v>791</v>
      </c>
      <c r="C256" s="18" t="s">
        <v>1642</v>
      </c>
      <c r="D256" s="18"/>
      <c r="E256" s="24">
        <v>8.1329122107E10</v>
      </c>
      <c r="F256" s="24">
        <v>1.0</v>
      </c>
      <c r="G256" s="18" t="s">
        <v>1642</v>
      </c>
      <c r="H256" s="18"/>
      <c r="I256" s="24">
        <v>8.1329122107E10</v>
      </c>
      <c r="J256" s="18" t="s">
        <v>1643</v>
      </c>
      <c r="K256" s="18"/>
      <c r="L256" s="18" t="s">
        <v>1637</v>
      </c>
    </row>
    <row r="257">
      <c r="A257" s="18" t="s">
        <v>1644</v>
      </c>
      <c r="B257" s="18" t="s">
        <v>791</v>
      </c>
      <c r="C257" s="18" t="s">
        <v>1645</v>
      </c>
      <c r="D257" s="18"/>
      <c r="E257" s="24">
        <v>8.5648555031E10</v>
      </c>
      <c r="F257" s="24">
        <v>1.0</v>
      </c>
      <c r="G257" s="18" t="s">
        <v>1645</v>
      </c>
      <c r="H257" s="18"/>
      <c r="I257" s="24">
        <v>8.5648555031E10</v>
      </c>
      <c r="J257" s="18" t="s">
        <v>1646</v>
      </c>
      <c r="K257" s="18"/>
      <c r="L257" s="18" t="s">
        <v>1647</v>
      </c>
    </row>
    <row r="258">
      <c r="A258" s="18" t="s">
        <v>1648</v>
      </c>
      <c r="B258" s="18" t="s">
        <v>791</v>
      </c>
      <c r="C258" s="18" t="s">
        <v>1649</v>
      </c>
      <c r="D258" s="18"/>
      <c r="E258" s="24">
        <v>8.533662705E10</v>
      </c>
      <c r="F258" s="24">
        <v>1.0</v>
      </c>
      <c r="G258" s="18" t="s">
        <v>1649</v>
      </c>
      <c r="H258" s="18"/>
      <c r="I258" s="24">
        <v>8.533662705E10</v>
      </c>
      <c r="J258" s="18" t="s">
        <v>1650</v>
      </c>
      <c r="K258" s="18"/>
      <c r="L258" s="18" t="s">
        <v>1651</v>
      </c>
    </row>
    <row r="259">
      <c r="A259" s="18" t="s">
        <v>1652</v>
      </c>
      <c r="B259" s="18" t="s">
        <v>791</v>
      </c>
      <c r="C259" s="18" t="s">
        <v>1653</v>
      </c>
      <c r="D259" s="18"/>
      <c r="E259" s="24">
        <v>0.0</v>
      </c>
      <c r="F259" s="24">
        <v>1.0</v>
      </c>
      <c r="G259" s="18" t="s">
        <v>1653</v>
      </c>
      <c r="H259" s="18"/>
      <c r="I259" s="24">
        <v>0.0</v>
      </c>
      <c r="J259" s="18" t="s">
        <v>1654</v>
      </c>
      <c r="K259" s="18"/>
      <c r="L259" s="18" t="s">
        <v>1470</v>
      </c>
    </row>
    <row r="260">
      <c r="A260" s="18" t="s">
        <v>1655</v>
      </c>
      <c r="B260" s="18" t="s">
        <v>791</v>
      </c>
      <c r="C260" s="18" t="s">
        <v>1657</v>
      </c>
      <c r="D260" s="18"/>
      <c r="E260" s="24">
        <v>1.0</v>
      </c>
      <c r="F260" s="24">
        <v>1.0</v>
      </c>
      <c r="G260" s="18" t="s">
        <v>1657</v>
      </c>
      <c r="H260" s="18"/>
      <c r="I260" s="24">
        <v>1.0</v>
      </c>
      <c r="J260" s="18" t="s">
        <v>1658</v>
      </c>
      <c r="K260" s="18"/>
      <c r="L260" s="18" t="s">
        <v>1546</v>
      </c>
    </row>
    <row r="261">
      <c r="A261" s="18" t="s">
        <v>1659</v>
      </c>
      <c r="B261" s="18" t="s">
        <v>791</v>
      </c>
      <c r="C261" s="18" t="s">
        <v>1660</v>
      </c>
      <c r="D261" s="18"/>
      <c r="E261" s="24">
        <v>1.0</v>
      </c>
      <c r="F261" s="24">
        <v>1.0</v>
      </c>
      <c r="G261" s="18" t="s">
        <v>1660</v>
      </c>
      <c r="H261" s="18"/>
      <c r="I261" s="24">
        <v>1.0</v>
      </c>
      <c r="J261" s="18" t="s">
        <v>1661</v>
      </c>
      <c r="K261" s="18"/>
      <c r="L261" s="18" t="s">
        <v>84</v>
      </c>
    </row>
    <row r="262">
      <c r="A262" s="18" t="s">
        <v>1662</v>
      </c>
      <c r="B262" s="18" t="s">
        <v>791</v>
      </c>
      <c r="C262" s="18" t="s">
        <v>1663</v>
      </c>
      <c r="D262" s="18"/>
      <c r="E262" s="24">
        <v>8.1233982352E10</v>
      </c>
      <c r="F262" s="24">
        <v>1.0</v>
      </c>
      <c r="G262" s="18" t="s">
        <v>1663</v>
      </c>
      <c r="H262" s="18"/>
      <c r="I262" s="24">
        <v>8.1233982352E10</v>
      </c>
      <c r="J262" s="18" t="s">
        <v>1664</v>
      </c>
      <c r="K262" s="18"/>
      <c r="L262" s="18" t="s">
        <v>1665</v>
      </c>
    </row>
    <row r="263">
      <c r="A263" s="18" t="s">
        <v>1666</v>
      </c>
      <c r="B263" s="18" t="s">
        <v>791</v>
      </c>
      <c r="C263" s="18" t="s">
        <v>1667</v>
      </c>
      <c r="D263" s="18"/>
      <c r="E263" s="24">
        <v>8.2244825856E10</v>
      </c>
      <c r="F263" s="24">
        <v>1.0</v>
      </c>
      <c r="G263" s="18" t="s">
        <v>1667</v>
      </c>
      <c r="H263" s="18"/>
      <c r="I263" s="24">
        <v>8.2244825856E10</v>
      </c>
      <c r="J263" s="18" t="s">
        <v>1668</v>
      </c>
      <c r="K263" s="18"/>
      <c r="L263" s="18" t="s">
        <v>1669</v>
      </c>
    </row>
    <row r="264">
      <c r="A264" s="18" t="s">
        <v>1670</v>
      </c>
      <c r="B264" s="18" t="s">
        <v>791</v>
      </c>
      <c r="C264" s="18" t="s">
        <v>1671</v>
      </c>
      <c r="D264" s="18"/>
      <c r="E264" s="24">
        <v>1.0</v>
      </c>
      <c r="F264" s="24">
        <v>1.0</v>
      </c>
      <c r="G264" s="18" t="s">
        <v>1671</v>
      </c>
      <c r="H264" s="18"/>
      <c r="I264" s="24">
        <v>1.0</v>
      </c>
      <c r="J264" s="18" t="s">
        <v>1672</v>
      </c>
      <c r="K264" s="18"/>
      <c r="L264" s="18" t="s">
        <v>1673</v>
      </c>
    </row>
    <row r="265">
      <c r="A265" s="18" t="s">
        <v>1674</v>
      </c>
      <c r="B265" s="18" t="s">
        <v>791</v>
      </c>
      <c r="C265" s="18" t="s">
        <v>1675</v>
      </c>
      <c r="D265" s="18"/>
      <c r="E265" s="24">
        <v>8.5234040176E10</v>
      </c>
      <c r="F265" s="24">
        <v>1.0</v>
      </c>
      <c r="G265" s="18" t="s">
        <v>1675</v>
      </c>
      <c r="H265" s="18"/>
      <c r="I265" s="24">
        <v>8.5234040176E10</v>
      </c>
      <c r="J265" s="18" t="s">
        <v>1676</v>
      </c>
      <c r="K265" s="18"/>
      <c r="L265" s="18" t="s">
        <v>1677</v>
      </c>
    </row>
    <row r="266">
      <c r="A266" s="18" t="s">
        <v>1678</v>
      </c>
      <c r="B266" s="18" t="s">
        <v>791</v>
      </c>
      <c r="C266" s="18" t="s">
        <v>1679</v>
      </c>
      <c r="D266" s="18"/>
      <c r="E266" s="24">
        <v>8.1330720631E10</v>
      </c>
      <c r="F266" s="24">
        <v>1.0</v>
      </c>
      <c r="G266" s="18" t="s">
        <v>1679</v>
      </c>
      <c r="H266" s="18"/>
      <c r="I266" s="24">
        <v>8.1330720631E10</v>
      </c>
      <c r="J266" s="18" t="s">
        <v>1680</v>
      </c>
      <c r="K266" s="18"/>
      <c r="L266" s="18" t="s">
        <v>1681</v>
      </c>
    </row>
    <row r="267">
      <c r="A267" s="18" t="s">
        <v>1682</v>
      </c>
      <c r="B267" s="18" t="s">
        <v>791</v>
      </c>
      <c r="C267" s="18" t="s">
        <v>1683</v>
      </c>
      <c r="D267" s="18"/>
      <c r="E267" s="24">
        <v>8.133596015E10</v>
      </c>
      <c r="F267" s="24">
        <v>1.0</v>
      </c>
      <c r="G267" s="18" t="s">
        <v>1683</v>
      </c>
      <c r="H267" s="18"/>
      <c r="I267" s="24">
        <v>8.133596015E10</v>
      </c>
      <c r="J267" s="18" t="s">
        <v>1684</v>
      </c>
      <c r="K267" s="18"/>
      <c r="L267" s="18" t="s">
        <v>1685</v>
      </c>
    </row>
    <row r="268">
      <c r="A268" s="18" t="s">
        <v>1686</v>
      </c>
      <c r="B268" s="18" t="s">
        <v>791</v>
      </c>
      <c r="C268" s="18" t="s">
        <v>1687</v>
      </c>
      <c r="D268" s="18"/>
      <c r="E268" s="24">
        <v>8.223018766E10</v>
      </c>
      <c r="F268" s="24">
        <v>1.0</v>
      </c>
      <c r="G268" s="18" t="s">
        <v>1687</v>
      </c>
      <c r="H268" s="18"/>
      <c r="I268" s="24">
        <v>8.223018766E10</v>
      </c>
      <c r="J268" s="18" t="s">
        <v>1688</v>
      </c>
      <c r="K268" s="18"/>
      <c r="L268" s="18" t="s">
        <v>1689</v>
      </c>
    </row>
    <row r="269">
      <c r="A269" s="18" t="s">
        <v>1690</v>
      </c>
      <c r="B269" s="18" t="s">
        <v>791</v>
      </c>
      <c r="C269" s="18" t="s">
        <v>1691</v>
      </c>
      <c r="D269" s="18"/>
      <c r="E269" s="24">
        <v>1.0</v>
      </c>
      <c r="F269" s="24">
        <v>1.0</v>
      </c>
      <c r="G269" s="18" t="s">
        <v>1691</v>
      </c>
      <c r="H269" s="18"/>
      <c r="I269" s="24">
        <v>1.0</v>
      </c>
      <c r="J269" s="18" t="s">
        <v>1692</v>
      </c>
      <c r="K269" s="18"/>
      <c r="L269" s="18" t="s">
        <v>1470</v>
      </c>
    </row>
    <row r="270">
      <c r="A270" s="18" t="s">
        <v>1693</v>
      </c>
      <c r="B270" s="18" t="s">
        <v>791</v>
      </c>
      <c r="C270" s="18" t="s">
        <v>1694</v>
      </c>
      <c r="D270" s="18"/>
      <c r="E270" s="24">
        <v>8.5236354217E10</v>
      </c>
      <c r="F270" s="24">
        <v>1.0</v>
      </c>
      <c r="G270" s="18" t="s">
        <v>1694</v>
      </c>
      <c r="H270" s="18"/>
      <c r="I270" s="24">
        <v>8.5236354217E10</v>
      </c>
      <c r="J270" s="18" t="s">
        <v>1695</v>
      </c>
      <c r="K270" s="18"/>
      <c r="L270" s="18" t="s">
        <v>1696</v>
      </c>
    </row>
    <row r="271">
      <c r="A271" s="18" t="s">
        <v>1697</v>
      </c>
      <c r="B271" s="18" t="s">
        <v>791</v>
      </c>
      <c r="C271" s="18" t="s">
        <v>1698</v>
      </c>
      <c r="D271" s="18"/>
      <c r="E271" s="24">
        <v>8.2301152355E10</v>
      </c>
      <c r="F271" s="24">
        <v>1.0</v>
      </c>
      <c r="G271" s="18" t="s">
        <v>1698</v>
      </c>
      <c r="H271" s="18"/>
      <c r="I271" s="24">
        <v>8.2301152355E10</v>
      </c>
      <c r="J271" s="18" t="s">
        <v>1699</v>
      </c>
      <c r="K271" s="18"/>
      <c r="L271" s="18" t="s">
        <v>1700</v>
      </c>
    </row>
    <row r="272">
      <c r="A272" s="18" t="s">
        <v>1701</v>
      </c>
      <c r="B272" s="18" t="s">
        <v>791</v>
      </c>
      <c r="C272" s="18" t="s">
        <v>1702</v>
      </c>
      <c r="D272" s="18"/>
      <c r="E272" s="24">
        <v>8.5234040176E10</v>
      </c>
      <c r="F272" s="24">
        <v>1.0</v>
      </c>
      <c r="G272" s="18" t="s">
        <v>1702</v>
      </c>
      <c r="H272" s="18"/>
      <c r="I272" s="24">
        <v>8.5234040176E10</v>
      </c>
      <c r="J272" s="18" t="s">
        <v>1703</v>
      </c>
      <c r="K272" s="18"/>
      <c r="L272" s="18" t="s">
        <v>1677</v>
      </c>
    </row>
    <row r="273">
      <c r="A273" s="18" t="s">
        <v>1704</v>
      </c>
      <c r="B273" s="18" t="s">
        <v>791</v>
      </c>
      <c r="C273" s="18" t="s">
        <v>1705</v>
      </c>
      <c r="D273" s="18"/>
      <c r="E273" s="24">
        <v>8.223018766E10</v>
      </c>
      <c r="F273" s="24">
        <v>1.0</v>
      </c>
      <c r="G273" s="18" t="s">
        <v>1705</v>
      </c>
      <c r="H273" s="18"/>
      <c r="I273" s="24">
        <v>8.223018766E10</v>
      </c>
      <c r="J273" s="18" t="s">
        <v>1706</v>
      </c>
      <c r="K273" s="18"/>
      <c r="L273" s="18" t="s">
        <v>1689</v>
      </c>
    </row>
    <row r="274">
      <c r="A274" s="18" t="s">
        <v>1707</v>
      </c>
      <c r="B274" s="18" t="s">
        <v>791</v>
      </c>
      <c r="C274" s="18" t="s">
        <v>1708</v>
      </c>
      <c r="D274" s="18"/>
      <c r="E274" s="24">
        <v>8.2245442422E10</v>
      </c>
      <c r="F274" s="24">
        <v>1.0</v>
      </c>
      <c r="G274" s="18" t="s">
        <v>1708</v>
      </c>
      <c r="H274" s="18"/>
      <c r="I274" s="24">
        <v>8.2245442422E10</v>
      </c>
      <c r="J274" s="18" t="s">
        <v>1709</v>
      </c>
      <c r="K274" s="18"/>
      <c r="L274" s="18" t="s">
        <v>1637</v>
      </c>
    </row>
    <row r="275">
      <c r="A275" s="18" t="s">
        <v>1710</v>
      </c>
      <c r="B275" s="18" t="s">
        <v>791</v>
      </c>
      <c r="C275" s="18" t="s">
        <v>1711</v>
      </c>
      <c r="D275" s="18"/>
      <c r="E275" s="24">
        <v>8.9631436646E10</v>
      </c>
      <c r="F275" s="24">
        <v>1.0</v>
      </c>
      <c r="G275" s="18" t="s">
        <v>1711</v>
      </c>
      <c r="H275" s="18"/>
      <c r="I275" s="24">
        <v>8.9631436646E10</v>
      </c>
      <c r="J275" s="18" t="s">
        <v>1712</v>
      </c>
      <c r="K275" s="18"/>
      <c r="L275" s="18" t="s">
        <v>1637</v>
      </c>
    </row>
    <row r="276">
      <c r="A276" s="18" t="s">
        <v>1713</v>
      </c>
      <c r="B276" s="18" t="s">
        <v>791</v>
      </c>
      <c r="C276" s="18" t="s">
        <v>1711</v>
      </c>
      <c r="D276" s="18"/>
      <c r="E276" s="24">
        <v>8.5233836052E10</v>
      </c>
      <c r="F276" s="24">
        <v>1.0</v>
      </c>
      <c r="G276" s="18" t="s">
        <v>1711</v>
      </c>
      <c r="H276" s="18"/>
      <c r="I276" s="24">
        <v>8.5233836052E10</v>
      </c>
      <c r="J276" s="18" t="s">
        <v>1714</v>
      </c>
      <c r="K276" s="18"/>
      <c r="L276" s="18" t="s">
        <v>1715</v>
      </c>
    </row>
    <row r="277">
      <c r="A277" s="18" t="s">
        <v>1716</v>
      </c>
      <c r="B277" s="18" t="s">
        <v>791</v>
      </c>
      <c r="C277" s="18" t="s">
        <v>1717</v>
      </c>
      <c r="D277" s="18"/>
      <c r="E277" s="24">
        <v>1.0</v>
      </c>
      <c r="F277" s="24">
        <v>1.0</v>
      </c>
      <c r="G277" s="18" t="s">
        <v>1717</v>
      </c>
      <c r="H277" s="18"/>
      <c r="I277" s="24">
        <v>1.0</v>
      </c>
      <c r="J277" s="18" t="s">
        <v>1718</v>
      </c>
      <c r="K277" s="18"/>
      <c r="L277" s="18" t="s">
        <v>1470</v>
      </c>
    </row>
    <row r="278">
      <c r="A278" s="18" t="s">
        <v>1719</v>
      </c>
      <c r="B278" s="18" t="s">
        <v>791</v>
      </c>
      <c r="C278" s="18" t="s">
        <v>1720</v>
      </c>
      <c r="D278" s="18"/>
      <c r="E278" s="24">
        <v>8.5336760229E10</v>
      </c>
      <c r="F278" s="24">
        <v>1.0</v>
      </c>
      <c r="G278" s="18" t="s">
        <v>1720</v>
      </c>
      <c r="H278" s="18"/>
      <c r="I278" s="24">
        <v>8.5336760229E10</v>
      </c>
      <c r="J278" s="18" t="s">
        <v>1721</v>
      </c>
      <c r="K278" s="18"/>
      <c r="L278" s="18" t="s">
        <v>1722</v>
      </c>
    </row>
    <row r="279">
      <c r="A279" s="18" t="s">
        <v>1723</v>
      </c>
      <c r="B279" s="18" t="s">
        <v>791</v>
      </c>
      <c r="C279" s="18" t="s">
        <v>1724</v>
      </c>
      <c r="D279" s="18"/>
      <c r="E279" s="24">
        <v>8.1259621869E10</v>
      </c>
      <c r="F279" s="24">
        <v>1.0</v>
      </c>
      <c r="G279" s="18" t="s">
        <v>1724</v>
      </c>
      <c r="H279" s="18"/>
      <c r="I279" s="24">
        <v>8.1259621869E10</v>
      </c>
      <c r="J279" s="18" t="s">
        <v>1725</v>
      </c>
      <c r="K279" s="18"/>
      <c r="L279" s="18" t="s">
        <v>1726</v>
      </c>
    </row>
    <row r="280">
      <c r="A280" s="18" t="s">
        <v>1727</v>
      </c>
      <c r="B280" s="18" t="s">
        <v>791</v>
      </c>
      <c r="C280" s="18" t="s">
        <v>1728</v>
      </c>
      <c r="D280" s="18"/>
      <c r="E280" s="24">
        <v>8.5293854446E10</v>
      </c>
      <c r="F280" s="24">
        <v>1.0</v>
      </c>
      <c r="G280" s="18" t="s">
        <v>1728</v>
      </c>
      <c r="H280" s="18"/>
      <c r="I280" s="24">
        <v>8.5293854446E10</v>
      </c>
      <c r="J280" s="18" t="s">
        <v>1729</v>
      </c>
      <c r="K280" s="18"/>
      <c r="L280" s="18" t="s">
        <v>1730</v>
      </c>
    </row>
    <row r="281">
      <c r="A281" s="18" t="s">
        <v>1731</v>
      </c>
      <c r="B281" s="18" t="s">
        <v>791</v>
      </c>
      <c r="C281" s="18" t="s">
        <v>1732</v>
      </c>
      <c r="D281" s="18"/>
      <c r="E281" s="24">
        <v>8.1329122107E10</v>
      </c>
      <c r="F281" s="24">
        <v>1.0</v>
      </c>
      <c r="G281" s="18" t="s">
        <v>1732</v>
      </c>
      <c r="H281" s="18"/>
      <c r="I281" s="24">
        <v>8.1329122107E10</v>
      </c>
      <c r="J281" s="18" t="s">
        <v>1733</v>
      </c>
      <c r="K281" s="18"/>
      <c r="L281" s="18" t="s">
        <v>1637</v>
      </c>
    </row>
    <row r="282">
      <c r="A282" s="18" t="s">
        <v>1734</v>
      </c>
      <c r="B282" s="18" t="s">
        <v>791</v>
      </c>
      <c r="C282" s="18" t="s">
        <v>1735</v>
      </c>
      <c r="D282" s="18"/>
      <c r="E282" s="24">
        <v>8.139025822E10</v>
      </c>
      <c r="F282" s="24">
        <v>1.0</v>
      </c>
      <c r="G282" s="18" t="s">
        <v>1735</v>
      </c>
      <c r="H282" s="18"/>
      <c r="I282" s="24">
        <v>8.139025822E10</v>
      </c>
      <c r="J282" s="18" t="s">
        <v>1736</v>
      </c>
      <c r="K282" s="18"/>
      <c r="L282" s="18" t="s">
        <v>1737</v>
      </c>
    </row>
    <row r="283">
      <c r="A283" s="18" t="s">
        <v>1738</v>
      </c>
      <c r="B283" s="18" t="s">
        <v>791</v>
      </c>
      <c r="C283" s="18" t="s">
        <v>1739</v>
      </c>
      <c r="D283" s="18"/>
      <c r="E283" s="24">
        <v>8.2245442422E10</v>
      </c>
      <c r="F283" s="24">
        <v>1.0</v>
      </c>
      <c r="G283" s="18" t="s">
        <v>1739</v>
      </c>
      <c r="H283" s="18"/>
      <c r="I283" s="24">
        <v>8.2245442422E10</v>
      </c>
      <c r="J283" s="18" t="s">
        <v>1740</v>
      </c>
      <c r="K283" s="18"/>
      <c r="L283" s="18" t="s">
        <v>1637</v>
      </c>
    </row>
    <row r="284">
      <c r="A284" s="18" t="s">
        <v>1741</v>
      </c>
      <c r="B284" s="18" t="s">
        <v>791</v>
      </c>
      <c r="C284" s="18" t="s">
        <v>1742</v>
      </c>
      <c r="D284" s="18"/>
      <c r="E284" s="24">
        <v>8.2132190159E10</v>
      </c>
      <c r="F284" s="24">
        <v>1.0</v>
      </c>
      <c r="G284" s="18" t="s">
        <v>1742</v>
      </c>
      <c r="H284" s="18"/>
      <c r="I284" s="24">
        <v>8.2132190159E10</v>
      </c>
      <c r="J284" s="18" t="s">
        <v>1743</v>
      </c>
      <c r="K284" s="18"/>
      <c r="L284" s="18" t="s">
        <v>1681</v>
      </c>
    </row>
    <row r="285">
      <c r="A285" s="18" t="s">
        <v>1745</v>
      </c>
      <c r="B285" s="18" t="s">
        <v>791</v>
      </c>
      <c r="C285" s="18" t="s">
        <v>1746</v>
      </c>
      <c r="D285" s="18"/>
      <c r="E285" s="24">
        <v>8.2132190159E10</v>
      </c>
      <c r="F285" s="24">
        <v>1.0</v>
      </c>
      <c r="G285" s="18" t="s">
        <v>1746</v>
      </c>
      <c r="H285" s="18"/>
      <c r="I285" s="24">
        <v>8.2132190159E10</v>
      </c>
      <c r="J285" s="18" t="s">
        <v>1747</v>
      </c>
      <c r="K285" s="18"/>
      <c r="L285" s="18" t="s">
        <v>1681</v>
      </c>
    </row>
    <row r="286">
      <c r="A286" s="18" t="s">
        <v>1748</v>
      </c>
      <c r="B286" s="18" t="s">
        <v>791</v>
      </c>
      <c r="C286" s="18" t="s">
        <v>1749</v>
      </c>
      <c r="D286" s="18"/>
      <c r="E286" s="24">
        <v>8.5217801919E10</v>
      </c>
      <c r="F286" s="24">
        <v>1.0</v>
      </c>
      <c r="G286" s="18" t="s">
        <v>1749</v>
      </c>
      <c r="H286" s="18"/>
      <c r="I286" s="24">
        <v>8.5217801919E10</v>
      </c>
      <c r="J286" s="18" t="s">
        <v>1750</v>
      </c>
      <c r="K286" s="18"/>
      <c r="L286" s="18" t="s">
        <v>1681</v>
      </c>
    </row>
    <row r="287">
      <c r="A287" s="18" t="s">
        <v>1751</v>
      </c>
      <c r="B287" s="18" t="s">
        <v>791</v>
      </c>
      <c r="C287" s="18" t="s">
        <v>1752</v>
      </c>
      <c r="D287" s="18"/>
      <c r="E287" s="24">
        <v>1.0</v>
      </c>
      <c r="F287" s="24">
        <v>1.0</v>
      </c>
      <c r="G287" s="18" t="s">
        <v>1752</v>
      </c>
      <c r="H287" s="18"/>
      <c r="I287" s="24">
        <v>1.0</v>
      </c>
      <c r="J287" s="18" t="s">
        <v>1753</v>
      </c>
      <c r="K287" s="18"/>
      <c r="L287" s="18" t="s">
        <v>1673</v>
      </c>
    </row>
    <row r="288">
      <c r="A288" s="18" t="s">
        <v>1754</v>
      </c>
      <c r="B288" s="18" t="s">
        <v>791</v>
      </c>
      <c r="C288" s="18" t="s">
        <v>1755</v>
      </c>
      <c r="D288" s="18"/>
      <c r="E288" s="24">
        <v>8.5655522398E10</v>
      </c>
      <c r="F288" s="24">
        <v>1.0</v>
      </c>
      <c r="G288" s="18" t="s">
        <v>1755</v>
      </c>
      <c r="H288" s="18"/>
      <c r="I288" s="24">
        <v>8.5655522398E10</v>
      </c>
      <c r="J288" s="18" t="s">
        <v>1756</v>
      </c>
      <c r="K288" s="18"/>
      <c r="L288" s="18" t="s">
        <v>1757</v>
      </c>
    </row>
    <row r="289">
      <c r="A289" s="18" t="s">
        <v>1758</v>
      </c>
      <c r="B289" s="18" t="s">
        <v>791</v>
      </c>
      <c r="C289" s="18" t="s">
        <v>1759</v>
      </c>
      <c r="D289" s="18"/>
      <c r="E289" s="24">
        <v>8.1359556087E10</v>
      </c>
      <c r="F289" s="24">
        <v>1.0</v>
      </c>
      <c r="G289" s="18" t="s">
        <v>1759</v>
      </c>
      <c r="H289" s="18"/>
      <c r="I289" s="24">
        <v>8.1359556087E10</v>
      </c>
      <c r="J289" s="18" t="s">
        <v>1760</v>
      </c>
      <c r="K289" s="18"/>
      <c r="L289" s="18" t="s">
        <v>1549</v>
      </c>
    </row>
    <row r="290">
      <c r="A290" s="18" t="s">
        <v>1761</v>
      </c>
      <c r="B290" s="18" t="s">
        <v>791</v>
      </c>
      <c r="C290" s="18" t="s">
        <v>1762</v>
      </c>
      <c r="D290" s="18"/>
      <c r="E290" s="24">
        <v>8.2141312355E10</v>
      </c>
      <c r="F290" s="24">
        <v>1.0</v>
      </c>
      <c r="G290" s="18" t="s">
        <v>1762</v>
      </c>
      <c r="H290" s="18"/>
      <c r="I290" s="24">
        <v>8.2141312355E10</v>
      </c>
      <c r="J290" s="18" t="s">
        <v>1763</v>
      </c>
      <c r="K290" s="18"/>
      <c r="L290" s="18" t="s">
        <v>1764</v>
      </c>
    </row>
    <row r="291">
      <c r="A291" s="18" t="s">
        <v>1765</v>
      </c>
      <c r="B291" s="18" t="s">
        <v>791</v>
      </c>
      <c r="C291" s="18" t="s">
        <v>1766</v>
      </c>
      <c r="D291" s="18"/>
      <c r="E291" s="24">
        <v>8.5235630305E10</v>
      </c>
      <c r="F291" s="24">
        <v>1.0</v>
      </c>
      <c r="G291" s="18" t="s">
        <v>1766</v>
      </c>
      <c r="H291" s="18"/>
      <c r="I291" s="24">
        <v>8.5235630305E10</v>
      </c>
      <c r="J291" s="18" t="s">
        <v>1767</v>
      </c>
      <c r="K291" s="18"/>
      <c r="L291" s="18" t="s">
        <v>1511</v>
      </c>
    </row>
    <row r="292">
      <c r="A292" s="18" t="s">
        <v>1208</v>
      </c>
      <c r="B292" s="18" t="s">
        <v>791</v>
      </c>
      <c r="C292" s="18" t="s">
        <v>1210</v>
      </c>
      <c r="D292" s="18"/>
      <c r="E292" s="24">
        <v>8.563622003E9</v>
      </c>
      <c r="F292" s="24">
        <v>1.0</v>
      </c>
      <c r="G292" s="18" t="s">
        <v>1210</v>
      </c>
      <c r="H292" s="18"/>
      <c r="I292" s="24">
        <v>8.563622003E9</v>
      </c>
      <c r="J292" s="18" t="s">
        <v>1209</v>
      </c>
      <c r="K292" s="18"/>
      <c r="L292" s="18" t="s">
        <v>1211</v>
      </c>
    </row>
    <row r="293">
      <c r="A293" s="18" t="s">
        <v>1768</v>
      </c>
      <c r="B293" s="18" t="s">
        <v>791</v>
      </c>
      <c r="C293" s="18" t="s">
        <v>1769</v>
      </c>
      <c r="D293" s="18"/>
      <c r="E293" s="24">
        <v>8.5235180496E10</v>
      </c>
      <c r="F293" s="24">
        <v>1.0</v>
      </c>
      <c r="G293" s="18" t="s">
        <v>1769</v>
      </c>
      <c r="H293" s="18"/>
      <c r="I293" s="24">
        <v>8.5235180496E10</v>
      </c>
      <c r="J293" s="18" t="s">
        <v>1770</v>
      </c>
      <c r="K293" s="18"/>
      <c r="L293" s="18" t="s">
        <v>1596</v>
      </c>
    </row>
    <row r="294">
      <c r="A294" s="18" t="s">
        <v>1771</v>
      </c>
      <c r="B294" s="18" t="s">
        <v>791</v>
      </c>
      <c r="C294" s="18" t="s">
        <v>1772</v>
      </c>
      <c r="D294" s="18"/>
      <c r="E294" s="24">
        <v>1.0</v>
      </c>
      <c r="F294" s="24">
        <v>1.0</v>
      </c>
      <c r="G294" s="18" t="s">
        <v>1772</v>
      </c>
      <c r="H294" s="18"/>
      <c r="I294" s="24">
        <v>1.0</v>
      </c>
      <c r="J294" s="18" t="s">
        <v>1773</v>
      </c>
      <c r="K294" s="18"/>
      <c r="L294" s="18" t="s">
        <v>1470</v>
      </c>
    </row>
    <row r="295">
      <c r="A295" s="18" t="s">
        <v>1774</v>
      </c>
      <c r="B295" s="18" t="s">
        <v>791</v>
      </c>
      <c r="C295" s="18" t="s">
        <v>1775</v>
      </c>
      <c r="D295" s="18"/>
      <c r="E295" s="24">
        <v>8.133527466E10</v>
      </c>
      <c r="F295" s="24">
        <v>1.0</v>
      </c>
      <c r="G295" s="18" t="s">
        <v>1775</v>
      </c>
      <c r="H295" s="18"/>
      <c r="I295" s="24">
        <v>8.133527466E10</v>
      </c>
      <c r="J295" s="18" t="s">
        <v>1776</v>
      </c>
      <c r="K295" s="18"/>
      <c r="L295" s="18" t="s">
        <v>1777</v>
      </c>
    </row>
    <row r="296">
      <c r="A296" s="18" t="s">
        <v>1778</v>
      </c>
      <c r="B296" s="18" t="s">
        <v>791</v>
      </c>
      <c r="C296" s="18" t="s">
        <v>1779</v>
      </c>
      <c r="D296" s="18"/>
      <c r="E296" s="24">
        <v>8.2140699265E10</v>
      </c>
      <c r="F296" s="24">
        <v>1.0</v>
      </c>
      <c r="G296" s="18" t="s">
        <v>1779</v>
      </c>
      <c r="H296" s="18"/>
      <c r="I296" s="24">
        <v>8.2140699265E10</v>
      </c>
      <c r="J296" s="18" t="s">
        <v>1781</v>
      </c>
      <c r="K296" s="18"/>
      <c r="L296" s="18" t="s">
        <v>1782</v>
      </c>
    </row>
    <row r="297">
      <c r="A297" s="18" t="s">
        <v>1783</v>
      </c>
      <c r="B297" s="18" t="s">
        <v>791</v>
      </c>
      <c r="C297" s="18" t="s">
        <v>1784</v>
      </c>
      <c r="D297" s="18"/>
      <c r="E297" s="24">
        <v>8.223252301E10</v>
      </c>
      <c r="F297" s="24">
        <v>1.0</v>
      </c>
      <c r="G297" s="18" t="s">
        <v>1784</v>
      </c>
      <c r="H297" s="18"/>
      <c r="I297" s="24">
        <v>8.223252301E10</v>
      </c>
      <c r="J297" s="18" t="s">
        <v>1785</v>
      </c>
      <c r="K297" s="18"/>
      <c r="L297" s="18" t="s">
        <v>1786</v>
      </c>
    </row>
    <row r="298">
      <c r="A298" s="18" t="s">
        <v>1787</v>
      </c>
      <c r="B298" s="18" t="s">
        <v>791</v>
      </c>
      <c r="C298" s="18" t="s">
        <v>1788</v>
      </c>
      <c r="D298" s="18"/>
      <c r="E298" s="24">
        <v>8.2142973516E10</v>
      </c>
      <c r="F298" s="24">
        <v>1.0</v>
      </c>
      <c r="G298" s="18" t="s">
        <v>1788</v>
      </c>
      <c r="H298" s="18"/>
      <c r="I298" s="24">
        <v>8.2142973516E10</v>
      </c>
      <c r="J298" s="18" t="s">
        <v>1789</v>
      </c>
      <c r="K298" s="18"/>
      <c r="L298" s="18" t="s">
        <v>1790</v>
      </c>
    </row>
    <row r="299">
      <c r="A299" s="18" t="s">
        <v>1791</v>
      </c>
      <c r="B299" s="18" t="s">
        <v>791</v>
      </c>
      <c r="C299" s="18" t="s">
        <v>1792</v>
      </c>
      <c r="D299" s="18"/>
      <c r="E299" s="24">
        <v>8.5233742066E10</v>
      </c>
      <c r="F299" s="24">
        <v>1.0</v>
      </c>
      <c r="G299" s="18" t="s">
        <v>1792</v>
      </c>
      <c r="H299" s="18"/>
      <c r="I299" s="24">
        <v>8.5233742066E10</v>
      </c>
      <c r="J299" s="18" t="s">
        <v>1793</v>
      </c>
      <c r="K299" s="18"/>
      <c r="L299" s="18" t="s">
        <v>1794</v>
      </c>
    </row>
    <row r="300">
      <c r="A300" s="18" t="s">
        <v>1795</v>
      </c>
      <c r="B300" s="18" t="s">
        <v>791</v>
      </c>
      <c r="C300" s="18" t="s">
        <v>1796</v>
      </c>
      <c r="D300" s="18"/>
      <c r="E300" s="24">
        <v>8.5235919085E10</v>
      </c>
      <c r="F300" s="24">
        <v>1.0</v>
      </c>
      <c r="G300" s="18" t="s">
        <v>1796</v>
      </c>
      <c r="H300" s="18"/>
      <c r="I300" s="24">
        <v>8.5235919085E10</v>
      </c>
      <c r="J300" s="18" t="s">
        <v>1797</v>
      </c>
      <c r="K300" s="18"/>
      <c r="L300" s="18" t="s">
        <v>1798</v>
      </c>
    </row>
    <row r="301">
      <c r="A301" s="18" t="s">
        <v>1799</v>
      </c>
      <c r="B301" s="18" t="s">
        <v>791</v>
      </c>
      <c r="C301" s="18" t="s">
        <v>1800</v>
      </c>
      <c r="D301" s="18"/>
      <c r="E301" s="24">
        <v>8.133543388E10</v>
      </c>
      <c r="F301" s="24">
        <v>1.0</v>
      </c>
      <c r="G301" s="18" t="s">
        <v>1800</v>
      </c>
      <c r="H301" s="18"/>
      <c r="I301" s="24">
        <v>8.133543388E10</v>
      </c>
      <c r="J301" s="18" t="s">
        <v>1801</v>
      </c>
      <c r="K301" s="18"/>
      <c r="L301" s="18" t="s">
        <v>1802</v>
      </c>
    </row>
    <row r="302">
      <c r="A302" s="18" t="s">
        <v>1803</v>
      </c>
      <c r="B302" s="18" t="s">
        <v>791</v>
      </c>
      <c r="C302" s="18" t="s">
        <v>1804</v>
      </c>
      <c r="D302" s="18"/>
      <c r="E302" s="24">
        <v>8.1249434026E10</v>
      </c>
      <c r="F302" s="24">
        <v>1.0</v>
      </c>
      <c r="G302" s="18" t="s">
        <v>1804</v>
      </c>
      <c r="H302" s="18"/>
      <c r="I302" s="24">
        <v>8.1249434026E10</v>
      </c>
      <c r="J302" s="18" t="s">
        <v>1805</v>
      </c>
      <c r="K302" s="18"/>
      <c r="L302" s="18" t="s">
        <v>1806</v>
      </c>
    </row>
    <row r="303">
      <c r="A303" s="18" t="s">
        <v>1807</v>
      </c>
      <c r="B303" s="18" t="s">
        <v>791</v>
      </c>
      <c r="C303" s="18" t="s">
        <v>1808</v>
      </c>
      <c r="D303" s="18"/>
      <c r="E303" s="24">
        <v>8.579067777E10</v>
      </c>
      <c r="F303" s="24">
        <v>1.0</v>
      </c>
      <c r="G303" s="18" t="s">
        <v>1808</v>
      </c>
      <c r="H303" s="18"/>
      <c r="I303" s="24">
        <v>8.579067777E10</v>
      </c>
      <c r="J303" s="18" t="s">
        <v>1809</v>
      </c>
      <c r="K303" s="18"/>
      <c r="L303" s="18" t="s">
        <v>1810</v>
      </c>
    </row>
    <row r="304">
      <c r="A304" s="18" t="s">
        <v>1811</v>
      </c>
      <c r="B304" s="18" t="s">
        <v>791</v>
      </c>
      <c r="C304" s="18" t="s">
        <v>1812</v>
      </c>
      <c r="D304" s="18"/>
      <c r="E304" s="24">
        <v>8.2245442422E10</v>
      </c>
      <c r="F304" s="24">
        <v>1.0</v>
      </c>
      <c r="G304" s="18" t="s">
        <v>1812</v>
      </c>
      <c r="H304" s="18"/>
      <c r="I304" s="24">
        <v>8.2245442422E10</v>
      </c>
      <c r="J304" s="18" t="s">
        <v>1813</v>
      </c>
      <c r="K304" s="18"/>
      <c r="L304" s="18" t="s">
        <v>1637</v>
      </c>
    </row>
    <row r="305">
      <c r="A305" s="18" t="s">
        <v>1814</v>
      </c>
      <c r="B305" s="18" t="s">
        <v>791</v>
      </c>
      <c r="C305" s="18" t="s">
        <v>1815</v>
      </c>
      <c r="D305" s="18"/>
      <c r="E305" s="24">
        <v>8.1527046505E10</v>
      </c>
      <c r="F305" s="24">
        <v>1.0</v>
      </c>
      <c r="G305" s="18" t="s">
        <v>1815</v>
      </c>
      <c r="H305" s="18"/>
      <c r="I305" s="24">
        <v>8.1527046505E10</v>
      </c>
      <c r="J305" s="18" t="s">
        <v>1816</v>
      </c>
      <c r="K305" s="18"/>
      <c r="L305" s="18" t="s">
        <v>1817</v>
      </c>
    </row>
    <row r="306">
      <c r="A306" s="18" t="s">
        <v>1818</v>
      </c>
      <c r="B306" s="18" t="s">
        <v>791</v>
      </c>
      <c r="C306" s="18" t="s">
        <v>1819</v>
      </c>
      <c r="D306" s="18"/>
      <c r="E306" s="24">
        <v>1.0</v>
      </c>
      <c r="F306" s="24">
        <v>1.0</v>
      </c>
      <c r="G306" s="18" t="s">
        <v>1819</v>
      </c>
      <c r="H306" s="18"/>
      <c r="I306" s="24">
        <v>1.0</v>
      </c>
      <c r="J306" s="18" t="s">
        <v>1820</v>
      </c>
      <c r="K306" s="18"/>
      <c r="L306" s="18" t="s">
        <v>1673</v>
      </c>
    </row>
    <row r="307">
      <c r="A307" s="18" t="s">
        <v>1821</v>
      </c>
      <c r="B307" s="18" t="s">
        <v>791</v>
      </c>
      <c r="C307" s="18" t="s">
        <v>1822</v>
      </c>
      <c r="D307" s="18"/>
      <c r="E307" s="24">
        <v>1.0</v>
      </c>
      <c r="F307" s="24">
        <v>1.0</v>
      </c>
      <c r="G307" s="18" t="s">
        <v>1822</v>
      </c>
      <c r="H307" s="18"/>
      <c r="I307" s="24">
        <v>1.0</v>
      </c>
      <c r="J307" s="18" t="s">
        <v>1823</v>
      </c>
      <c r="K307" s="18"/>
      <c r="L307" s="18" t="s">
        <v>1474</v>
      </c>
    </row>
    <row r="308">
      <c r="A308" s="18" t="s">
        <v>1824</v>
      </c>
      <c r="B308" s="18" t="s">
        <v>791</v>
      </c>
      <c r="C308" s="18" t="s">
        <v>1825</v>
      </c>
      <c r="D308" s="18"/>
      <c r="E308" s="24">
        <v>8.5233742066E10</v>
      </c>
      <c r="F308" s="24">
        <v>1.0</v>
      </c>
      <c r="G308" s="18" t="s">
        <v>1825</v>
      </c>
      <c r="H308" s="18"/>
      <c r="I308" s="24">
        <v>8.5233742066E10</v>
      </c>
      <c r="J308" s="18" t="s">
        <v>1826</v>
      </c>
      <c r="K308" s="18"/>
      <c r="L308" s="18" t="s">
        <v>1794</v>
      </c>
    </row>
    <row r="309">
      <c r="A309" s="18" t="s">
        <v>1827</v>
      </c>
      <c r="B309" s="18" t="s">
        <v>791</v>
      </c>
      <c r="C309" s="18" t="s">
        <v>1828</v>
      </c>
      <c r="D309" s="18"/>
      <c r="E309" s="24">
        <v>8.5645477374E10</v>
      </c>
      <c r="F309" s="24">
        <v>1.0</v>
      </c>
      <c r="G309" s="18" t="s">
        <v>1828</v>
      </c>
      <c r="H309" s="18"/>
      <c r="I309" s="24">
        <v>8.5645477374E10</v>
      </c>
      <c r="J309" s="18" t="s">
        <v>1829</v>
      </c>
      <c r="K309" s="18"/>
      <c r="L309" s="18" t="s">
        <v>1830</v>
      </c>
    </row>
    <row r="310">
      <c r="A310" s="18" t="s">
        <v>1831</v>
      </c>
      <c r="B310" s="18" t="s">
        <v>791</v>
      </c>
      <c r="C310" s="18" t="s">
        <v>1832</v>
      </c>
      <c r="D310" s="18"/>
      <c r="E310" s="24">
        <v>8.5850678281E10</v>
      </c>
      <c r="F310" s="24">
        <v>1.0</v>
      </c>
      <c r="G310" s="18" t="s">
        <v>1832</v>
      </c>
      <c r="H310" s="18"/>
      <c r="I310" s="24">
        <v>8.5850678281E10</v>
      </c>
      <c r="J310" s="18" t="s">
        <v>1833</v>
      </c>
      <c r="K310" s="18"/>
      <c r="L310" s="18" t="s">
        <v>1834</v>
      </c>
    </row>
    <row r="311">
      <c r="A311" s="18" t="s">
        <v>1835</v>
      </c>
      <c r="B311" s="18" t="s">
        <v>791</v>
      </c>
      <c r="C311" s="18" t="s">
        <v>1836</v>
      </c>
      <c r="D311" s="18"/>
      <c r="E311" s="24">
        <v>8.5235919085E10</v>
      </c>
      <c r="F311" s="24">
        <v>1.0</v>
      </c>
      <c r="G311" s="18" t="s">
        <v>1836</v>
      </c>
      <c r="H311" s="18"/>
      <c r="I311" s="24">
        <v>8.5235919085E10</v>
      </c>
      <c r="J311" s="18" t="s">
        <v>1837</v>
      </c>
      <c r="K311" s="18"/>
      <c r="L311" s="18" t="s">
        <v>1838</v>
      </c>
    </row>
    <row r="312">
      <c r="A312" s="18" t="s">
        <v>1839</v>
      </c>
      <c r="B312" s="18" t="s">
        <v>791</v>
      </c>
      <c r="C312" s="18" t="s">
        <v>1840</v>
      </c>
      <c r="D312" s="18"/>
      <c r="E312" s="24">
        <v>8.5790863704E10</v>
      </c>
      <c r="F312" s="24">
        <v>1.0</v>
      </c>
      <c r="G312" s="18" t="s">
        <v>1840</v>
      </c>
      <c r="H312" s="18"/>
      <c r="I312" s="24">
        <v>8.5790863704E10</v>
      </c>
      <c r="J312" s="18" t="s">
        <v>1841</v>
      </c>
      <c r="K312" s="18"/>
      <c r="L312" s="18" t="s">
        <v>1842</v>
      </c>
    </row>
    <row r="313">
      <c r="A313" s="18" t="s">
        <v>1843</v>
      </c>
      <c r="B313" s="18" t="s">
        <v>791</v>
      </c>
      <c r="C313" s="18" t="s">
        <v>1844</v>
      </c>
      <c r="D313" s="18"/>
      <c r="E313" s="24">
        <v>8.2257791825E10</v>
      </c>
      <c r="F313" s="24">
        <v>1.0</v>
      </c>
      <c r="G313" s="18" t="s">
        <v>1844</v>
      </c>
      <c r="H313" s="18"/>
      <c r="I313" s="24">
        <v>8.2257791825E10</v>
      </c>
      <c r="J313" s="18" t="s">
        <v>1845</v>
      </c>
      <c r="K313" s="18"/>
      <c r="L313" s="18" t="s">
        <v>1846</v>
      </c>
    </row>
    <row r="314">
      <c r="A314" s="18" t="s">
        <v>1847</v>
      </c>
      <c r="B314" s="18" t="s">
        <v>791</v>
      </c>
      <c r="C314" s="18" t="s">
        <v>1848</v>
      </c>
      <c r="D314" s="18"/>
      <c r="E314" s="24">
        <v>8.1335208487E10</v>
      </c>
      <c r="F314" s="24">
        <v>1.0</v>
      </c>
      <c r="G314" s="18" t="s">
        <v>1848</v>
      </c>
      <c r="H314" s="18"/>
      <c r="I314" s="24">
        <v>8.1335208487E10</v>
      </c>
      <c r="J314" s="18" t="s">
        <v>1849</v>
      </c>
      <c r="K314" s="18"/>
      <c r="L314" s="18" t="s">
        <v>1850</v>
      </c>
    </row>
    <row r="315">
      <c r="A315" s="18" t="s">
        <v>1851</v>
      </c>
      <c r="B315" s="18" t="s">
        <v>791</v>
      </c>
      <c r="C315" s="18" t="s">
        <v>1852</v>
      </c>
      <c r="D315" s="18"/>
      <c r="E315" s="24">
        <v>8.230185852E10</v>
      </c>
      <c r="F315" s="24">
        <v>1.0</v>
      </c>
      <c r="G315" s="18" t="s">
        <v>1852</v>
      </c>
      <c r="H315" s="18"/>
      <c r="I315" s="24">
        <v>8.230185852E10</v>
      </c>
      <c r="J315" s="18" t="s">
        <v>1853</v>
      </c>
      <c r="K315" s="18"/>
      <c r="L315" s="18" t="s">
        <v>1854</v>
      </c>
    </row>
    <row r="316">
      <c r="A316" s="18" t="s">
        <v>1855</v>
      </c>
      <c r="B316" s="18" t="s">
        <v>791</v>
      </c>
      <c r="C316" s="18" t="s">
        <v>1856</v>
      </c>
      <c r="D316" s="18"/>
      <c r="E316" s="24">
        <v>1.0</v>
      </c>
      <c r="F316" s="24">
        <v>1.0</v>
      </c>
      <c r="G316" s="18" t="s">
        <v>1856</v>
      </c>
      <c r="H316" s="18"/>
      <c r="I316" s="24">
        <v>1.0</v>
      </c>
      <c r="J316" s="18" t="s">
        <v>1857</v>
      </c>
      <c r="K316" s="18"/>
      <c r="L316" s="18" t="s">
        <v>1466</v>
      </c>
    </row>
    <row r="317">
      <c r="A317" s="18" t="s">
        <v>1858</v>
      </c>
      <c r="B317" s="18" t="s">
        <v>791</v>
      </c>
      <c r="C317" s="18" t="s">
        <v>1859</v>
      </c>
      <c r="D317" s="18"/>
      <c r="E317" s="24">
        <v>8.5235094487E10</v>
      </c>
      <c r="F317" s="24">
        <v>1.0</v>
      </c>
      <c r="G317" s="18" t="s">
        <v>1859</v>
      </c>
      <c r="H317" s="18"/>
      <c r="I317" s="24">
        <v>8.5235094487E10</v>
      </c>
      <c r="J317" s="18" t="s">
        <v>1860</v>
      </c>
      <c r="K317" s="18"/>
      <c r="L317" s="18" t="s">
        <v>1861</v>
      </c>
    </row>
    <row r="318">
      <c r="A318" s="18" t="s">
        <v>1862</v>
      </c>
      <c r="B318" s="18" t="s">
        <v>791</v>
      </c>
      <c r="C318" s="18" t="s">
        <v>1863</v>
      </c>
      <c r="D318" s="18"/>
      <c r="E318" s="24">
        <v>8.5259906195E10</v>
      </c>
      <c r="F318" s="24">
        <v>1.0</v>
      </c>
      <c r="G318" s="18" t="s">
        <v>1863</v>
      </c>
      <c r="H318" s="18"/>
      <c r="I318" s="24">
        <v>8.5259906195E10</v>
      </c>
      <c r="J318" s="18" t="s">
        <v>1864</v>
      </c>
      <c r="K318" s="18"/>
      <c r="L318" s="18" t="s">
        <v>1865</v>
      </c>
    </row>
    <row r="319">
      <c r="A319" s="18" t="s">
        <v>1866</v>
      </c>
      <c r="B319" s="18" t="s">
        <v>791</v>
      </c>
      <c r="C319" s="18" t="s">
        <v>1867</v>
      </c>
      <c r="D319" s="18"/>
      <c r="E319" s="24">
        <v>8.1225133819E10</v>
      </c>
      <c r="F319" s="24">
        <v>1.0</v>
      </c>
      <c r="G319" s="18" t="s">
        <v>1867</v>
      </c>
      <c r="H319" s="18"/>
      <c r="I319" s="24">
        <v>8.1225133819E10</v>
      </c>
      <c r="J319" s="18" t="s">
        <v>1868</v>
      </c>
      <c r="K319" s="18"/>
      <c r="L319" s="18" t="s">
        <v>1869</v>
      </c>
    </row>
    <row r="320">
      <c r="A320" s="18" t="s">
        <v>1870</v>
      </c>
      <c r="B320" s="18" t="s">
        <v>791</v>
      </c>
      <c r="C320" s="18" t="s">
        <v>1871</v>
      </c>
      <c r="D320" s="18"/>
      <c r="E320" s="24">
        <v>8.523694096E10</v>
      </c>
      <c r="F320" s="24">
        <v>1.0</v>
      </c>
      <c r="G320" s="18" t="s">
        <v>1871</v>
      </c>
      <c r="H320" s="18"/>
      <c r="I320" s="24">
        <v>8.523694096E10</v>
      </c>
      <c r="J320" s="18" t="s">
        <v>1872</v>
      </c>
      <c r="K320" s="18"/>
      <c r="L320" s="18" t="s">
        <v>1873</v>
      </c>
    </row>
    <row r="321">
      <c r="A321" s="18" t="s">
        <v>1874</v>
      </c>
      <c r="B321" s="18" t="s">
        <v>791</v>
      </c>
      <c r="C321" s="18" t="s">
        <v>1875</v>
      </c>
      <c r="D321" s="18"/>
      <c r="E321" s="24">
        <v>1.0</v>
      </c>
      <c r="F321" s="24">
        <v>1.0</v>
      </c>
      <c r="G321" s="18" t="s">
        <v>1875</v>
      </c>
      <c r="H321" s="18"/>
      <c r="I321" s="24">
        <v>1.0</v>
      </c>
      <c r="J321" s="18" t="s">
        <v>1876</v>
      </c>
      <c r="K321" s="18"/>
      <c r="L321" s="18" t="s">
        <v>1673</v>
      </c>
    </row>
    <row r="322">
      <c r="A322" s="18" t="s">
        <v>1877</v>
      </c>
      <c r="B322" s="18" t="s">
        <v>791</v>
      </c>
      <c r="C322" s="18" t="s">
        <v>1878</v>
      </c>
      <c r="D322" s="18"/>
      <c r="E322" s="24">
        <v>8.5748519088E10</v>
      </c>
      <c r="F322" s="24">
        <v>1.0</v>
      </c>
      <c r="G322" s="18" t="s">
        <v>1878</v>
      </c>
      <c r="H322" s="18"/>
      <c r="I322" s="24">
        <v>8.5748519088E10</v>
      </c>
      <c r="J322" s="18" t="s">
        <v>1879</v>
      </c>
      <c r="K322" s="18"/>
      <c r="L322" s="18" t="s">
        <v>1881</v>
      </c>
    </row>
    <row r="323">
      <c r="A323" s="18" t="s">
        <v>1882</v>
      </c>
      <c r="B323" s="18" t="s">
        <v>791</v>
      </c>
      <c r="C323" s="18" t="s">
        <v>1883</v>
      </c>
      <c r="D323" s="18"/>
      <c r="E323" s="24">
        <v>1.0</v>
      </c>
      <c r="F323" s="24">
        <v>1.0</v>
      </c>
      <c r="G323" s="18" t="s">
        <v>1883</v>
      </c>
      <c r="H323" s="18"/>
      <c r="I323" s="24">
        <v>1.0</v>
      </c>
      <c r="J323" s="18" t="s">
        <v>1884</v>
      </c>
      <c r="K323" s="18"/>
      <c r="L323" s="18" t="s">
        <v>1673</v>
      </c>
    </row>
    <row r="324">
      <c r="A324" s="18" t="s">
        <v>1885</v>
      </c>
      <c r="B324" s="18" t="s">
        <v>791</v>
      </c>
      <c r="C324" s="18" t="s">
        <v>1886</v>
      </c>
      <c r="D324" s="18"/>
      <c r="E324" s="24">
        <v>8.133543388E10</v>
      </c>
      <c r="F324" s="24">
        <v>1.0</v>
      </c>
      <c r="G324" s="18" t="s">
        <v>1886</v>
      </c>
      <c r="H324" s="18"/>
      <c r="I324" s="24">
        <v>8.133543388E10</v>
      </c>
      <c r="J324" s="18" t="s">
        <v>1887</v>
      </c>
      <c r="K324" s="18"/>
      <c r="L324" s="18" t="s">
        <v>1888</v>
      </c>
    </row>
    <row r="325">
      <c r="A325" s="18" t="s">
        <v>1889</v>
      </c>
      <c r="B325" s="18" t="s">
        <v>791</v>
      </c>
      <c r="C325" s="18" t="s">
        <v>1890</v>
      </c>
      <c r="D325" s="18"/>
      <c r="E325" s="24">
        <v>8.1230515354E10</v>
      </c>
      <c r="F325" s="24">
        <v>1.0</v>
      </c>
      <c r="G325" s="18" t="s">
        <v>1890</v>
      </c>
      <c r="H325" s="18"/>
      <c r="I325" s="24">
        <v>8.1230515354E10</v>
      </c>
      <c r="J325" s="18" t="s">
        <v>1891</v>
      </c>
      <c r="K325" s="18"/>
      <c r="L325" s="18" t="s">
        <v>1892</v>
      </c>
    </row>
    <row r="326">
      <c r="A326" s="18" t="s">
        <v>1893</v>
      </c>
      <c r="B326" s="18" t="s">
        <v>791</v>
      </c>
      <c r="C326" s="18" t="s">
        <v>1894</v>
      </c>
      <c r="D326" s="18"/>
      <c r="E326" s="24">
        <v>8.2336841401E10</v>
      </c>
      <c r="F326" s="24">
        <v>1.0</v>
      </c>
      <c r="G326" s="18" t="s">
        <v>1894</v>
      </c>
      <c r="H326" s="18"/>
      <c r="I326" s="24">
        <v>8.2336841401E10</v>
      </c>
      <c r="J326" s="18" t="s">
        <v>1895</v>
      </c>
      <c r="K326" s="18"/>
      <c r="L326" s="18" t="s">
        <v>1896</v>
      </c>
    </row>
    <row r="327">
      <c r="A327" s="18" t="s">
        <v>1897</v>
      </c>
      <c r="B327" s="18" t="s">
        <v>791</v>
      </c>
      <c r="C327" s="18" t="s">
        <v>1898</v>
      </c>
      <c r="D327" s="18"/>
      <c r="E327" s="24">
        <v>8.2330907017E10</v>
      </c>
      <c r="F327" s="24">
        <v>1.0</v>
      </c>
      <c r="G327" s="18" t="s">
        <v>1898</v>
      </c>
      <c r="H327" s="18"/>
      <c r="I327" s="24">
        <v>8.2330907017E10</v>
      </c>
      <c r="J327" s="18" t="s">
        <v>1899</v>
      </c>
      <c r="K327" s="18"/>
      <c r="L327" s="18" t="s">
        <v>1900</v>
      </c>
    </row>
    <row r="328">
      <c r="A328" s="18" t="s">
        <v>1901</v>
      </c>
      <c r="B328" s="18" t="s">
        <v>791</v>
      </c>
      <c r="C328" s="18" t="s">
        <v>1902</v>
      </c>
      <c r="D328" s="18"/>
      <c r="E328" s="24">
        <v>8.5235630305E10</v>
      </c>
      <c r="F328" s="24">
        <v>1.0</v>
      </c>
      <c r="G328" s="18" t="s">
        <v>1902</v>
      </c>
      <c r="H328" s="18"/>
      <c r="I328" s="24">
        <v>8.5235630305E10</v>
      </c>
      <c r="J328" s="18" t="s">
        <v>1903</v>
      </c>
      <c r="K328" s="18"/>
      <c r="L328" s="18" t="s">
        <v>1511</v>
      </c>
    </row>
    <row r="329">
      <c r="A329" s="18" t="s">
        <v>1904</v>
      </c>
      <c r="B329" s="18" t="s">
        <v>791</v>
      </c>
      <c r="C329" s="18" t="s">
        <v>1905</v>
      </c>
      <c r="D329" s="18"/>
      <c r="E329" s="24">
        <v>8.5646256242E10</v>
      </c>
      <c r="F329" s="24">
        <v>1.0</v>
      </c>
      <c r="G329" s="18" t="s">
        <v>1905</v>
      </c>
      <c r="H329" s="18"/>
      <c r="I329" s="24">
        <v>8.5646256242E10</v>
      </c>
      <c r="J329" s="18" t="s">
        <v>1906</v>
      </c>
      <c r="K329" s="18"/>
      <c r="L329" s="18" t="s">
        <v>1907</v>
      </c>
    </row>
    <row r="330">
      <c r="A330" s="18" t="s">
        <v>1908</v>
      </c>
      <c r="B330" s="18" t="s">
        <v>791</v>
      </c>
      <c r="C330" s="18" t="s">
        <v>1905</v>
      </c>
      <c r="D330" s="18"/>
      <c r="E330" s="24">
        <v>8.5646256243E10</v>
      </c>
      <c r="F330" s="24">
        <v>1.0</v>
      </c>
      <c r="G330" s="18" t="s">
        <v>1905</v>
      </c>
      <c r="H330" s="18"/>
      <c r="I330" s="24">
        <v>8.5646256243E10</v>
      </c>
      <c r="J330" s="18" t="s">
        <v>1909</v>
      </c>
      <c r="K330" s="18"/>
      <c r="L330" s="18" t="s">
        <v>1910</v>
      </c>
    </row>
    <row r="331">
      <c r="A331" s="18" t="s">
        <v>1911</v>
      </c>
      <c r="B331" s="18" t="s">
        <v>791</v>
      </c>
      <c r="C331" s="18" t="s">
        <v>1912</v>
      </c>
      <c r="D331" s="18"/>
      <c r="E331" s="24">
        <v>8.135975241E10</v>
      </c>
      <c r="F331" s="24">
        <v>1.0</v>
      </c>
      <c r="G331" s="18" t="s">
        <v>1912</v>
      </c>
      <c r="H331" s="18"/>
      <c r="I331" s="24">
        <v>8.135975241E10</v>
      </c>
      <c r="J331" s="18" t="s">
        <v>1913</v>
      </c>
      <c r="K331" s="18"/>
      <c r="L331" s="18" t="s">
        <v>1914</v>
      </c>
    </row>
    <row r="332">
      <c r="A332" s="18" t="s">
        <v>1915</v>
      </c>
      <c r="B332" s="18" t="s">
        <v>791</v>
      </c>
      <c r="C332" s="18" t="s">
        <v>1916</v>
      </c>
      <c r="D332" s="18"/>
      <c r="E332" s="24">
        <v>8.15566411E10</v>
      </c>
      <c r="F332" s="24">
        <v>1.0</v>
      </c>
      <c r="G332" s="18" t="s">
        <v>1916</v>
      </c>
      <c r="H332" s="18"/>
      <c r="I332" s="24">
        <v>8.15566411E10</v>
      </c>
      <c r="J332" s="18" t="s">
        <v>1917</v>
      </c>
      <c r="K332" s="18"/>
      <c r="L332" s="18" t="s">
        <v>1918</v>
      </c>
    </row>
    <row r="333">
      <c r="A333" s="18" t="s">
        <v>1919</v>
      </c>
      <c r="B333" s="18" t="s">
        <v>791</v>
      </c>
      <c r="C333" s="18" t="s">
        <v>1920</v>
      </c>
      <c r="D333" s="18"/>
      <c r="E333" s="24">
        <v>1.0</v>
      </c>
      <c r="F333" s="24">
        <v>1.0</v>
      </c>
      <c r="G333" s="18" t="s">
        <v>1920</v>
      </c>
      <c r="H333" s="18"/>
      <c r="I333" s="24">
        <v>1.0</v>
      </c>
      <c r="J333" s="18" t="s">
        <v>1921</v>
      </c>
      <c r="K333" s="18"/>
      <c r="L333" s="18" t="s">
        <v>1466</v>
      </c>
    </row>
    <row r="334">
      <c r="A334" s="18" t="s">
        <v>1922</v>
      </c>
      <c r="B334" s="18" t="s">
        <v>791</v>
      </c>
      <c r="C334" s="18" t="s">
        <v>1923</v>
      </c>
      <c r="D334" s="18"/>
      <c r="E334" s="24">
        <v>8.2132190159E10</v>
      </c>
      <c r="F334" s="24">
        <v>1.0</v>
      </c>
      <c r="G334" s="18" t="s">
        <v>1923</v>
      </c>
      <c r="H334" s="18"/>
      <c r="I334" s="24">
        <v>8.2132190159E10</v>
      </c>
      <c r="J334" s="18" t="s">
        <v>1924</v>
      </c>
      <c r="K334" s="18"/>
      <c r="L334" s="18" t="s">
        <v>1681</v>
      </c>
    </row>
    <row r="335">
      <c r="A335" s="18" t="s">
        <v>1925</v>
      </c>
      <c r="B335" s="18" t="s">
        <v>791</v>
      </c>
      <c r="C335" s="18" t="s">
        <v>1926</v>
      </c>
      <c r="D335" s="18"/>
      <c r="E335" s="24">
        <v>8.1230925577E10</v>
      </c>
      <c r="F335" s="24">
        <v>1.0</v>
      </c>
      <c r="G335" s="18" t="s">
        <v>1926</v>
      </c>
      <c r="H335" s="18"/>
      <c r="I335" s="24">
        <v>8.1230925577E10</v>
      </c>
      <c r="J335" s="18" t="s">
        <v>1927</v>
      </c>
      <c r="K335" s="18"/>
      <c r="L335" s="18" t="s">
        <v>1928</v>
      </c>
    </row>
    <row r="336">
      <c r="A336" s="18" t="s">
        <v>1929</v>
      </c>
      <c r="B336" s="18" t="s">
        <v>791</v>
      </c>
      <c r="C336" s="18" t="s">
        <v>1930</v>
      </c>
      <c r="D336" s="18"/>
      <c r="E336" s="24">
        <v>1.0</v>
      </c>
      <c r="F336" s="24">
        <v>1.0</v>
      </c>
      <c r="G336" s="18" t="s">
        <v>1930</v>
      </c>
      <c r="H336" s="18"/>
      <c r="I336" s="24">
        <v>1.0</v>
      </c>
      <c r="J336" s="18" t="s">
        <v>1931</v>
      </c>
      <c r="K336" s="18"/>
      <c r="L336" s="18" t="s">
        <v>1474</v>
      </c>
    </row>
    <row r="337">
      <c r="A337" s="18" t="s">
        <v>1932</v>
      </c>
      <c r="B337" s="18" t="s">
        <v>791</v>
      </c>
      <c r="C337" s="18" t="s">
        <v>1933</v>
      </c>
      <c r="D337" s="18"/>
      <c r="E337" s="24">
        <v>8.1527046505E10</v>
      </c>
      <c r="F337" s="24">
        <v>1.0</v>
      </c>
      <c r="G337" s="18" t="s">
        <v>1933</v>
      </c>
      <c r="H337" s="18"/>
      <c r="I337" s="24">
        <v>8.1527046505E10</v>
      </c>
      <c r="J337" s="18" t="s">
        <v>1934</v>
      </c>
      <c r="K337" s="18"/>
      <c r="L337" s="18" t="s">
        <v>1935</v>
      </c>
    </row>
    <row r="338">
      <c r="A338" s="18" t="s">
        <v>1936</v>
      </c>
      <c r="B338" s="18" t="s">
        <v>791</v>
      </c>
      <c r="C338" s="18" t="s">
        <v>1937</v>
      </c>
      <c r="D338" s="18"/>
      <c r="E338" s="24">
        <v>8.1330019908E10</v>
      </c>
      <c r="F338" s="24">
        <v>1.0</v>
      </c>
      <c r="G338" s="18" t="s">
        <v>1937</v>
      </c>
      <c r="H338" s="18"/>
      <c r="I338" s="24">
        <v>8.1330019908E10</v>
      </c>
      <c r="J338" s="18" t="s">
        <v>1938</v>
      </c>
      <c r="K338" s="18"/>
      <c r="L338" s="18" t="s">
        <v>1939</v>
      </c>
    </row>
    <row r="339">
      <c r="A339" s="18" t="s">
        <v>1940</v>
      </c>
      <c r="B339" s="18" t="s">
        <v>791</v>
      </c>
      <c r="C339" s="18" t="s">
        <v>1941</v>
      </c>
      <c r="D339" s="18"/>
      <c r="E339" s="24">
        <v>8.5645477374E10</v>
      </c>
      <c r="F339" s="24">
        <v>1.0</v>
      </c>
      <c r="G339" s="18" t="s">
        <v>1941</v>
      </c>
      <c r="H339" s="18"/>
      <c r="I339" s="24">
        <v>8.5645477374E10</v>
      </c>
      <c r="J339" s="18" t="s">
        <v>1942</v>
      </c>
      <c r="K339" s="18"/>
      <c r="L339" s="18" t="s">
        <v>1830</v>
      </c>
    </row>
    <row r="340">
      <c r="A340" s="18" t="s">
        <v>1943</v>
      </c>
      <c r="B340" s="18" t="s">
        <v>791</v>
      </c>
      <c r="C340" s="18" t="s">
        <v>1944</v>
      </c>
      <c r="D340" s="18"/>
      <c r="E340" s="24">
        <v>1.0</v>
      </c>
      <c r="F340" s="24">
        <v>1.0</v>
      </c>
      <c r="G340" s="18" t="s">
        <v>1944</v>
      </c>
      <c r="H340" s="18"/>
      <c r="I340" s="24">
        <v>1.0</v>
      </c>
      <c r="J340" s="18" t="s">
        <v>1945</v>
      </c>
      <c r="K340" s="18"/>
      <c r="L340" s="18" t="s">
        <v>1546</v>
      </c>
    </row>
    <row r="341">
      <c r="A341" s="18" t="s">
        <v>1947</v>
      </c>
      <c r="B341" s="18" t="s">
        <v>791</v>
      </c>
      <c r="C341" s="18" t="s">
        <v>1949</v>
      </c>
      <c r="D341" s="18"/>
      <c r="E341" s="24">
        <v>8.5853417211E10</v>
      </c>
      <c r="F341" s="24">
        <v>1.0</v>
      </c>
      <c r="G341" s="18" t="s">
        <v>1949</v>
      </c>
      <c r="H341" s="18"/>
      <c r="I341" s="24">
        <v>8.5853417211E10</v>
      </c>
      <c r="J341" s="18" t="s">
        <v>1950</v>
      </c>
      <c r="K341" s="18"/>
      <c r="L341" s="18" t="s">
        <v>1951</v>
      </c>
    </row>
    <row r="342">
      <c r="A342" s="18" t="s">
        <v>1952</v>
      </c>
      <c r="B342" s="18" t="s">
        <v>791</v>
      </c>
      <c r="C342" s="18" t="s">
        <v>1953</v>
      </c>
      <c r="D342" s="18"/>
      <c r="E342" s="24">
        <v>1.0</v>
      </c>
      <c r="F342" s="24">
        <v>1.0</v>
      </c>
      <c r="G342" s="18" t="s">
        <v>1953</v>
      </c>
      <c r="H342" s="18"/>
      <c r="I342" s="24">
        <v>1.0</v>
      </c>
      <c r="J342" s="18" t="s">
        <v>1954</v>
      </c>
      <c r="K342" s="18"/>
      <c r="L342" s="18" t="s">
        <v>1474</v>
      </c>
    </row>
    <row r="343">
      <c r="A343" s="18" t="s">
        <v>1955</v>
      </c>
      <c r="B343" s="18" t="s">
        <v>791</v>
      </c>
      <c r="C343" s="18" t="s">
        <v>1956</v>
      </c>
      <c r="D343" s="18"/>
      <c r="E343" s="24">
        <v>8.2331695666E10</v>
      </c>
      <c r="F343" s="24">
        <v>1.0</v>
      </c>
      <c r="G343" s="18" t="s">
        <v>1956</v>
      </c>
      <c r="H343" s="18"/>
      <c r="I343" s="24">
        <v>8.2331695666E10</v>
      </c>
      <c r="J343" s="18" t="s">
        <v>1957</v>
      </c>
      <c r="K343" s="18"/>
      <c r="L343" s="18" t="s">
        <v>1958</v>
      </c>
    </row>
    <row r="344">
      <c r="A344" s="18" t="s">
        <v>1959</v>
      </c>
      <c r="B344" s="18" t="s">
        <v>791</v>
      </c>
      <c r="C344" s="18" t="s">
        <v>1960</v>
      </c>
      <c r="D344" s="18"/>
      <c r="E344" s="24">
        <v>8.5235665154E10</v>
      </c>
      <c r="F344" s="24">
        <v>1.0</v>
      </c>
      <c r="G344" s="18" t="s">
        <v>1960</v>
      </c>
      <c r="H344" s="18"/>
      <c r="I344" s="24">
        <v>8.5235665154E10</v>
      </c>
      <c r="J344" s="18" t="s">
        <v>1961</v>
      </c>
      <c r="K344" s="18"/>
      <c r="L344" s="18" t="s">
        <v>949</v>
      </c>
    </row>
    <row r="345">
      <c r="A345" s="18" t="s">
        <v>1962</v>
      </c>
      <c r="B345" s="18" t="s">
        <v>791</v>
      </c>
      <c r="C345" s="18" t="s">
        <v>1963</v>
      </c>
      <c r="D345" s="18"/>
      <c r="E345" s="24">
        <v>1.0</v>
      </c>
      <c r="F345" s="24">
        <v>1.0</v>
      </c>
      <c r="G345" s="18" t="s">
        <v>1963</v>
      </c>
      <c r="H345" s="18"/>
      <c r="I345" s="24">
        <v>1.0</v>
      </c>
      <c r="J345" s="18" t="s">
        <v>1964</v>
      </c>
      <c r="K345" s="18"/>
      <c r="L345" s="18" t="s">
        <v>1546</v>
      </c>
    </row>
    <row r="346">
      <c r="A346" s="18" t="s">
        <v>1965</v>
      </c>
      <c r="B346" s="18" t="s">
        <v>791</v>
      </c>
      <c r="C346" s="18" t="s">
        <v>1966</v>
      </c>
      <c r="D346" s="18"/>
      <c r="E346" s="24">
        <v>8.1252779695E10</v>
      </c>
      <c r="F346" s="24">
        <v>1.0</v>
      </c>
      <c r="G346" s="18" t="s">
        <v>1966</v>
      </c>
      <c r="H346" s="18"/>
      <c r="I346" s="24">
        <v>8.1252779695E10</v>
      </c>
      <c r="J346" s="18" t="s">
        <v>1967</v>
      </c>
      <c r="K346" s="18"/>
      <c r="L346" s="18" t="s">
        <v>1850</v>
      </c>
    </row>
    <row r="347">
      <c r="A347" s="18" t="s">
        <v>1968</v>
      </c>
      <c r="B347" s="18" t="s">
        <v>791</v>
      </c>
      <c r="C347" s="18" t="s">
        <v>1969</v>
      </c>
      <c r="D347" s="18"/>
      <c r="E347" s="24">
        <v>8.5230936776E10</v>
      </c>
      <c r="F347" s="24">
        <v>1.0</v>
      </c>
      <c r="G347" s="18" t="s">
        <v>1969</v>
      </c>
      <c r="H347" s="18"/>
      <c r="I347" s="24">
        <v>8.5230936776E10</v>
      </c>
      <c r="J347" s="18" t="s">
        <v>1970</v>
      </c>
      <c r="K347" s="18"/>
      <c r="L347" s="18" t="s">
        <v>1971</v>
      </c>
    </row>
    <row r="348">
      <c r="A348" s="18" t="s">
        <v>1972</v>
      </c>
      <c r="B348" s="18" t="s">
        <v>791</v>
      </c>
      <c r="C348" s="18" t="s">
        <v>1973</v>
      </c>
      <c r="D348" s="18"/>
      <c r="E348" s="24">
        <v>8.5230980404E10</v>
      </c>
      <c r="F348" s="24">
        <v>1.0</v>
      </c>
      <c r="G348" s="18" t="s">
        <v>1973</v>
      </c>
      <c r="H348" s="18"/>
      <c r="I348" s="24">
        <v>8.5230980404E10</v>
      </c>
      <c r="J348" s="18" t="s">
        <v>1974</v>
      </c>
      <c r="K348" s="18"/>
      <c r="L348" s="18" t="s">
        <v>1975</v>
      </c>
    </row>
    <row r="349">
      <c r="A349" s="18" t="s">
        <v>1976</v>
      </c>
      <c r="B349" s="18" t="s">
        <v>791</v>
      </c>
      <c r="C349" s="18" t="s">
        <v>1977</v>
      </c>
      <c r="D349" s="18"/>
      <c r="E349" s="24">
        <v>8.1259621869E10</v>
      </c>
      <c r="F349" s="24">
        <v>1.0</v>
      </c>
      <c r="G349" s="18" t="s">
        <v>1977</v>
      </c>
      <c r="H349" s="18"/>
      <c r="I349" s="24">
        <v>8.1259621869E10</v>
      </c>
      <c r="J349" s="18" t="s">
        <v>1978</v>
      </c>
      <c r="K349" s="18"/>
      <c r="L349" s="18" t="s">
        <v>1979</v>
      </c>
    </row>
    <row r="350">
      <c r="A350" s="18" t="s">
        <v>1980</v>
      </c>
      <c r="B350" s="18" t="s">
        <v>791</v>
      </c>
      <c r="C350" s="18" t="s">
        <v>1981</v>
      </c>
      <c r="D350" s="18"/>
      <c r="E350" s="24">
        <v>8.2301152355E10</v>
      </c>
      <c r="F350" s="24">
        <v>1.0</v>
      </c>
      <c r="G350" s="18" t="s">
        <v>1981</v>
      </c>
      <c r="H350" s="18"/>
      <c r="I350" s="24">
        <v>8.2301152355E10</v>
      </c>
      <c r="J350" s="18" t="s">
        <v>1982</v>
      </c>
      <c r="K350" s="18"/>
      <c r="L350" s="18" t="s">
        <v>1700</v>
      </c>
    </row>
    <row r="351">
      <c r="A351" s="18" t="s">
        <v>1983</v>
      </c>
      <c r="B351" s="18" t="s">
        <v>791</v>
      </c>
      <c r="C351" s="18" t="s">
        <v>1984</v>
      </c>
      <c r="D351" s="18"/>
      <c r="E351" s="24">
        <v>8.1335389595E10</v>
      </c>
      <c r="F351" s="24">
        <v>1.0</v>
      </c>
      <c r="G351" s="18" t="s">
        <v>1984</v>
      </c>
      <c r="H351" s="18"/>
      <c r="I351" s="24">
        <v>8.1335389595E10</v>
      </c>
      <c r="J351" s="18" t="s">
        <v>1985</v>
      </c>
      <c r="K351" s="18"/>
      <c r="L351" s="18" t="s">
        <v>1986</v>
      </c>
    </row>
    <row r="352">
      <c r="A352" s="18" t="s">
        <v>1987</v>
      </c>
      <c r="B352" s="18" t="s">
        <v>791</v>
      </c>
      <c r="C352" s="18" t="s">
        <v>1988</v>
      </c>
      <c r="D352" s="18"/>
      <c r="E352" s="24">
        <v>8.1335208487E10</v>
      </c>
      <c r="F352" s="24">
        <v>1.0</v>
      </c>
      <c r="G352" s="18" t="s">
        <v>1988</v>
      </c>
      <c r="H352" s="18"/>
      <c r="I352" s="24">
        <v>8.1335208487E10</v>
      </c>
      <c r="J352" s="18" t="s">
        <v>1989</v>
      </c>
      <c r="K352" s="18"/>
      <c r="L352" s="18" t="s">
        <v>1850</v>
      </c>
    </row>
    <row r="353">
      <c r="A353" s="18" t="s">
        <v>1990</v>
      </c>
      <c r="B353" s="18" t="s">
        <v>791</v>
      </c>
      <c r="C353" s="18" t="s">
        <v>1991</v>
      </c>
      <c r="D353" s="18"/>
      <c r="E353" s="24">
        <v>8.5103373231E10</v>
      </c>
      <c r="F353" s="24">
        <v>1.0</v>
      </c>
      <c r="G353" s="18" t="s">
        <v>1991</v>
      </c>
      <c r="H353" s="18"/>
      <c r="I353" s="24">
        <v>8.5103373231E10</v>
      </c>
      <c r="J353" s="18" t="s">
        <v>1992</v>
      </c>
      <c r="K353" s="18"/>
      <c r="L353" s="18" t="s">
        <v>1519</v>
      </c>
    </row>
    <row r="354">
      <c r="A354" s="18" t="s">
        <v>1993</v>
      </c>
      <c r="B354" s="18" t="s">
        <v>791</v>
      </c>
      <c r="C354" s="18" t="s">
        <v>1994</v>
      </c>
      <c r="D354" s="18"/>
      <c r="E354" s="24">
        <v>8.13345206E10</v>
      </c>
      <c r="F354" s="24">
        <v>1.0</v>
      </c>
      <c r="G354" s="18" t="s">
        <v>1994</v>
      </c>
      <c r="H354" s="18"/>
      <c r="I354" s="24">
        <v>8.13345206E10</v>
      </c>
      <c r="J354" s="18" t="s">
        <v>1995</v>
      </c>
      <c r="K354" s="18"/>
      <c r="L354" s="18" t="s">
        <v>1996</v>
      </c>
    </row>
    <row r="355">
      <c r="A355" s="18" t="s">
        <v>1997</v>
      </c>
      <c r="B355" s="18" t="s">
        <v>791</v>
      </c>
      <c r="C355" s="18" t="s">
        <v>1998</v>
      </c>
      <c r="D355" s="18"/>
      <c r="E355" s="24">
        <v>8.1311827844E10</v>
      </c>
      <c r="F355" s="24">
        <v>1.0</v>
      </c>
      <c r="G355" s="18" t="s">
        <v>1998</v>
      </c>
      <c r="H355" s="18"/>
      <c r="I355" s="24">
        <v>8.1311827844E10</v>
      </c>
      <c r="J355" s="18" t="s">
        <v>1999</v>
      </c>
      <c r="K355" s="18"/>
      <c r="L355" s="18" t="s">
        <v>1681</v>
      </c>
    </row>
    <row r="356">
      <c r="A356" s="18" t="s">
        <v>2000</v>
      </c>
      <c r="B356" s="18" t="s">
        <v>791</v>
      </c>
      <c r="C356" s="18" t="s">
        <v>2001</v>
      </c>
      <c r="D356" s="18"/>
      <c r="E356" s="24">
        <v>8.1331198303E10</v>
      </c>
      <c r="F356" s="24">
        <v>1.0</v>
      </c>
      <c r="G356" s="18" t="s">
        <v>2001</v>
      </c>
      <c r="H356" s="18"/>
      <c r="I356" s="24">
        <v>8.1331198303E10</v>
      </c>
      <c r="J356" s="18" t="s">
        <v>2002</v>
      </c>
      <c r="K356" s="18"/>
      <c r="L356" s="18" t="s">
        <v>2003</v>
      </c>
    </row>
    <row r="357">
      <c r="A357" s="18" t="s">
        <v>2004</v>
      </c>
      <c r="B357" s="18" t="s">
        <v>791</v>
      </c>
      <c r="C357" s="18" t="s">
        <v>2005</v>
      </c>
      <c r="D357" s="18"/>
      <c r="E357" s="24">
        <v>1.0</v>
      </c>
      <c r="F357" s="24">
        <v>1.0</v>
      </c>
      <c r="G357" s="18" t="s">
        <v>2005</v>
      </c>
      <c r="H357" s="18"/>
      <c r="I357" s="24">
        <v>1.0</v>
      </c>
      <c r="J357" s="18" t="s">
        <v>2006</v>
      </c>
      <c r="K357" s="18"/>
      <c r="L357" s="18" t="s">
        <v>1546</v>
      </c>
    </row>
    <row r="358">
      <c r="A358" s="18" t="s">
        <v>2007</v>
      </c>
      <c r="B358" s="18" t="s">
        <v>791</v>
      </c>
      <c r="C358" s="18" t="s">
        <v>2008</v>
      </c>
      <c r="D358" s="18"/>
      <c r="E358" s="24">
        <v>1.0</v>
      </c>
      <c r="F358" s="24">
        <v>1.0</v>
      </c>
      <c r="G358" s="18" t="s">
        <v>2008</v>
      </c>
      <c r="H358" s="18"/>
      <c r="I358" s="24">
        <v>1.0</v>
      </c>
      <c r="J358" s="18" t="s">
        <v>2009</v>
      </c>
      <c r="K358" s="18"/>
      <c r="L358" s="18" t="s">
        <v>1489</v>
      </c>
    </row>
    <row r="359">
      <c r="A359" s="18" t="s">
        <v>2010</v>
      </c>
      <c r="B359" s="18" t="s">
        <v>791</v>
      </c>
      <c r="C359" s="18" t="s">
        <v>2011</v>
      </c>
      <c r="D359" s="18"/>
      <c r="E359" s="24">
        <v>1.0</v>
      </c>
      <c r="F359" s="24">
        <v>1.0</v>
      </c>
      <c r="G359" s="18" t="s">
        <v>2011</v>
      </c>
      <c r="H359" s="18"/>
      <c r="I359" s="24">
        <v>1.0</v>
      </c>
      <c r="J359" s="18" t="s">
        <v>2012</v>
      </c>
      <c r="K359" s="18"/>
      <c r="L359" s="18" t="s">
        <v>2013</v>
      </c>
    </row>
    <row r="360">
      <c r="A360" s="18" t="s">
        <v>2014</v>
      </c>
      <c r="B360" s="18" t="s">
        <v>791</v>
      </c>
      <c r="C360" s="18" t="s">
        <v>2016</v>
      </c>
      <c r="D360" s="18"/>
      <c r="E360" s="24">
        <v>8.233171555E9</v>
      </c>
      <c r="F360" s="24">
        <v>1.0</v>
      </c>
      <c r="G360" s="18" t="s">
        <v>2016</v>
      </c>
      <c r="H360" s="18"/>
      <c r="I360" s="24">
        <v>8.233171555E9</v>
      </c>
      <c r="J360" s="18" t="s">
        <v>2017</v>
      </c>
      <c r="K360" s="18"/>
      <c r="L360" s="18" t="s">
        <v>2018</v>
      </c>
    </row>
    <row r="361">
      <c r="A361" s="18" t="s">
        <v>2019</v>
      </c>
      <c r="B361" s="18" t="s">
        <v>791</v>
      </c>
      <c r="C361" s="18" t="s">
        <v>2020</v>
      </c>
      <c r="D361" s="18"/>
      <c r="E361" s="24">
        <v>8.5104622991E10</v>
      </c>
      <c r="F361" s="24">
        <v>1.0</v>
      </c>
      <c r="G361" s="18" t="s">
        <v>2020</v>
      </c>
      <c r="H361" s="18"/>
      <c r="I361" s="24">
        <v>8.5104622991E10</v>
      </c>
      <c r="J361" s="18" t="s">
        <v>2021</v>
      </c>
      <c r="K361" s="18"/>
      <c r="L361" s="18" t="s">
        <v>2022</v>
      </c>
    </row>
    <row r="362">
      <c r="A362" s="18" t="s">
        <v>1033</v>
      </c>
      <c r="B362" s="18" t="s">
        <v>791</v>
      </c>
      <c r="C362" s="18" t="s">
        <v>1036</v>
      </c>
      <c r="D362" s="18" t="s">
        <v>279</v>
      </c>
      <c r="E362" s="24">
        <v>8.5334170068E10</v>
      </c>
      <c r="F362" s="24">
        <v>1.0</v>
      </c>
      <c r="G362" s="18" t="s">
        <v>1036</v>
      </c>
      <c r="H362" s="18" t="s">
        <v>279</v>
      </c>
      <c r="I362" s="24">
        <v>8.5334170068E10</v>
      </c>
      <c r="J362" s="18" t="s">
        <v>1035</v>
      </c>
      <c r="K362" s="18" t="s">
        <v>1035</v>
      </c>
      <c r="L362" s="18" t="s">
        <v>1037</v>
      </c>
    </row>
    <row r="363">
      <c r="A363" s="18" t="s">
        <v>2023</v>
      </c>
      <c r="B363" s="18" t="s">
        <v>791</v>
      </c>
      <c r="C363" s="18" t="s">
        <v>2024</v>
      </c>
      <c r="D363" s="18"/>
      <c r="E363" s="24">
        <v>1.0</v>
      </c>
      <c r="F363" s="24">
        <v>1.0</v>
      </c>
      <c r="G363" s="18" t="s">
        <v>2024</v>
      </c>
      <c r="H363" s="18"/>
      <c r="I363" s="24">
        <v>1.0</v>
      </c>
      <c r="J363" s="18" t="s">
        <v>2026</v>
      </c>
      <c r="K363" s="18"/>
      <c r="L363" s="18" t="s">
        <v>2013</v>
      </c>
    </row>
    <row r="364">
      <c r="A364" s="18" t="s">
        <v>2027</v>
      </c>
      <c r="B364" s="18" t="s">
        <v>791</v>
      </c>
      <c r="C364" s="18" t="s">
        <v>2028</v>
      </c>
      <c r="D364" s="18"/>
      <c r="E364" s="24">
        <v>8.5103373231E10</v>
      </c>
      <c r="F364" s="24">
        <v>1.0</v>
      </c>
      <c r="G364" s="18" t="s">
        <v>2028</v>
      </c>
      <c r="H364" s="18"/>
      <c r="I364" s="24">
        <v>8.5103373231E10</v>
      </c>
      <c r="J364" s="18" t="s">
        <v>2029</v>
      </c>
      <c r="K364" s="18"/>
      <c r="L364" s="18" t="s">
        <v>1519</v>
      </c>
    </row>
    <row r="365">
      <c r="A365" s="18" t="s">
        <v>1275</v>
      </c>
      <c r="B365" s="18" t="s">
        <v>791</v>
      </c>
      <c r="C365" s="18" t="s">
        <v>1277</v>
      </c>
      <c r="D365" s="18"/>
      <c r="E365" s="24">
        <v>8.1336304421E10</v>
      </c>
      <c r="F365" s="24">
        <v>1.0</v>
      </c>
      <c r="G365" s="18" t="s">
        <v>1277</v>
      </c>
      <c r="H365" s="18"/>
      <c r="I365" s="24">
        <v>8.1336304421E10</v>
      </c>
      <c r="J365" s="18" t="s">
        <v>1276</v>
      </c>
      <c r="K365" s="18"/>
      <c r="L365" s="18" t="s">
        <v>1278</v>
      </c>
    </row>
    <row r="366">
      <c r="A366" s="18" t="s">
        <v>2030</v>
      </c>
      <c r="B366" s="18" t="s">
        <v>791</v>
      </c>
      <c r="C366" s="18" t="s">
        <v>1277</v>
      </c>
      <c r="D366" s="18"/>
      <c r="E366" s="24">
        <v>8.1336184177E10</v>
      </c>
      <c r="F366" s="24">
        <v>1.0</v>
      </c>
      <c r="G366" s="18" t="s">
        <v>1277</v>
      </c>
      <c r="H366" s="18"/>
      <c r="I366" s="24">
        <v>8.1336184177E10</v>
      </c>
      <c r="J366" s="18" t="s">
        <v>2031</v>
      </c>
      <c r="K366" s="18"/>
      <c r="L366" s="18" t="s">
        <v>2032</v>
      </c>
    </row>
    <row r="367">
      <c r="A367" s="18" t="s">
        <v>2033</v>
      </c>
      <c r="B367" s="18" t="s">
        <v>791</v>
      </c>
      <c r="C367" s="18" t="s">
        <v>2034</v>
      </c>
      <c r="D367" s="18"/>
      <c r="E367" s="24">
        <v>8.5235647267E10</v>
      </c>
      <c r="F367" s="24">
        <v>1.0</v>
      </c>
      <c r="G367" s="18" t="s">
        <v>2034</v>
      </c>
      <c r="H367" s="18"/>
      <c r="I367" s="24">
        <v>8.5235647267E10</v>
      </c>
      <c r="J367" s="18" t="s">
        <v>2035</v>
      </c>
      <c r="K367" s="18"/>
      <c r="L367" s="18" t="s">
        <v>2036</v>
      </c>
    </row>
    <row r="368">
      <c r="A368" s="18" t="s">
        <v>2037</v>
      </c>
      <c r="B368" s="18" t="s">
        <v>791</v>
      </c>
      <c r="C368" s="18" t="s">
        <v>2038</v>
      </c>
      <c r="D368" s="18"/>
      <c r="E368" s="24">
        <v>8.2132190159E10</v>
      </c>
      <c r="F368" s="24">
        <v>1.0</v>
      </c>
      <c r="G368" s="18" t="s">
        <v>2038</v>
      </c>
      <c r="H368" s="18"/>
      <c r="I368" s="24">
        <v>8.2132190159E10</v>
      </c>
      <c r="J368" s="18" t="s">
        <v>2039</v>
      </c>
      <c r="K368" s="18"/>
      <c r="L368" s="18" t="s">
        <v>1681</v>
      </c>
    </row>
    <row r="369">
      <c r="A369" s="18" t="s">
        <v>2040</v>
      </c>
      <c r="B369" s="18" t="s">
        <v>791</v>
      </c>
      <c r="C369" s="18" t="s">
        <v>2038</v>
      </c>
      <c r="D369" s="18"/>
      <c r="E369" s="24">
        <v>8.2131008601E10</v>
      </c>
      <c r="F369" s="24">
        <v>1.0</v>
      </c>
      <c r="G369" s="18" t="s">
        <v>2038</v>
      </c>
      <c r="H369" s="18"/>
      <c r="I369" s="24">
        <v>8.2131008601E10</v>
      </c>
      <c r="J369" s="18" t="s">
        <v>2041</v>
      </c>
      <c r="K369" s="18"/>
      <c r="L369" s="18" t="s">
        <v>2042</v>
      </c>
    </row>
    <row r="370">
      <c r="A370" s="18" t="s">
        <v>2043</v>
      </c>
      <c r="B370" s="18" t="s">
        <v>791</v>
      </c>
      <c r="C370" s="18" t="s">
        <v>2044</v>
      </c>
      <c r="D370" s="18"/>
      <c r="E370" s="18"/>
      <c r="F370" s="24">
        <v>1.0</v>
      </c>
      <c r="G370" s="18" t="s">
        <v>2044</v>
      </c>
      <c r="H370" s="18"/>
      <c r="I370" s="18"/>
      <c r="J370" s="18" t="s">
        <v>2045</v>
      </c>
      <c r="K370" s="18"/>
      <c r="L370" s="18"/>
    </row>
    <row r="371">
      <c r="A371" s="18" t="s">
        <v>2046</v>
      </c>
      <c r="B371" s="18" t="s">
        <v>791</v>
      </c>
      <c r="C371" s="18" t="s">
        <v>2047</v>
      </c>
      <c r="D371" s="18"/>
      <c r="E371" s="24">
        <v>8.1226309333E10</v>
      </c>
      <c r="F371" s="24">
        <v>1.0</v>
      </c>
      <c r="G371" s="18" t="s">
        <v>2047</v>
      </c>
      <c r="H371" s="18"/>
      <c r="I371" s="24">
        <v>8.1226309333E10</v>
      </c>
      <c r="J371" s="18" t="s">
        <v>2048</v>
      </c>
      <c r="K371" s="18"/>
      <c r="L371" s="18" t="s">
        <v>2049</v>
      </c>
    </row>
    <row r="372">
      <c r="A372" s="18" t="s">
        <v>2050</v>
      </c>
      <c r="B372" s="18" t="s">
        <v>791</v>
      </c>
      <c r="C372" s="18" t="s">
        <v>2051</v>
      </c>
      <c r="D372" s="18"/>
      <c r="E372" s="24">
        <v>8.5708015999E10</v>
      </c>
      <c r="F372" s="24">
        <v>1.0</v>
      </c>
      <c r="G372" s="18" t="s">
        <v>2051</v>
      </c>
      <c r="H372" s="18"/>
      <c r="I372" s="24">
        <v>8.5708015999E10</v>
      </c>
      <c r="J372" s="18" t="s">
        <v>2052</v>
      </c>
      <c r="K372" s="18"/>
      <c r="L372" s="18" t="s">
        <v>1549</v>
      </c>
    </row>
    <row r="373">
      <c r="A373" s="18" t="s">
        <v>2053</v>
      </c>
      <c r="B373" s="18" t="s">
        <v>791</v>
      </c>
      <c r="C373" s="18" t="s">
        <v>2054</v>
      </c>
      <c r="D373" s="18"/>
      <c r="E373" s="24">
        <v>8.1329122107E10</v>
      </c>
      <c r="F373" s="24">
        <v>1.0</v>
      </c>
      <c r="G373" s="18" t="s">
        <v>2054</v>
      </c>
      <c r="H373" s="18"/>
      <c r="I373" s="24">
        <v>8.1329122107E10</v>
      </c>
      <c r="J373" s="18" t="s">
        <v>2055</v>
      </c>
      <c r="K373" s="18"/>
      <c r="L373" s="18" t="s">
        <v>1637</v>
      </c>
    </row>
    <row r="374">
      <c r="A374" s="18" t="s">
        <v>2056</v>
      </c>
      <c r="B374" s="18" t="s">
        <v>791</v>
      </c>
      <c r="C374" s="18" t="s">
        <v>2057</v>
      </c>
      <c r="D374" s="18"/>
      <c r="E374" s="24">
        <v>8.5755303676E10</v>
      </c>
      <c r="F374" s="24">
        <v>1.0</v>
      </c>
      <c r="G374" s="18" t="s">
        <v>2057</v>
      </c>
      <c r="H374" s="18"/>
      <c r="I374" s="24">
        <v>8.5755303676E10</v>
      </c>
      <c r="J374" s="18" t="s">
        <v>2058</v>
      </c>
      <c r="K374" s="18"/>
      <c r="L374" s="18" t="s">
        <v>2059</v>
      </c>
    </row>
    <row r="375">
      <c r="A375" s="18" t="s">
        <v>2060</v>
      </c>
      <c r="B375" s="18" t="s">
        <v>791</v>
      </c>
      <c r="C375" s="18" t="s">
        <v>2061</v>
      </c>
      <c r="D375" s="18"/>
      <c r="E375" s="24">
        <v>8.2140699265E10</v>
      </c>
      <c r="F375" s="24">
        <v>1.0</v>
      </c>
      <c r="G375" s="18" t="s">
        <v>2061</v>
      </c>
      <c r="H375" s="18"/>
      <c r="I375" s="24">
        <v>8.2140699265E10</v>
      </c>
      <c r="J375" s="18" t="s">
        <v>2062</v>
      </c>
      <c r="K375" s="18"/>
      <c r="L375" s="18" t="s">
        <v>1782</v>
      </c>
    </row>
    <row r="376">
      <c r="A376" s="18" t="s">
        <v>2063</v>
      </c>
      <c r="B376" s="18" t="s">
        <v>791</v>
      </c>
      <c r="C376" s="18" t="s">
        <v>2064</v>
      </c>
      <c r="D376" s="18"/>
      <c r="E376" s="24">
        <v>8.1311827844E10</v>
      </c>
      <c r="F376" s="24">
        <v>1.0</v>
      </c>
      <c r="G376" s="18" t="s">
        <v>2064</v>
      </c>
      <c r="H376" s="18"/>
      <c r="I376" s="24">
        <v>8.1311827844E10</v>
      </c>
      <c r="J376" s="18" t="s">
        <v>2065</v>
      </c>
      <c r="K376" s="18"/>
      <c r="L376" s="18" t="s">
        <v>1681</v>
      </c>
    </row>
    <row r="377">
      <c r="A377" s="18" t="s">
        <v>2066</v>
      </c>
      <c r="B377" s="18" t="s">
        <v>791</v>
      </c>
      <c r="C377" s="18" t="s">
        <v>2067</v>
      </c>
      <c r="D377" s="18"/>
      <c r="E377" s="24">
        <v>8.2132190158E10</v>
      </c>
      <c r="F377" s="24">
        <v>1.0</v>
      </c>
      <c r="G377" s="18" t="s">
        <v>2067</v>
      </c>
      <c r="H377" s="18"/>
      <c r="I377" s="24">
        <v>8.2132190158E10</v>
      </c>
      <c r="J377" s="18" t="s">
        <v>2068</v>
      </c>
      <c r="K377" s="18"/>
      <c r="L377" s="18" t="s">
        <v>1681</v>
      </c>
    </row>
    <row r="378">
      <c r="A378" s="18" t="s">
        <v>2069</v>
      </c>
      <c r="B378" s="18" t="s">
        <v>791</v>
      </c>
      <c r="C378" s="18" t="s">
        <v>2070</v>
      </c>
      <c r="D378" s="18"/>
      <c r="E378" s="24">
        <v>8.5233742066E10</v>
      </c>
      <c r="F378" s="24">
        <v>1.0</v>
      </c>
      <c r="G378" s="18" t="s">
        <v>2070</v>
      </c>
      <c r="H378" s="18"/>
      <c r="I378" s="24">
        <v>8.5233742066E10</v>
      </c>
      <c r="J378" s="18" t="s">
        <v>2071</v>
      </c>
      <c r="K378" s="18"/>
      <c r="L378" s="18" t="s">
        <v>1794</v>
      </c>
    </row>
    <row r="379">
      <c r="A379" s="18" t="s">
        <v>2072</v>
      </c>
      <c r="B379" s="18" t="s">
        <v>791</v>
      </c>
      <c r="C379" s="18" t="s">
        <v>2073</v>
      </c>
      <c r="D379" s="18"/>
      <c r="E379" s="24">
        <v>8.5233563465E10</v>
      </c>
      <c r="F379" s="24">
        <v>1.0</v>
      </c>
      <c r="G379" s="18" t="s">
        <v>2073</v>
      </c>
      <c r="H379" s="18"/>
      <c r="I379" s="24">
        <v>8.5233563465E10</v>
      </c>
      <c r="J379" s="18" t="s">
        <v>2074</v>
      </c>
      <c r="K379" s="18"/>
      <c r="L379" s="18" t="s">
        <v>2075</v>
      </c>
    </row>
    <row r="380">
      <c r="A380" s="18" t="s">
        <v>2076</v>
      </c>
      <c r="B380" s="18" t="s">
        <v>791</v>
      </c>
      <c r="C380" s="18" t="s">
        <v>2077</v>
      </c>
      <c r="D380" s="18"/>
      <c r="E380" s="24">
        <v>8.9631436646E10</v>
      </c>
      <c r="F380" s="24">
        <v>1.0</v>
      </c>
      <c r="G380" s="18" t="s">
        <v>2077</v>
      </c>
      <c r="H380" s="18"/>
      <c r="I380" s="24">
        <v>8.9631436646E10</v>
      </c>
      <c r="J380" s="18" t="s">
        <v>2078</v>
      </c>
      <c r="K380" s="18"/>
      <c r="L380" s="18" t="s">
        <v>1637</v>
      </c>
    </row>
    <row r="381">
      <c r="A381" s="18" t="s">
        <v>2079</v>
      </c>
      <c r="B381" s="18" t="s">
        <v>791</v>
      </c>
      <c r="C381" s="18" t="s">
        <v>2080</v>
      </c>
      <c r="D381" s="18"/>
      <c r="E381" s="24">
        <v>8.2244825856E10</v>
      </c>
      <c r="F381" s="24">
        <v>1.0</v>
      </c>
      <c r="G381" s="18" t="s">
        <v>2080</v>
      </c>
      <c r="H381" s="18"/>
      <c r="I381" s="24">
        <v>8.2244825856E10</v>
      </c>
      <c r="J381" s="18" t="s">
        <v>2081</v>
      </c>
      <c r="K381" s="18"/>
      <c r="L381" s="18" t="s">
        <v>1669</v>
      </c>
    </row>
    <row r="382">
      <c r="A382" s="18" t="s">
        <v>2082</v>
      </c>
      <c r="B382" s="18" t="s">
        <v>791</v>
      </c>
      <c r="C382" s="18" t="s">
        <v>2083</v>
      </c>
      <c r="D382" s="18"/>
      <c r="E382" s="24">
        <v>8.2245442422E10</v>
      </c>
      <c r="F382" s="24">
        <v>1.0</v>
      </c>
      <c r="G382" s="18" t="s">
        <v>2083</v>
      </c>
      <c r="H382" s="18"/>
      <c r="I382" s="24">
        <v>8.2245442422E10</v>
      </c>
      <c r="J382" s="18" t="s">
        <v>2084</v>
      </c>
      <c r="K382" s="18"/>
      <c r="L382" s="18" t="s">
        <v>1637</v>
      </c>
    </row>
    <row r="383">
      <c r="A383" s="18" t="s">
        <v>2085</v>
      </c>
      <c r="B383" s="18" t="s">
        <v>791</v>
      </c>
      <c r="C383" s="18" t="s">
        <v>2083</v>
      </c>
      <c r="D383" s="18"/>
      <c r="E383" s="24">
        <v>8.5708015999E10</v>
      </c>
      <c r="F383" s="24">
        <v>1.0</v>
      </c>
      <c r="G383" s="18" t="s">
        <v>2083</v>
      </c>
      <c r="H383" s="18"/>
      <c r="I383" s="24">
        <v>8.5708015999E10</v>
      </c>
      <c r="J383" s="18" t="s">
        <v>2086</v>
      </c>
      <c r="K383" s="18"/>
      <c r="L383" s="18" t="s">
        <v>1549</v>
      </c>
    </row>
    <row r="384">
      <c r="A384" s="18" t="s">
        <v>2087</v>
      </c>
      <c r="B384" s="18" t="s">
        <v>791</v>
      </c>
      <c r="C384" s="18" t="s">
        <v>2088</v>
      </c>
      <c r="D384" s="18"/>
      <c r="E384" s="18"/>
      <c r="F384" s="24">
        <v>1.0</v>
      </c>
      <c r="G384" s="18" t="s">
        <v>2088</v>
      </c>
      <c r="H384" s="18"/>
      <c r="I384" s="18"/>
      <c r="J384" s="18" t="s">
        <v>2089</v>
      </c>
      <c r="K384" s="18"/>
      <c r="L384" s="18"/>
    </row>
    <row r="385">
      <c r="A385" s="18" t="s">
        <v>2091</v>
      </c>
      <c r="B385" s="18" t="s">
        <v>791</v>
      </c>
      <c r="C385" s="18" t="s">
        <v>2092</v>
      </c>
      <c r="D385" s="18"/>
      <c r="E385" s="18"/>
      <c r="F385" s="24">
        <v>1.0</v>
      </c>
      <c r="G385" s="18" t="s">
        <v>2092</v>
      </c>
      <c r="H385" s="18"/>
      <c r="I385" s="18"/>
      <c r="J385" s="18" t="s">
        <v>2093</v>
      </c>
      <c r="K385" s="18"/>
      <c r="L385" s="18"/>
    </row>
    <row r="386">
      <c r="A386" s="18" t="s">
        <v>2094</v>
      </c>
      <c r="B386" s="18" t="s">
        <v>791</v>
      </c>
      <c r="C386" s="18" t="s">
        <v>2095</v>
      </c>
      <c r="D386" s="18"/>
      <c r="E386" s="24">
        <v>8.1293009692E10</v>
      </c>
      <c r="F386" s="24">
        <v>1.0</v>
      </c>
      <c r="G386" s="18" t="s">
        <v>2095</v>
      </c>
      <c r="H386" s="18"/>
      <c r="I386" s="24">
        <v>8.1293009692E10</v>
      </c>
      <c r="J386" s="18" t="s">
        <v>2097</v>
      </c>
      <c r="K386" s="18"/>
      <c r="L386" s="18" t="s">
        <v>2098</v>
      </c>
    </row>
    <row r="387">
      <c r="A387" s="18" t="s">
        <v>2099</v>
      </c>
      <c r="B387" s="18" t="s">
        <v>791</v>
      </c>
      <c r="C387" s="18" t="s">
        <v>2100</v>
      </c>
      <c r="D387" s="18"/>
      <c r="E387" s="24">
        <v>8.1330239379E10</v>
      </c>
      <c r="F387" s="24">
        <v>1.0</v>
      </c>
      <c r="G387" s="18" t="s">
        <v>2100</v>
      </c>
      <c r="H387" s="18"/>
      <c r="I387" s="24">
        <v>8.1330239379E10</v>
      </c>
      <c r="J387" s="18" t="s">
        <v>2102</v>
      </c>
      <c r="K387" s="18"/>
      <c r="L387" s="18" t="s">
        <v>2103</v>
      </c>
    </row>
    <row r="388">
      <c r="A388" s="18" t="s">
        <v>2104</v>
      </c>
      <c r="B388" s="18" t="s">
        <v>791</v>
      </c>
      <c r="C388" s="18" t="s">
        <v>2105</v>
      </c>
      <c r="D388" s="18"/>
      <c r="E388" s="24">
        <v>8.133527466E10</v>
      </c>
      <c r="F388" s="24">
        <v>1.0</v>
      </c>
      <c r="G388" s="18" t="s">
        <v>2105</v>
      </c>
      <c r="H388" s="18"/>
      <c r="I388" s="24">
        <v>8.133527466E10</v>
      </c>
      <c r="J388" s="18" t="s">
        <v>2106</v>
      </c>
      <c r="K388" s="18"/>
      <c r="L388" s="18" t="s">
        <v>1777</v>
      </c>
    </row>
    <row r="389">
      <c r="A389" s="18" t="s">
        <v>2107</v>
      </c>
      <c r="B389" s="18" t="s">
        <v>791</v>
      </c>
      <c r="C389" s="18" t="s">
        <v>2108</v>
      </c>
      <c r="D389" s="18"/>
      <c r="E389" s="18" t="s">
        <v>2109</v>
      </c>
      <c r="F389" s="24">
        <v>1.0</v>
      </c>
      <c r="G389" s="18" t="s">
        <v>2108</v>
      </c>
      <c r="H389" s="18"/>
      <c r="I389" s="18" t="s">
        <v>2109</v>
      </c>
      <c r="J389" s="18" t="s">
        <v>2109</v>
      </c>
      <c r="K389" s="18"/>
      <c r="L389" s="18" t="s">
        <v>2110</v>
      </c>
    </row>
    <row r="390">
      <c r="A390" s="18" t="s">
        <v>2111</v>
      </c>
      <c r="B390" s="18" t="s">
        <v>791</v>
      </c>
      <c r="C390" s="18" t="s">
        <v>2112</v>
      </c>
      <c r="D390" s="18"/>
      <c r="E390" s="24">
        <v>8.5730115095E10</v>
      </c>
      <c r="F390" s="24">
        <v>1.0</v>
      </c>
      <c r="G390" s="18" t="s">
        <v>2112</v>
      </c>
      <c r="H390" s="18"/>
      <c r="I390" s="24">
        <v>8.5730115095E10</v>
      </c>
      <c r="J390" s="18" t="s">
        <v>2113</v>
      </c>
      <c r="K390" s="18"/>
      <c r="L390" s="18" t="s">
        <v>2114</v>
      </c>
    </row>
    <row r="391">
      <c r="A391" s="18" t="s">
        <v>2115</v>
      </c>
      <c r="B391" s="18" t="s">
        <v>791</v>
      </c>
      <c r="C391" s="18" t="s">
        <v>2116</v>
      </c>
      <c r="D391" s="18"/>
      <c r="E391" s="24">
        <v>8.2132782503E10</v>
      </c>
      <c r="F391" s="24">
        <v>1.0</v>
      </c>
      <c r="G391" s="18" t="s">
        <v>2116</v>
      </c>
      <c r="H391" s="18"/>
      <c r="I391" s="24">
        <v>8.2132782503E10</v>
      </c>
      <c r="J391" s="18" t="s">
        <v>2117</v>
      </c>
      <c r="K391" s="18"/>
      <c r="L391" s="18" t="s">
        <v>2118</v>
      </c>
    </row>
    <row r="392">
      <c r="A392" s="18" t="s">
        <v>2119</v>
      </c>
      <c r="B392" s="18" t="s">
        <v>791</v>
      </c>
      <c r="C392" s="18" t="s">
        <v>2120</v>
      </c>
      <c r="D392" s="18"/>
      <c r="E392" s="24">
        <v>8.2244825856E10</v>
      </c>
      <c r="F392" s="24">
        <v>1.0</v>
      </c>
      <c r="G392" s="18" t="s">
        <v>2120</v>
      </c>
      <c r="H392" s="18"/>
      <c r="I392" s="24">
        <v>8.2244825856E10</v>
      </c>
      <c r="J392" s="18" t="s">
        <v>2121</v>
      </c>
      <c r="K392" s="18"/>
      <c r="L392" s="18" t="s">
        <v>1669</v>
      </c>
    </row>
    <row r="393">
      <c r="A393" s="18" t="s">
        <v>2122</v>
      </c>
      <c r="B393" s="18" t="s">
        <v>791</v>
      </c>
      <c r="C393" s="18" t="s">
        <v>2123</v>
      </c>
      <c r="D393" s="18"/>
      <c r="E393" s="24">
        <v>8.1336973383E10</v>
      </c>
      <c r="F393" s="24">
        <v>1.0</v>
      </c>
      <c r="G393" s="18" t="s">
        <v>2123</v>
      </c>
      <c r="H393" s="18"/>
      <c r="I393" s="24">
        <v>8.1336973383E10</v>
      </c>
      <c r="J393" s="18" t="s">
        <v>2124</v>
      </c>
      <c r="K393" s="18"/>
      <c r="L393" s="18" t="s">
        <v>2125</v>
      </c>
    </row>
    <row r="394">
      <c r="A394" s="18" t="s">
        <v>2126</v>
      </c>
      <c r="B394" s="18" t="s">
        <v>791</v>
      </c>
      <c r="C394" s="18" t="s">
        <v>2127</v>
      </c>
      <c r="D394" s="18"/>
      <c r="E394" s="24">
        <v>8.5655522398E10</v>
      </c>
      <c r="F394" s="24">
        <v>1.0</v>
      </c>
      <c r="G394" s="18" t="s">
        <v>2127</v>
      </c>
      <c r="H394" s="18"/>
      <c r="I394" s="24">
        <v>8.5655522398E10</v>
      </c>
      <c r="J394" s="18" t="s">
        <v>2128</v>
      </c>
      <c r="K394" s="18"/>
      <c r="L394" s="18" t="s">
        <v>1757</v>
      </c>
    </row>
    <row r="395">
      <c r="A395" s="18" t="s">
        <v>2129</v>
      </c>
      <c r="B395" s="18" t="s">
        <v>791</v>
      </c>
      <c r="C395" s="18" t="s">
        <v>2130</v>
      </c>
      <c r="D395" s="18"/>
      <c r="E395" s="24">
        <v>8.5853471212E10</v>
      </c>
      <c r="F395" s="24">
        <v>1.0</v>
      </c>
      <c r="G395" s="18" t="s">
        <v>2130</v>
      </c>
      <c r="H395" s="18"/>
      <c r="I395" s="24">
        <v>8.5853471212E10</v>
      </c>
      <c r="J395" s="18" t="s">
        <v>2131</v>
      </c>
      <c r="K395" s="18"/>
      <c r="L395" s="18" t="s">
        <v>2132</v>
      </c>
    </row>
    <row r="396">
      <c r="A396" s="18" t="s">
        <v>2133</v>
      </c>
      <c r="B396" s="18" t="s">
        <v>791</v>
      </c>
      <c r="C396" s="18" t="s">
        <v>2134</v>
      </c>
      <c r="D396" s="18"/>
      <c r="E396" s="24">
        <v>8.5233742066E10</v>
      </c>
      <c r="F396" s="24">
        <v>1.0</v>
      </c>
      <c r="G396" s="18" t="s">
        <v>2134</v>
      </c>
      <c r="H396" s="18"/>
      <c r="I396" s="24">
        <v>8.5233742066E10</v>
      </c>
      <c r="J396" s="18" t="s">
        <v>2135</v>
      </c>
      <c r="K396" s="18"/>
      <c r="L396" s="18" t="s">
        <v>1794</v>
      </c>
    </row>
    <row r="397">
      <c r="A397" s="18" t="s">
        <v>2136</v>
      </c>
      <c r="B397" s="18" t="s">
        <v>791</v>
      </c>
      <c r="C397" s="18" t="s">
        <v>2137</v>
      </c>
      <c r="D397" s="18"/>
      <c r="E397" s="24">
        <v>8.2132190159E10</v>
      </c>
      <c r="F397" s="24">
        <v>1.0</v>
      </c>
      <c r="G397" s="18" t="s">
        <v>2137</v>
      </c>
      <c r="H397" s="18"/>
      <c r="I397" s="24">
        <v>8.2132190159E10</v>
      </c>
      <c r="J397" s="18" t="s">
        <v>2138</v>
      </c>
      <c r="K397" s="18"/>
      <c r="L397" s="18" t="s">
        <v>1681</v>
      </c>
    </row>
    <row r="398">
      <c r="A398" s="18" t="s">
        <v>2139</v>
      </c>
      <c r="B398" s="18" t="s">
        <v>791</v>
      </c>
      <c r="C398" s="18" t="s">
        <v>2140</v>
      </c>
      <c r="D398" s="18"/>
      <c r="E398" s="24">
        <v>8.5607633107E10</v>
      </c>
      <c r="F398" s="24">
        <v>1.0</v>
      </c>
      <c r="G398" s="18" t="s">
        <v>2140</v>
      </c>
      <c r="H398" s="18"/>
      <c r="I398" s="24">
        <v>8.5607633107E10</v>
      </c>
      <c r="J398" s="18" t="s">
        <v>2141</v>
      </c>
      <c r="K398" s="18"/>
      <c r="L398" s="18" t="s">
        <v>2142</v>
      </c>
    </row>
    <row r="399">
      <c r="A399" s="18" t="s">
        <v>2143</v>
      </c>
      <c r="B399" s="18" t="s">
        <v>791</v>
      </c>
      <c r="C399" s="18" t="s">
        <v>2144</v>
      </c>
      <c r="D399" s="18"/>
      <c r="E399" s="24">
        <v>8.1335441183E10</v>
      </c>
      <c r="F399" s="24">
        <v>1.0</v>
      </c>
      <c r="G399" s="18" t="s">
        <v>2144</v>
      </c>
      <c r="H399" s="18"/>
      <c r="I399" s="24">
        <v>8.1335441183E10</v>
      </c>
      <c r="J399" s="18" t="s">
        <v>2145</v>
      </c>
      <c r="K399" s="18"/>
      <c r="L399" s="18" t="s">
        <v>2146</v>
      </c>
    </row>
    <row r="400">
      <c r="A400" s="18" t="s">
        <v>2147</v>
      </c>
      <c r="B400" s="18" t="s">
        <v>791</v>
      </c>
      <c r="C400" s="18" t="s">
        <v>2148</v>
      </c>
      <c r="D400" s="18"/>
      <c r="E400" s="24">
        <v>8.5233742066E10</v>
      </c>
      <c r="F400" s="24">
        <v>1.0</v>
      </c>
      <c r="G400" s="18" t="s">
        <v>2148</v>
      </c>
      <c r="H400" s="18"/>
      <c r="I400" s="24">
        <v>8.5233742066E10</v>
      </c>
      <c r="J400" s="18" t="s">
        <v>2149</v>
      </c>
      <c r="K400" s="18"/>
      <c r="L400" s="18" t="s">
        <v>1794</v>
      </c>
    </row>
    <row r="401">
      <c r="A401" s="18" t="s">
        <v>2150</v>
      </c>
      <c r="B401" s="18" t="s">
        <v>791</v>
      </c>
      <c r="C401" s="18" t="s">
        <v>2151</v>
      </c>
      <c r="D401" s="18"/>
      <c r="E401" s="24">
        <v>8.533662705E10</v>
      </c>
      <c r="F401" s="24">
        <v>1.0</v>
      </c>
      <c r="G401" s="18" t="s">
        <v>2151</v>
      </c>
      <c r="H401" s="18"/>
      <c r="I401" s="24">
        <v>8.533662705E10</v>
      </c>
      <c r="J401" s="18" t="s">
        <v>2152</v>
      </c>
      <c r="K401" s="18"/>
      <c r="L401" s="18" t="s">
        <v>1651</v>
      </c>
    </row>
    <row r="402">
      <c r="A402" s="18" t="s">
        <v>2153</v>
      </c>
      <c r="B402" s="18" t="s">
        <v>791</v>
      </c>
      <c r="C402" s="18" t="s">
        <v>2154</v>
      </c>
      <c r="D402" s="18"/>
      <c r="E402" s="24">
        <v>8.5103373232E10</v>
      </c>
      <c r="F402" s="24">
        <v>1.0</v>
      </c>
      <c r="G402" s="18" t="s">
        <v>2154</v>
      </c>
      <c r="H402" s="18"/>
      <c r="I402" s="24">
        <v>8.5103373232E10</v>
      </c>
      <c r="J402" s="18" t="s">
        <v>2155</v>
      </c>
      <c r="K402" s="18"/>
      <c r="L402" s="18" t="s">
        <v>1519</v>
      </c>
    </row>
    <row r="403">
      <c r="A403" s="18" t="s">
        <v>2156</v>
      </c>
      <c r="B403" s="18" t="s">
        <v>791</v>
      </c>
      <c r="C403" s="18" t="s">
        <v>2157</v>
      </c>
      <c r="D403" s="18"/>
      <c r="E403" s="24">
        <v>8.1359544001E10</v>
      </c>
      <c r="F403" s="24">
        <v>1.0</v>
      </c>
      <c r="G403" s="18" t="s">
        <v>2157</v>
      </c>
      <c r="H403" s="18"/>
      <c r="I403" s="24">
        <v>8.1359544001E10</v>
      </c>
      <c r="J403" s="18" t="s">
        <v>2158</v>
      </c>
      <c r="K403" s="18"/>
      <c r="L403" s="18" t="s">
        <v>2159</v>
      </c>
    </row>
    <row r="404">
      <c r="A404" s="18" t="s">
        <v>2160</v>
      </c>
      <c r="B404" s="18" t="s">
        <v>791</v>
      </c>
      <c r="C404" s="18" t="s">
        <v>2161</v>
      </c>
      <c r="D404" s="18"/>
      <c r="E404" s="24">
        <v>8.2140699265E10</v>
      </c>
      <c r="F404" s="24">
        <v>1.0</v>
      </c>
      <c r="G404" s="18" t="s">
        <v>2161</v>
      </c>
      <c r="H404" s="18"/>
      <c r="I404" s="24">
        <v>8.2140699265E10</v>
      </c>
      <c r="J404" s="18" t="s">
        <v>2162</v>
      </c>
      <c r="K404" s="18"/>
      <c r="L404" s="18" t="s">
        <v>1782</v>
      </c>
    </row>
    <row r="405">
      <c r="A405" s="18" t="s">
        <v>2163</v>
      </c>
      <c r="B405" s="18" t="s">
        <v>791</v>
      </c>
      <c r="C405" s="18" t="s">
        <v>2164</v>
      </c>
      <c r="D405" s="18"/>
      <c r="E405" s="24">
        <v>8.2141872198E10</v>
      </c>
      <c r="F405" s="24">
        <v>1.0</v>
      </c>
      <c r="G405" s="18" t="s">
        <v>2164</v>
      </c>
      <c r="H405" s="18"/>
      <c r="I405" s="24">
        <v>8.2141872198E10</v>
      </c>
      <c r="J405" s="18" t="s">
        <v>2165</v>
      </c>
      <c r="K405" s="18"/>
      <c r="L405" s="18" t="s">
        <v>1527</v>
      </c>
    </row>
    <row r="406">
      <c r="A406" s="18" t="s">
        <v>2166</v>
      </c>
      <c r="B406" s="18" t="s">
        <v>791</v>
      </c>
      <c r="C406" s="18" t="s">
        <v>2167</v>
      </c>
      <c r="D406" s="18"/>
      <c r="E406" s="24">
        <v>8.5233878924E10</v>
      </c>
      <c r="F406" s="24">
        <v>1.0</v>
      </c>
      <c r="G406" s="18" t="s">
        <v>2167</v>
      </c>
      <c r="H406" s="18"/>
      <c r="I406" s="24">
        <v>8.5233878924E10</v>
      </c>
      <c r="J406" s="18" t="s">
        <v>2168</v>
      </c>
      <c r="K406" s="18"/>
      <c r="L406" s="18" t="s">
        <v>1637</v>
      </c>
    </row>
    <row r="407">
      <c r="A407" s="18" t="s">
        <v>2169</v>
      </c>
      <c r="B407" s="18" t="s">
        <v>791</v>
      </c>
      <c r="C407" s="18" t="s">
        <v>2170</v>
      </c>
      <c r="D407" s="18"/>
      <c r="E407" s="24">
        <v>8.5790554966E10</v>
      </c>
      <c r="F407" s="24">
        <v>1.0</v>
      </c>
      <c r="G407" s="18" t="s">
        <v>2170</v>
      </c>
      <c r="H407" s="18"/>
      <c r="I407" s="24">
        <v>8.5790554966E10</v>
      </c>
      <c r="J407" s="18" t="s">
        <v>2171</v>
      </c>
      <c r="K407" s="18"/>
      <c r="L407" s="18" t="s">
        <v>2172</v>
      </c>
    </row>
    <row r="408">
      <c r="A408" s="18" t="s">
        <v>2173</v>
      </c>
      <c r="B408" s="18" t="s">
        <v>791</v>
      </c>
      <c r="C408" s="18" t="s">
        <v>2174</v>
      </c>
      <c r="D408" s="18"/>
      <c r="E408" s="24">
        <v>8.5853471212E10</v>
      </c>
      <c r="F408" s="24">
        <v>1.0</v>
      </c>
      <c r="G408" s="18" t="s">
        <v>2174</v>
      </c>
      <c r="H408" s="18"/>
      <c r="I408" s="24">
        <v>8.5853471212E10</v>
      </c>
      <c r="J408" s="18" t="s">
        <v>2175</v>
      </c>
      <c r="K408" s="18"/>
      <c r="L408" s="18" t="s">
        <v>2132</v>
      </c>
    </row>
    <row r="409">
      <c r="A409" s="18" t="s">
        <v>2176</v>
      </c>
      <c r="B409" s="18" t="s">
        <v>791</v>
      </c>
      <c r="C409" s="18" t="s">
        <v>2177</v>
      </c>
      <c r="D409" s="18"/>
      <c r="E409" s="24">
        <v>8.5853417211E10</v>
      </c>
      <c r="F409" s="24">
        <v>1.0</v>
      </c>
      <c r="G409" s="18" t="s">
        <v>2177</v>
      </c>
      <c r="H409" s="18"/>
      <c r="I409" s="24">
        <v>8.5853417211E10</v>
      </c>
      <c r="J409" s="18" t="s">
        <v>2178</v>
      </c>
      <c r="K409" s="18"/>
      <c r="L409" s="18" t="s">
        <v>1951</v>
      </c>
    </row>
    <row r="410">
      <c r="A410" s="18" t="s">
        <v>2179</v>
      </c>
      <c r="B410" s="18" t="s">
        <v>791</v>
      </c>
      <c r="C410" s="18" t="s">
        <v>2180</v>
      </c>
      <c r="D410" s="18"/>
      <c r="E410" s="24">
        <v>8.1527046505E10</v>
      </c>
      <c r="F410" s="24">
        <v>1.0</v>
      </c>
      <c r="G410" s="18" t="s">
        <v>2180</v>
      </c>
      <c r="H410" s="18"/>
      <c r="I410" s="24">
        <v>8.1527046505E10</v>
      </c>
      <c r="J410" s="18" t="s">
        <v>2181</v>
      </c>
      <c r="K410" s="18"/>
      <c r="L410" s="18" t="s">
        <v>2182</v>
      </c>
    </row>
    <row r="411">
      <c r="A411" s="18" t="s">
        <v>2183</v>
      </c>
      <c r="B411" s="18" t="s">
        <v>791</v>
      </c>
      <c r="C411" s="18" t="s">
        <v>2184</v>
      </c>
      <c r="D411" s="18"/>
      <c r="E411" s="24">
        <v>8.2220003557E10</v>
      </c>
      <c r="F411" s="24">
        <v>1.0</v>
      </c>
      <c r="G411" s="18" t="s">
        <v>2184</v>
      </c>
      <c r="H411" s="18"/>
      <c r="I411" s="24">
        <v>8.2220003557E10</v>
      </c>
      <c r="J411" s="18" t="s">
        <v>2185</v>
      </c>
      <c r="K411" s="18"/>
      <c r="L411" s="18" t="s">
        <v>1951</v>
      </c>
    </row>
    <row r="412">
      <c r="A412" s="18" t="s">
        <v>2186</v>
      </c>
      <c r="B412" s="18" t="s">
        <v>791</v>
      </c>
      <c r="C412" s="18" t="s">
        <v>2187</v>
      </c>
      <c r="D412" s="18"/>
      <c r="E412" s="24">
        <v>8.214165148E10</v>
      </c>
      <c r="F412" s="24">
        <v>1.0</v>
      </c>
      <c r="G412" s="18" t="s">
        <v>2187</v>
      </c>
      <c r="H412" s="18"/>
      <c r="I412" s="24">
        <v>8.214165148E10</v>
      </c>
      <c r="J412" s="18" t="s">
        <v>2188</v>
      </c>
      <c r="K412" s="18"/>
      <c r="L412" s="18" t="s">
        <v>2189</v>
      </c>
    </row>
    <row r="413">
      <c r="A413" s="18" t="s">
        <v>2190</v>
      </c>
      <c r="B413" s="18" t="s">
        <v>791</v>
      </c>
      <c r="C413" s="18" t="s">
        <v>2191</v>
      </c>
      <c r="D413" s="18"/>
      <c r="E413" s="24">
        <v>8.5655522398E10</v>
      </c>
      <c r="F413" s="24">
        <v>1.0</v>
      </c>
      <c r="G413" s="18" t="s">
        <v>2191</v>
      </c>
      <c r="H413" s="18"/>
      <c r="I413" s="24">
        <v>8.5655522398E10</v>
      </c>
      <c r="J413" s="18" t="s">
        <v>2192</v>
      </c>
      <c r="K413" s="18"/>
      <c r="L413" s="18" t="s">
        <v>1757</v>
      </c>
    </row>
    <row r="414">
      <c r="A414" s="18" t="s">
        <v>2193</v>
      </c>
      <c r="B414" s="18" t="s">
        <v>791</v>
      </c>
      <c r="C414" s="18" t="s">
        <v>2194</v>
      </c>
      <c r="D414" s="18"/>
      <c r="E414" s="24">
        <v>8.2330421087E10</v>
      </c>
      <c r="F414" s="24">
        <v>1.0</v>
      </c>
      <c r="G414" s="18" t="s">
        <v>2194</v>
      </c>
      <c r="H414" s="18"/>
      <c r="I414" s="24">
        <v>8.2330421087E10</v>
      </c>
      <c r="J414" s="18" t="s">
        <v>2195</v>
      </c>
      <c r="K414" s="18"/>
      <c r="L414" s="18" t="s">
        <v>2196</v>
      </c>
    </row>
    <row r="415">
      <c r="A415" s="18" t="s">
        <v>2197</v>
      </c>
      <c r="B415" s="18" t="s">
        <v>791</v>
      </c>
      <c r="C415" s="18" t="s">
        <v>2198</v>
      </c>
      <c r="D415" s="18"/>
      <c r="E415" s="24">
        <v>8.2301027211E10</v>
      </c>
      <c r="F415" s="24">
        <v>1.0</v>
      </c>
      <c r="G415" s="18" t="s">
        <v>2198</v>
      </c>
      <c r="H415" s="18"/>
      <c r="I415" s="24">
        <v>8.2301027211E10</v>
      </c>
      <c r="J415" s="18" t="s">
        <v>2199</v>
      </c>
      <c r="K415" s="18"/>
      <c r="L415" s="18" t="s">
        <v>2200</v>
      </c>
    </row>
    <row r="416">
      <c r="A416" s="18" t="s">
        <v>1130</v>
      </c>
      <c r="B416" s="18" t="s">
        <v>791</v>
      </c>
      <c r="C416" s="18" t="s">
        <v>1132</v>
      </c>
      <c r="D416" s="18" t="s">
        <v>954</v>
      </c>
      <c r="E416" s="24">
        <v>8.5843004488E10</v>
      </c>
      <c r="F416" s="24">
        <v>1.0</v>
      </c>
      <c r="G416" s="18" t="s">
        <v>1132</v>
      </c>
      <c r="H416" s="18"/>
      <c r="I416" s="24">
        <v>8.5843004488E10</v>
      </c>
      <c r="J416" s="18" t="s">
        <v>1131</v>
      </c>
      <c r="K416" s="18"/>
      <c r="L416" s="18" t="s">
        <v>1133</v>
      </c>
    </row>
    <row r="417">
      <c r="A417" s="18" t="s">
        <v>2202</v>
      </c>
      <c r="B417" s="18" t="s">
        <v>791</v>
      </c>
      <c r="C417" s="18" t="s">
        <v>2203</v>
      </c>
      <c r="D417" s="18"/>
      <c r="E417" s="24">
        <v>8.5604440008E10</v>
      </c>
      <c r="F417" s="24">
        <v>1.0</v>
      </c>
      <c r="G417" s="18" t="s">
        <v>2203</v>
      </c>
      <c r="H417" s="18"/>
      <c r="I417" s="24">
        <v>8.5604440008E10</v>
      </c>
      <c r="J417" s="18" t="s">
        <v>2204</v>
      </c>
      <c r="K417" s="18"/>
      <c r="L417" s="18" t="s">
        <v>2205</v>
      </c>
    </row>
    <row r="418">
      <c r="A418" s="18" t="s">
        <v>2206</v>
      </c>
      <c r="B418" s="18" t="s">
        <v>791</v>
      </c>
      <c r="C418" s="18" t="s">
        <v>2207</v>
      </c>
      <c r="D418" s="18"/>
      <c r="E418" s="24">
        <v>8.2141872198E10</v>
      </c>
      <c r="F418" s="24">
        <v>1.0</v>
      </c>
      <c r="G418" s="18" t="s">
        <v>2207</v>
      </c>
      <c r="H418" s="18"/>
      <c r="I418" s="24">
        <v>8.2141872198E10</v>
      </c>
      <c r="J418" s="18" t="s">
        <v>2208</v>
      </c>
      <c r="K418" s="18"/>
      <c r="L418" s="18" t="s">
        <v>1527</v>
      </c>
    </row>
    <row r="419">
      <c r="A419" s="18" t="s">
        <v>2209</v>
      </c>
      <c r="B419" s="18" t="s">
        <v>791</v>
      </c>
      <c r="C419" s="18" t="s">
        <v>2211</v>
      </c>
      <c r="D419" s="18"/>
      <c r="E419" s="24">
        <v>8.1217755213E10</v>
      </c>
      <c r="F419" s="24">
        <v>1.0</v>
      </c>
      <c r="G419" s="18" t="s">
        <v>2211</v>
      </c>
      <c r="H419" s="18"/>
      <c r="I419" s="24">
        <v>8.1217755213E10</v>
      </c>
      <c r="J419" s="18" t="s">
        <v>2212</v>
      </c>
      <c r="K419" s="18"/>
      <c r="L419" s="18" t="s">
        <v>2213</v>
      </c>
    </row>
    <row r="420">
      <c r="A420" s="18" t="s">
        <v>2214</v>
      </c>
      <c r="B420" s="18" t="s">
        <v>791</v>
      </c>
      <c r="C420" s="18" t="s">
        <v>2216</v>
      </c>
      <c r="D420" s="18"/>
      <c r="E420" s="24">
        <v>8.1359556087E10</v>
      </c>
      <c r="F420" s="24">
        <v>1.0</v>
      </c>
      <c r="G420" s="18" t="s">
        <v>2216</v>
      </c>
      <c r="H420" s="18"/>
      <c r="I420" s="24">
        <v>8.1359556087E10</v>
      </c>
      <c r="J420" s="18" t="s">
        <v>2217</v>
      </c>
      <c r="K420" s="18"/>
      <c r="L420" s="18" t="s">
        <v>1549</v>
      </c>
    </row>
    <row r="421">
      <c r="A421" s="18" t="s">
        <v>2218</v>
      </c>
      <c r="B421" s="18" t="s">
        <v>791</v>
      </c>
      <c r="C421" s="18" t="s">
        <v>2219</v>
      </c>
      <c r="D421" s="18"/>
      <c r="E421" s="24">
        <v>8.135975241E10</v>
      </c>
      <c r="F421" s="24">
        <v>1.0</v>
      </c>
      <c r="G421" s="18" t="s">
        <v>2219</v>
      </c>
      <c r="H421" s="18"/>
      <c r="I421" s="24">
        <v>8.135975241E10</v>
      </c>
      <c r="J421" s="18" t="s">
        <v>2220</v>
      </c>
      <c r="K421" s="18"/>
      <c r="L421" s="18" t="s">
        <v>1914</v>
      </c>
    </row>
    <row r="422">
      <c r="A422" s="18" t="s">
        <v>2221</v>
      </c>
      <c r="B422" s="18" t="s">
        <v>791</v>
      </c>
      <c r="C422" s="18" t="s">
        <v>2222</v>
      </c>
      <c r="D422" s="18"/>
      <c r="E422" s="24">
        <v>8.2141315373E10</v>
      </c>
      <c r="F422" s="24">
        <v>1.0</v>
      </c>
      <c r="G422" s="18" t="s">
        <v>2222</v>
      </c>
      <c r="H422" s="18"/>
      <c r="I422" s="24">
        <v>8.2141315373E10</v>
      </c>
      <c r="J422" s="18" t="s">
        <v>2223</v>
      </c>
      <c r="K422" s="18"/>
      <c r="L422" s="18" t="s">
        <v>2224</v>
      </c>
    </row>
    <row r="423">
      <c r="A423" s="18" t="s">
        <v>2225</v>
      </c>
      <c r="B423" s="18" t="s">
        <v>791</v>
      </c>
      <c r="C423" s="18" t="s">
        <v>2222</v>
      </c>
      <c r="D423" s="18"/>
      <c r="E423" s="18"/>
      <c r="F423" s="24">
        <v>1.0</v>
      </c>
      <c r="G423" s="18" t="s">
        <v>2222</v>
      </c>
      <c r="H423" s="18"/>
      <c r="I423" s="18"/>
      <c r="J423" s="18" t="s">
        <v>2226</v>
      </c>
      <c r="K423" s="18"/>
      <c r="L423" s="18"/>
    </row>
    <row r="424">
      <c r="A424" s="18" t="s">
        <v>2227</v>
      </c>
      <c r="B424" s="18" t="s">
        <v>791</v>
      </c>
      <c r="C424" s="18" t="s">
        <v>2228</v>
      </c>
      <c r="D424" s="18"/>
      <c r="E424" s="24">
        <v>8.5293854445E10</v>
      </c>
      <c r="F424" s="24">
        <v>1.0</v>
      </c>
      <c r="G424" s="18" t="s">
        <v>2228</v>
      </c>
      <c r="H424" s="18"/>
      <c r="I424" s="24">
        <v>8.5293854445E10</v>
      </c>
      <c r="J424" s="18" t="s">
        <v>2229</v>
      </c>
      <c r="K424" s="18"/>
      <c r="L424" s="18" t="s">
        <v>2230</v>
      </c>
    </row>
    <row r="425">
      <c r="A425" s="18" t="s">
        <v>2231</v>
      </c>
      <c r="B425" s="18" t="s">
        <v>791</v>
      </c>
      <c r="C425" s="18" t="s">
        <v>2232</v>
      </c>
      <c r="D425" s="18"/>
      <c r="E425" s="24">
        <v>8.2141872198E10</v>
      </c>
      <c r="F425" s="24">
        <v>1.0</v>
      </c>
      <c r="G425" s="18" t="s">
        <v>2232</v>
      </c>
      <c r="H425" s="18"/>
      <c r="I425" s="24">
        <v>8.2141872198E10</v>
      </c>
      <c r="J425" s="18" t="s">
        <v>2233</v>
      </c>
      <c r="K425" s="18"/>
      <c r="L425" s="18" t="s">
        <v>1527</v>
      </c>
    </row>
    <row r="426">
      <c r="A426" s="18" t="s">
        <v>2234</v>
      </c>
      <c r="B426" s="18" t="s">
        <v>791</v>
      </c>
      <c r="C426" s="18" t="s">
        <v>2235</v>
      </c>
      <c r="D426" s="18"/>
      <c r="E426" s="24">
        <v>8.1335428544E10</v>
      </c>
      <c r="F426" s="24">
        <v>1.0</v>
      </c>
      <c r="G426" s="18" t="s">
        <v>2235</v>
      </c>
      <c r="H426" s="18"/>
      <c r="I426" s="24">
        <v>8.1335428544E10</v>
      </c>
      <c r="J426" s="18" t="s">
        <v>2236</v>
      </c>
      <c r="K426" s="18"/>
      <c r="L426" s="18" t="s">
        <v>2237</v>
      </c>
    </row>
    <row r="427">
      <c r="A427" s="18" t="s">
        <v>2238</v>
      </c>
      <c r="B427" s="18" t="s">
        <v>791</v>
      </c>
      <c r="C427" s="18" t="s">
        <v>2239</v>
      </c>
      <c r="D427" s="18"/>
      <c r="E427" s="24">
        <v>8.5236354217E10</v>
      </c>
      <c r="F427" s="24">
        <v>1.0</v>
      </c>
      <c r="G427" s="18" t="s">
        <v>2239</v>
      </c>
      <c r="H427" s="18"/>
      <c r="I427" s="24">
        <v>8.5236354217E10</v>
      </c>
      <c r="J427" s="18" t="s">
        <v>2240</v>
      </c>
      <c r="K427" s="18"/>
      <c r="L427" s="18" t="s">
        <v>2241</v>
      </c>
    </row>
    <row r="428">
      <c r="A428" s="18" t="s">
        <v>2242</v>
      </c>
      <c r="B428" s="18" t="s">
        <v>791</v>
      </c>
      <c r="C428" s="18" t="s">
        <v>2243</v>
      </c>
      <c r="D428" s="18"/>
      <c r="E428" s="24">
        <v>8.2301027211E10</v>
      </c>
      <c r="F428" s="24">
        <v>1.0</v>
      </c>
      <c r="G428" s="18" t="s">
        <v>2243</v>
      </c>
      <c r="H428" s="18"/>
      <c r="I428" s="24">
        <v>8.2301027211E10</v>
      </c>
      <c r="J428" s="18" t="s">
        <v>2244</v>
      </c>
      <c r="K428" s="18"/>
      <c r="L428" s="18" t="s">
        <v>2245</v>
      </c>
    </row>
    <row r="429">
      <c r="A429" s="18" t="s">
        <v>2246</v>
      </c>
      <c r="B429" s="18" t="s">
        <v>791</v>
      </c>
      <c r="C429" s="18" t="s">
        <v>2247</v>
      </c>
      <c r="D429" s="18"/>
      <c r="E429" s="24">
        <v>1.0</v>
      </c>
      <c r="F429" s="24">
        <v>1.0</v>
      </c>
      <c r="G429" s="18" t="s">
        <v>2247</v>
      </c>
      <c r="H429" s="18"/>
      <c r="I429" s="24">
        <v>1.0</v>
      </c>
      <c r="J429" s="18" t="s">
        <v>2248</v>
      </c>
      <c r="K429" s="18"/>
      <c r="L429" s="18" t="s">
        <v>1474</v>
      </c>
    </row>
    <row r="430">
      <c r="A430" s="18" t="s">
        <v>2249</v>
      </c>
      <c r="B430" s="18" t="s">
        <v>791</v>
      </c>
      <c r="C430" s="18" t="s">
        <v>2250</v>
      </c>
      <c r="D430" s="18"/>
      <c r="E430" s="24">
        <v>8.2301027211E10</v>
      </c>
      <c r="F430" s="24">
        <v>1.0</v>
      </c>
      <c r="G430" s="18" t="s">
        <v>2250</v>
      </c>
      <c r="H430" s="18"/>
      <c r="I430" s="24">
        <v>8.2301027211E10</v>
      </c>
      <c r="J430" s="18" t="s">
        <v>2251</v>
      </c>
      <c r="K430" s="18"/>
      <c r="L430" s="18" t="s">
        <v>2252</v>
      </c>
    </row>
    <row r="431">
      <c r="A431" s="18" t="s">
        <v>2253</v>
      </c>
      <c r="B431" s="18" t="s">
        <v>791</v>
      </c>
      <c r="C431" s="18" t="s">
        <v>2254</v>
      </c>
      <c r="D431" s="18"/>
      <c r="E431" s="24">
        <v>8.585245612E10</v>
      </c>
      <c r="F431" s="24">
        <v>1.0</v>
      </c>
      <c r="G431" s="18" t="s">
        <v>2254</v>
      </c>
      <c r="H431" s="18"/>
      <c r="I431" s="24">
        <v>8.585245612E10</v>
      </c>
      <c r="J431" s="18" t="s">
        <v>2255</v>
      </c>
      <c r="K431" s="18"/>
      <c r="L431" s="18" t="s">
        <v>2256</v>
      </c>
    </row>
    <row r="432">
      <c r="A432" s="18" t="s">
        <v>2257</v>
      </c>
      <c r="B432" s="18" t="s">
        <v>791</v>
      </c>
      <c r="C432" s="18" t="s">
        <v>2258</v>
      </c>
      <c r="D432" s="18"/>
      <c r="E432" s="24">
        <v>8.2141315373E10</v>
      </c>
      <c r="F432" s="24">
        <v>1.0</v>
      </c>
      <c r="G432" s="18" t="s">
        <v>2258</v>
      </c>
      <c r="H432" s="18"/>
      <c r="I432" s="24">
        <v>8.2141315373E10</v>
      </c>
      <c r="J432" s="18" t="s">
        <v>2259</v>
      </c>
      <c r="K432" s="18"/>
      <c r="L432" s="18" t="s">
        <v>2260</v>
      </c>
    </row>
    <row r="433">
      <c r="A433" s="18" t="s">
        <v>2261</v>
      </c>
      <c r="B433" s="18" t="s">
        <v>791</v>
      </c>
      <c r="C433" s="18" t="s">
        <v>2262</v>
      </c>
      <c r="D433" s="18"/>
      <c r="E433" s="24">
        <v>8.1359544001E10</v>
      </c>
      <c r="F433" s="24">
        <v>1.0</v>
      </c>
      <c r="G433" s="18" t="s">
        <v>2262</v>
      </c>
      <c r="H433" s="18"/>
      <c r="I433" s="24">
        <v>8.1359544001E10</v>
      </c>
      <c r="J433" s="18" t="s">
        <v>2263</v>
      </c>
      <c r="K433" s="18"/>
      <c r="L433" s="18" t="s">
        <v>2159</v>
      </c>
    </row>
    <row r="434">
      <c r="A434" s="18" t="s">
        <v>2264</v>
      </c>
      <c r="B434" s="18" t="s">
        <v>791</v>
      </c>
      <c r="C434" s="18" t="s">
        <v>2265</v>
      </c>
      <c r="D434" s="18"/>
      <c r="E434" s="24">
        <v>8.1329122107E10</v>
      </c>
      <c r="F434" s="24">
        <v>1.0</v>
      </c>
      <c r="G434" s="18" t="s">
        <v>2265</v>
      </c>
      <c r="H434" s="18"/>
      <c r="I434" s="24">
        <v>8.1329122107E10</v>
      </c>
      <c r="J434" s="24">
        <v>3.52102300650004E15</v>
      </c>
      <c r="K434" s="18"/>
      <c r="L434" s="18" t="s">
        <v>1637</v>
      </c>
    </row>
    <row r="435">
      <c r="A435" s="18" t="s">
        <v>2266</v>
      </c>
      <c r="B435" s="18" t="s">
        <v>791</v>
      </c>
      <c r="C435" s="18" t="s">
        <v>2267</v>
      </c>
      <c r="D435" s="18"/>
      <c r="E435" s="24">
        <v>8.533547433E10</v>
      </c>
      <c r="F435" s="24">
        <v>1.0</v>
      </c>
      <c r="G435" s="18" t="s">
        <v>2267</v>
      </c>
      <c r="H435" s="18"/>
      <c r="I435" s="24">
        <v>8.533547433E10</v>
      </c>
      <c r="J435" s="18" t="s">
        <v>2268</v>
      </c>
      <c r="K435" s="18"/>
      <c r="L435" s="18" t="s">
        <v>2269</v>
      </c>
    </row>
    <row r="436">
      <c r="A436" s="18" t="s">
        <v>2270</v>
      </c>
      <c r="B436" s="18" t="s">
        <v>791</v>
      </c>
      <c r="C436" s="18" t="s">
        <v>2271</v>
      </c>
      <c r="D436" s="18"/>
      <c r="E436" s="24">
        <v>1.0</v>
      </c>
      <c r="F436" s="24">
        <v>1.0</v>
      </c>
      <c r="G436" s="18" t="s">
        <v>2271</v>
      </c>
      <c r="H436" s="18"/>
      <c r="I436" s="24">
        <v>1.0</v>
      </c>
      <c r="J436" s="18" t="s">
        <v>2272</v>
      </c>
      <c r="K436" s="18"/>
      <c r="L436" s="18" t="s">
        <v>2013</v>
      </c>
    </row>
    <row r="437">
      <c r="A437" s="18" t="s">
        <v>2273</v>
      </c>
      <c r="B437" s="18" t="s">
        <v>791</v>
      </c>
      <c r="C437" s="18" t="s">
        <v>2274</v>
      </c>
      <c r="D437" s="18"/>
      <c r="E437" s="24">
        <v>8.5235180496E10</v>
      </c>
      <c r="F437" s="24">
        <v>1.0</v>
      </c>
      <c r="G437" s="18" t="s">
        <v>2274</v>
      </c>
      <c r="H437" s="18"/>
      <c r="I437" s="24">
        <v>8.5235180496E10</v>
      </c>
      <c r="J437" s="18" t="s">
        <v>2275</v>
      </c>
      <c r="K437" s="18"/>
      <c r="L437" s="18" t="s">
        <v>1596</v>
      </c>
    </row>
    <row r="438">
      <c r="A438" s="18" t="s">
        <v>2276</v>
      </c>
      <c r="B438" s="18" t="s">
        <v>791</v>
      </c>
      <c r="C438" s="18" t="s">
        <v>2277</v>
      </c>
      <c r="D438" s="18"/>
      <c r="E438" s="24">
        <v>8.1336184177E10</v>
      </c>
      <c r="F438" s="24">
        <v>1.0</v>
      </c>
      <c r="G438" s="18" t="s">
        <v>2277</v>
      </c>
      <c r="H438" s="18"/>
      <c r="I438" s="24">
        <v>8.1336184177E10</v>
      </c>
      <c r="J438" s="18" t="s">
        <v>2278</v>
      </c>
      <c r="K438" s="18"/>
      <c r="L438" s="18" t="s">
        <v>2032</v>
      </c>
    </row>
    <row r="439">
      <c r="A439" s="18" t="s">
        <v>2279</v>
      </c>
      <c r="B439" s="18" t="s">
        <v>791</v>
      </c>
      <c r="C439" s="18" t="s">
        <v>2280</v>
      </c>
      <c r="D439" s="18"/>
      <c r="E439" s="24">
        <v>1.0</v>
      </c>
      <c r="F439" s="24">
        <v>1.0</v>
      </c>
      <c r="G439" s="18" t="s">
        <v>2280</v>
      </c>
      <c r="H439" s="18"/>
      <c r="I439" s="24">
        <v>1.0</v>
      </c>
      <c r="J439" s="24">
        <v>3.52105311233002E15</v>
      </c>
      <c r="K439" s="18"/>
      <c r="L439" s="18" t="s">
        <v>1489</v>
      </c>
    </row>
    <row r="440">
      <c r="A440" s="18" t="s">
        <v>2281</v>
      </c>
      <c r="B440" s="18" t="s">
        <v>791</v>
      </c>
      <c r="C440" s="18" t="s">
        <v>2282</v>
      </c>
      <c r="D440" s="18"/>
      <c r="E440" s="24">
        <v>8.1329122107E10</v>
      </c>
      <c r="F440" s="24">
        <v>1.0</v>
      </c>
      <c r="G440" s="18" t="s">
        <v>2282</v>
      </c>
      <c r="H440" s="18"/>
      <c r="I440" s="24">
        <v>8.1329122107E10</v>
      </c>
      <c r="J440" s="18" t="s">
        <v>2283</v>
      </c>
      <c r="K440" s="18"/>
      <c r="L440" s="18" t="s">
        <v>1637</v>
      </c>
    </row>
    <row r="441">
      <c r="A441" s="18" t="s">
        <v>2284</v>
      </c>
      <c r="B441" s="18" t="s">
        <v>791</v>
      </c>
      <c r="C441" s="18" t="s">
        <v>2285</v>
      </c>
      <c r="D441" s="18"/>
      <c r="E441" s="24">
        <v>8.9631436646E10</v>
      </c>
      <c r="F441" s="24">
        <v>1.0</v>
      </c>
      <c r="G441" s="18" t="s">
        <v>2285</v>
      </c>
      <c r="H441" s="18"/>
      <c r="I441" s="24">
        <v>8.9631436646E10</v>
      </c>
      <c r="J441" s="18" t="s">
        <v>2286</v>
      </c>
      <c r="K441" s="18"/>
      <c r="L441" s="18" t="s">
        <v>1637</v>
      </c>
    </row>
    <row r="442">
      <c r="A442" s="18" t="s">
        <v>2287</v>
      </c>
      <c r="B442" s="18" t="s">
        <v>791</v>
      </c>
      <c r="C442" s="18" t="s">
        <v>2288</v>
      </c>
      <c r="D442" s="18"/>
      <c r="E442" s="24">
        <v>8.523694096E10</v>
      </c>
      <c r="F442" s="24">
        <v>1.0</v>
      </c>
      <c r="G442" s="18" t="s">
        <v>2288</v>
      </c>
      <c r="H442" s="18"/>
      <c r="I442" s="24">
        <v>8.523694096E10</v>
      </c>
      <c r="J442" s="18" t="s">
        <v>2289</v>
      </c>
      <c r="K442" s="18"/>
      <c r="L442" s="18" t="s">
        <v>2290</v>
      </c>
    </row>
    <row r="443">
      <c r="A443" s="18" t="s">
        <v>2291</v>
      </c>
      <c r="B443" s="18" t="s">
        <v>791</v>
      </c>
      <c r="C443" s="18" t="s">
        <v>2292</v>
      </c>
      <c r="D443" s="18"/>
      <c r="E443" s="24">
        <v>1.0</v>
      </c>
      <c r="F443" s="24">
        <v>1.0</v>
      </c>
      <c r="G443" s="18" t="s">
        <v>2292</v>
      </c>
      <c r="H443" s="18"/>
      <c r="I443" s="24">
        <v>1.0</v>
      </c>
      <c r="J443" s="18" t="s">
        <v>2293</v>
      </c>
      <c r="K443" s="18"/>
      <c r="L443" s="18" t="s">
        <v>1546</v>
      </c>
    </row>
    <row r="444">
      <c r="A444" s="18" t="s">
        <v>2294</v>
      </c>
      <c r="B444" s="18" t="s">
        <v>791</v>
      </c>
      <c r="C444" s="18" t="s">
        <v>2295</v>
      </c>
      <c r="D444" s="18" t="s">
        <v>1948</v>
      </c>
      <c r="E444" s="24">
        <v>8.5708227217E10</v>
      </c>
      <c r="F444" s="24">
        <v>1.0</v>
      </c>
      <c r="G444" s="18" t="s">
        <v>2295</v>
      </c>
      <c r="H444" s="18"/>
      <c r="I444" s="24">
        <v>8.5708227217E10</v>
      </c>
      <c r="J444" s="18" t="s">
        <v>2296</v>
      </c>
      <c r="K444" s="18"/>
      <c r="L444" s="18" t="s">
        <v>2297</v>
      </c>
    </row>
    <row r="445">
      <c r="A445" s="18" t="s">
        <v>2298</v>
      </c>
      <c r="B445" s="18" t="s">
        <v>791</v>
      </c>
      <c r="C445" s="18" t="s">
        <v>2299</v>
      </c>
      <c r="D445" s="18"/>
      <c r="E445" s="24">
        <v>8.5233836052E10</v>
      </c>
      <c r="F445" s="24">
        <v>1.0</v>
      </c>
      <c r="G445" s="18" t="s">
        <v>2299</v>
      </c>
      <c r="H445" s="18"/>
      <c r="I445" s="24">
        <v>8.5233836052E10</v>
      </c>
      <c r="J445" s="18" t="s">
        <v>2300</v>
      </c>
      <c r="K445" s="18"/>
      <c r="L445" s="18" t="s">
        <v>2301</v>
      </c>
    </row>
    <row r="446">
      <c r="A446" s="18" t="s">
        <v>2302</v>
      </c>
      <c r="B446" s="18" t="s">
        <v>791</v>
      </c>
      <c r="C446" s="18" t="s">
        <v>2303</v>
      </c>
      <c r="D446" s="18"/>
      <c r="E446" s="24">
        <v>8.1329122107E10</v>
      </c>
      <c r="F446" s="24">
        <v>1.0</v>
      </c>
      <c r="G446" s="18" t="s">
        <v>2303</v>
      </c>
      <c r="H446" s="18"/>
      <c r="I446" s="24">
        <v>8.1329122107E10</v>
      </c>
      <c r="J446" s="18" t="s">
        <v>2304</v>
      </c>
      <c r="K446" s="18"/>
      <c r="L446" s="18" t="s">
        <v>1637</v>
      </c>
    </row>
    <row r="447">
      <c r="A447" s="18" t="s">
        <v>2305</v>
      </c>
      <c r="B447" s="18" t="s">
        <v>791</v>
      </c>
      <c r="C447" s="18" t="s">
        <v>2306</v>
      </c>
      <c r="D447" s="18"/>
      <c r="E447" s="24">
        <v>8.563483327E9</v>
      </c>
      <c r="F447" s="24">
        <v>1.0</v>
      </c>
      <c r="G447" s="18" t="s">
        <v>2306</v>
      </c>
      <c r="H447" s="18"/>
      <c r="I447" s="24">
        <v>8.563483327E9</v>
      </c>
      <c r="J447" s="18" t="s">
        <v>2307</v>
      </c>
      <c r="K447" s="18"/>
      <c r="L447" s="18" t="s">
        <v>2308</v>
      </c>
    </row>
    <row r="448">
      <c r="A448" s="18" t="s">
        <v>2309</v>
      </c>
      <c r="B448" s="18" t="s">
        <v>791</v>
      </c>
      <c r="C448" s="18" t="s">
        <v>2310</v>
      </c>
      <c r="D448" s="18"/>
      <c r="E448" s="24">
        <v>8.523393859E10</v>
      </c>
      <c r="F448" s="24">
        <v>1.0</v>
      </c>
      <c r="G448" s="18" t="s">
        <v>2310</v>
      </c>
      <c r="H448" s="18"/>
      <c r="I448" s="24">
        <v>8.523393859E10</v>
      </c>
      <c r="J448" s="18" t="s">
        <v>2311</v>
      </c>
      <c r="K448" s="18"/>
      <c r="L448" s="18" t="s">
        <v>2312</v>
      </c>
    </row>
    <row r="449">
      <c r="A449" s="18" t="s">
        <v>2313</v>
      </c>
      <c r="B449" s="18" t="s">
        <v>791</v>
      </c>
      <c r="C449" s="18" t="s">
        <v>2314</v>
      </c>
      <c r="D449" s="18"/>
      <c r="E449" s="24">
        <v>8.1335464406E10</v>
      </c>
      <c r="F449" s="24">
        <v>1.0</v>
      </c>
      <c r="G449" s="18" t="s">
        <v>2314</v>
      </c>
      <c r="H449" s="18"/>
      <c r="I449" s="24">
        <v>8.1335464406E10</v>
      </c>
      <c r="J449" s="18" t="s">
        <v>2315</v>
      </c>
      <c r="K449" s="18"/>
      <c r="L449" s="18" t="s">
        <v>1623</v>
      </c>
    </row>
    <row r="450">
      <c r="A450" s="18" t="s">
        <v>2316</v>
      </c>
      <c r="B450" s="18" t="s">
        <v>791</v>
      </c>
      <c r="C450" s="18" t="s">
        <v>2317</v>
      </c>
      <c r="D450" s="18"/>
      <c r="E450" s="24">
        <v>8.2132190159E10</v>
      </c>
      <c r="F450" s="24">
        <v>1.0</v>
      </c>
      <c r="G450" s="18" t="s">
        <v>2317</v>
      </c>
      <c r="H450" s="18"/>
      <c r="I450" s="24">
        <v>8.2132190159E10</v>
      </c>
      <c r="J450" s="18" t="s">
        <v>2318</v>
      </c>
      <c r="K450" s="18"/>
      <c r="L450" s="18" t="s">
        <v>1681</v>
      </c>
    </row>
    <row r="451">
      <c r="A451" s="18" t="s">
        <v>2319</v>
      </c>
      <c r="B451" s="18" t="s">
        <v>791</v>
      </c>
      <c r="C451" s="18" t="s">
        <v>2320</v>
      </c>
      <c r="D451" s="18"/>
      <c r="E451" s="24">
        <v>8.5233836052E10</v>
      </c>
      <c r="F451" s="24">
        <v>1.0</v>
      </c>
      <c r="G451" s="18" t="s">
        <v>2320</v>
      </c>
      <c r="H451" s="18"/>
      <c r="I451" s="24">
        <v>8.5233836052E10</v>
      </c>
      <c r="J451" s="18" t="s">
        <v>2321</v>
      </c>
      <c r="K451" s="18"/>
      <c r="L451" s="18" t="s">
        <v>2322</v>
      </c>
    </row>
    <row r="452">
      <c r="A452" s="18" t="s">
        <v>2323</v>
      </c>
      <c r="B452" s="18" t="s">
        <v>791</v>
      </c>
      <c r="C452" s="18" t="s">
        <v>2324</v>
      </c>
      <c r="D452" s="18"/>
      <c r="E452" s="24">
        <v>8.5708015999E10</v>
      </c>
      <c r="F452" s="24">
        <v>1.0</v>
      </c>
      <c r="G452" s="18" t="s">
        <v>2324</v>
      </c>
      <c r="H452" s="18"/>
      <c r="I452" s="24">
        <v>8.5708015999E10</v>
      </c>
      <c r="J452" s="18" t="s">
        <v>2325</v>
      </c>
      <c r="K452" s="18"/>
      <c r="L452" s="18" t="s">
        <v>1549</v>
      </c>
    </row>
    <row r="453">
      <c r="A453" s="18" t="s">
        <v>2326</v>
      </c>
      <c r="B453" s="18" t="s">
        <v>791</v>
      </c>
      <c r="C453" s="18" t="s">
        <v>2327</v>
      </c>
      <c r="D453" s="18"/>
      <c r="E453" s="24">
        <v>8.5293854446E10</v>
      </c>
      <c r="F453" s="24">
        <v>1.0</v>
      </c>
      <c r="G453" s="18" t="s">
        <v>2327</v>
      </c>
      <c r="H453" s="18"/>
      <c r="I453" s="24">
        <v>8.5293854446E10</v>
      </c>
      <c r="J453" s="18" t="s">
        <v>2328</v>
      </c>
      <c r="K453" s="18"/>
      <c r="L453" s="18" t="s">
        <v>2230</v>
      </c>
    </row>
    <row r="454">
      <c r="A454" s="18" t="s">
        <v>2329</v>
      </c>
      <c r="B454" s="18" t="s">
        <v>791</v>
      </c>
      <c r="C454" s="18" t="s">
        <v>2330</v>
      </c>
      <c r="D454" s="18"/>
      <c r="E454" s="24">
        <v>8.5735878549E10</v>
      </c>
      <c r="F454" s="24">
        <v>1.0</v>
      </c>
      <c r="G454" s="18" t="s">
        <v>2330</v>
      </c>
      <c r="H454" s="18"/>
      <c r="I454" s="24">
        <v>8.5735878549E10</v>
      </c>
      <c r="J454" s="18" t="s">
        <v>2331</v>
      </c>
      <c r="K454" s="18"/>
      <c r="L454" s="18" t="s">
        <v>2332</v>
      </c>
    </row>
    <row r="455">
      <c r="A455" s="18" t="s">
        <v>1309</v>
      </c>
      <c r="B455" s="18" t="s">
        <v>791</v>
      </c>
      <c r="C455" s="18" t="s">
        <v>1313</v>
      </c>
      <c r="D455" s="18"/>
      <c r="E455" s="24">
        <v>8.5784809735E10</v>
      </c>
      <c r="F455" s="24">
        <v>1.0</v>
      </c>
      <c r="G455" s="18" t="s">
        <v>1313</v>
      </c>
      <c r="H455" s="18"/>
      <c r="I455" s="24">
        <v>8.5784809735E10</v>
      </c>
      <c r="J455" s="18" t="s">
        <v>1311</v>
      </c>
      <c r="K455" s="18"/>
      <c r="L455" s="18" t="s">
        <v>1315</v>
      </c>
    </row>
    <row r="456">
      <c r="A456" s="18" t="s">
        <v>2333</v>
      </c>
      <c r="B456" s="18" t="s">
        <v>791</v>
      </c>
      <c r="C456" s="18" t="s">
        <v>2334</v>
      </c>
      <c r="D456" s="18"/>
      <c r="E456" s="24">
        <v>8.5233878924E10</v>
      </c>
      <c r="F456" s="24">
        <v>1.0</v>
      </c>
      <c r="G456" s="18" t="s">
        <v>2334</v>
      </c>
      <c r="H456" s="18"/>
      <c r="I456" s="24">
        <v>8.5233878924E10</v>
      </c>
      <c r="J456" s="18" t="s">
        <v>2335</v>
      </c>
      <c r="K456" s="18"/>
      <c r="L456" s="18" t="s">
        <v>1637</v>
      </c>
    </row>
    <row r="457">
      <c r="A457" s="18" t="s">
        <v>2336</v>
      </c>
      <c r="B457" s="18" t="s">
        <v>791</v>
      </c>
      <c r="C457" s="18" t="s">
        <v>2337</v>
      </c>
      <c r="D457" s="18"/>
      <c r="E457" s="24">
        <v>8.2318868112E10</v>
      </c>
      <c r="F457" s="24">
        <v>1.0</v>
      </c>
      <c r="G457" s="18" t="s">
        <v>2337</v>
      </c>
      <c r="H457" s="18"/>
      <c r="I457" s="24">
        <v>8.2318868112E10</v>
      </c>
      <c r="J457" s="18" t="s">
        <v>2338</v>
      </c>
      <c r="K457" s="18"/>
      <c r="L457" s="18" t="s">
        <v>2339</v>
      </c>
    </row>
    <row r="458">
      <c r="A458" s="18" t="s">
        <v>2340</v>
      </c>
      <c r="B458" s="18" t="s">
        <v>791</v>
      </c>
      <c r="C458" s="18" t="s">
        <v>2341</v>
      </c>
      <c r="D458" s="18"/>
      <c r="E458" s="24">
        <v>8.1329122107E10</v>
      </c>
      <c r="F458" s="24">
        <v>1.0</v>
      </c>
      <c r="G458" s="18" t="s">
        <v>2341</v>
      </c>
      <c r="H458" s="18"/>
      <c r="I458" s="24">
        <v>8.1329122107E10</v>
      </c>
      <c r="J458" s="18" t="s">
        <v>2342</v>
      </c>
      <c r="K458" s="18"/>
      <c r="L458" s="18" t="s">
        <v>1637</v>
      </c>
    </row>
    <row r="459">
      <c r="A459" s="18" t="s">
        <v>2343</v>
      </c>
      <c r="B459" s="18" t="s">
        <v>791</v>
      </c>
      <c r="C459" s="18" t="s">
        <v>2344</v>
      </c>
      <c r="D459" s="18"/>
      <c r="E459" s="24">
        <v>8.5735438528E10</v>
      </c>
      <c r="F459" s="24">
        <v>1.0</v>
      </c>
      <c r="G459" s="18" t="s">
        <v>2344</v>
      </c>
      <c r="H459" s="18"/>
      <c r="I459" s="24">
        <v>8.5735438528E10</v>
      </c>
      <c r="J459" s="18" t="s">
        <v>2345</v>
      </c>
      <c r="K459" s="18"/>
      <c r="L459" s="18" t="s">
        <v>2346</v>
      </c>
    </row>
    <row r="460">
      <c r="A460" s="18" t="s">
        <v>2347</v>
      </c>
      <c r="B460" s="18" t="s">
        <v>791</v>
      </c>
      <c r="C460" s="18" t="s">
        <v>2348</v>
      </c>
      <c r="D460" s="18"/>
      <c r="E460" s="24">
        <v>8.1232514422E10</v>
      </c>
      <c r="F460" s="24">
        <v>1.0</v>
      </c>
      <c r="G460" s="18" t="s">
        <v>2348</v>
      </c>
      <c r="H460" s="18"/>
      <c r="I460" s="24">
        <v>8.1232514422E10</v>
      </c>
      <c r="J460" s="18" t="s">
        <v>2349</v>
      </c>
      <c r="K460" s="18"/>
      <c r="L460" s="18" t="s">
        <v>2350</v>
      </c>
    </row>
    <row r="461">
      <c r="A461" s="18" t="s">
        <v>2351</v>
      </c>
      <c r="B461" s="18" t="s">
        <v>791</v>
      </c>
      <c r="C461" s="18" t="s">
        <v>2352</v>
      </c>
      <c r="D461" s="18"/>
      <c r="E461" s="24">
        <v>8.5331754948E10</v>
      </c>
      <c r="F461" s="24">
        <v>1.0</v>
      </c>
      <c r="G461" s="18" t="s">
        <v>2352</v>
      </c>
      <c r="H461" s="18"/>
      <c r="I461" s="24">
        <v>8.5331754948E10</v>
      </c>
      <c r="J461" s="18" t="s">
        <v>2353</v>
      </c>
      <c r="K461" s="18"/>
      <c r="L461" s="18" t="s">
        <v>2354</v>
      </c>
    </row>
    <row r="462">
      <c r="A462" s="18" t="s">
        <v>2355</v>
      </c>
      <c r="B462" s="18" t="s">
        <v>791</v>
      </c>
      <c r="C462" s="18" t="s">
        <v>2356</v>
      </c>
      <c r="D462" s="18"/>
      <c r="E462" s="24">
        <v>8.5235543827E10</v>
      </c>
      <c r="F462" s="24">
        <v>1.0</v>
      </c>
      <c r="G462" s="18" t="s">
        <v>2356</v>
      </c>
      <c r="H462" s="18"/>
      <c r="I462" s="24">
        <v>8.5235543827E10</v>
      </c>
      <c r="J462" s="18" t="s">
        <v>2357</v>
      </c>
      <c r="K462" s="18"/>
      <c r="L462" s="18" t="s">
        <v>2358</v>
      </c>
    </row>
    <row r="463">
      <c r="A463" s="18" t="s">
        <v>1279</v>
      </c>
      <c r="B463" s="18" t="s">
        <v>791</v>
      </c>
      <c r="C463" s="18" t="s">
        <v>1281</v>
      </c>
      <c r="D463" s="18"/>
      <c r="E463" s="24">
        <v>8.1336304421E10</v>
      </c>
      <c r="F463" s="24">
        <v>1.0</v>
      </c>
      <c r="G463" s="18" t="s">
        <v>1281</v>
      </c>
      <c r="H463" s="18"/>
      <c r="I463" s="24">
        <v>8.1336304421E10</v>
      </c>
      <c r="J463" s="18" t="s">
        <v>1280</v>
      </c>
      <c r="K463" s="18"/>
      <c r="L463" s="18" t="s">
        <v>1278</v>
      </c>
    </row>
    <row r="464">
      <c r="A464" s="18" t="s">
        <v>2359</v>
      </c>
      <c r="B464" s="18" t="s">
        <v>791</v>
      </c>
      <c r="C464" s="18" t="s">
        <v>2360</v>
      </c>
      <c r="D464" s="18"/>
      <c r="E464" s="24">
        <v>1.0</v>
      </c>
      <c r="F464" s="24">
        <v>1.0</v>
      </c>
      <c r="G464" s="18" t="s">
        <v>2360</v>
      </c>
      <c r="H464" s="18"/>
      <c r="I464" s="24">
        <v>1.0</v>
      </c>
      <c r="J464" s="18" t="s">
        <v>2361</v>
      </c>
      <c r="K464" s="18"/>
      <c r="L464" s="18" t="s">
        <v>2013</v>
      </c>
    </row>
    <row r="465">
      <c r="A465" s="18" t="s">
        <v>2362</v>
      </c>
      <c r="B465" s="18" t="s">
        <v>791</v>
      </c>
      <c r="C465" s="18" t="s">
        <v>2363</v>
      </c>
      <c r="D465" s="18"/>
      <c r="E465" s="24">
        <v>8.5212635896E10</v>
      </c>
      <c r="F465" s="24">
        <v>1.0</v>
      </c>
      <c r="G465" s="18" t="s">
        <v>2363</v>
      </c>
      <c r="H465" s="18"/>
      <c r="I465" s="24">
        <v>8.5212635896E10</v>
      </c>
      <c r="J465" s="18" t="s">
        <v>2364</v>
      </c>
      <c r="K465" s="18"/>
      <c r="L465" s="18" t="s">
        <v>2365</v>
      </c>
    </row>
    <row r="466">
      <c r="A466" s="18" t="s">
        <v>2366</v>
      </c>
      <c r="B466" s="18" t="s">
        <v>791</v>
      </c>
      <c r="C466" s="18" t="s">
        <v>2367</v>
      </c>
      <c r="D466" s="18"/>
      <c r="E466" s="24">
        <v>8.135975241E10</v>
      </c>
      <c r="F466" s="24">
        <v>1.0</v>
      </c>
      <c r="G466" s="18" t="s">
        <v>2367</v>
      </c>
      <c r="H466" s="18"/>
      <c r="I466" s="24">
        <v>8.135975241E10</v>
      </c>
      <c r="J466" s="18" t="s">
        <v>2368</v>
      </c>
      <c r="K466" s="18"/>
      <c r="L466" s="18" t="s">
        <v>1914</v>
      </c>
    </row>
    <row r="467">
      <c r="A467" s="18" t="s">
        <v>2369</v>
      </c>
      <c r="B467" s="18" t="s">
        <v>791</v>
      </c>
      <c r="C467" s="18" t="s">
        <v>2370</v>
      </c>
      <c r="D467" s="18"/>
      <c r="E467" s="24">
        <v>8.133543388E10</v>
      </c>
      <c r="F467" s="24">
        <v>1.0</v>
      </c>
      <c r="G467" s="18" t="s">
        <v>2370</v>
      </c>
      <c r="H467" s="18"/>
      <c r="I467" s="24">
        <v>8.133543388E10</v>
      </c>
      <c r="J467" s="18" t="s">
        <v>2371</v>
      </c>
      <c r="K467" s="18"/>
      <c r="L467" s="18" t="s">
        <v>2372</v>
      </c>
    </row>
    <row r="468">
      <c r="A468" s="18" t="s">
        <v>2373</v>
      </c>
      <c r="B468" s="18" t="s">
        <v>791</v>
      </c>
      <c r="C468" s="18" t="s">
        <v>2374</v>
      </c>
      <c r="D468" s="18"/>
      <c r="E468" s="24">
        <v>8.1233982352E10</v>
      </c>
      <c r="F468" s="24">
        <v>1.0</v>
      </c>
      <c r="G468" s="18" t="s">
        <v>2374</v>
      </c>
      <c r="H468" s="18"/>
      <c r="I468" s="24">
        <v>8.1233982352E10</v>
      </c>
      <c r="J468" s="18" t="s">
        <v>2375</v>
      </c>
      <c r="K468" s="18"/>
      <c r="L468" s="18" t="s">
        <v>1665</v>
      </c>
    </row>
    <row r="469">
      <c r="A469" s="18" t="s">
        <v>2376</v>
      </c>
      <c r="B469" s="18" t="s">
        <v>791</v>
      </c>
      <c r="C469" s="18" t="s">
        <v>2377</v>
      </c>
      <c r="D469" s="18"/>
      <c r="E469" s="24">
        <v>8.5790554965E10</v>
      </c>
      <c r="F469" s="24">
        <v>1.0</v>
      </c>
      <c r="G469" s="18" t="s">
        <v>2377</v>
      </c>
      <c r="H469" s="18"/>
      <c r="I469" s="24">
        <v>8.5790554965E10</v>
      </c>
      <c r="J469" s="18" t="s">
        <v>2378</v>
      </c>
      <c r="K469" s="18"/>
      <c r="L469" s="18" t="s">
        <v>2172</v>
      </c>
    </row>
    <row r="470">
      <c r="A470" s="18" t="s">
        <v>2379</v>
      </c>
      <c r="B470" s="18" t="s">
        <v>791</v>
      </c>
      <c r="C470" s="18" t="s">
        <v>2380</v>
      </c>
      <c r="D470" s="18"/>
      <c r="E470" s="24">
        <v>8.2257791825E10</v>
      </c>
      <c r="F470" s="24">
        <v>1.0</v>
      </c>
      <c r="G470" s="18" t="s">
        <v>2380</v>
      </c>
      <c r="H470" s="18"/>
      <c r="I470" s="24">
        <v>8.2257791825E10</v>
      </c>
      <c r="J470" s="18" t="s">
        <v>2381</v>
      </c>
      <c r="K470" s="18"/>
      <c r="L470" s="18" t="s">
        <v>1846</v>
      </c>
    </row>
    <row r="471">
      <c r="A471" s="18" t="s">
        <v>2382</v>
      </c>
      <c r="B471" s="18" t="s">
        <v>791</v>
      </c>
      <c r="C471" s="18" t="s">
        <v>2383</v>
      </c>
      <c r="D471" s="18"/>
      <c r="E471" s="24">
        <v>8.5233596263E10</v>
      </c>
      <c r="F471" s="24">
        <v>1.0</v>
      </c>
      <c r="G471" s="18" t="s">
        <v>2383</v>
      </c>
      <c r="H471" s="18"/>
      <c r="I471" s="24">
        <v>8.5233596263E10</v>
      </c>
      <c r="J471" s="18" t="s">
        <v>2384</v>
      </c>
      <c r="K471" s="18"/>
      <c r="L471" s="18" t="s">
        <v>2385</v>
      </c>
    </row>
    <row r="472">
      <c r="A472" s="18" t="s">
        <v>1285</v>
      </c>
      <c r="B472" s="18" t="s">
        <v>791</v>
      </c>
      <c r="C472" s="18" t="s">
        <v>1288</v>
      </c>
      <c r="D472" s="18"/>
      <c r="E472" s="24">
        <v>8.1336304421E10</v>
      </c>
      <c r="F472" s="24">
        <v>1.0</v>
      </c>
      <c r="G472" s="18" t="s">
        <v>1288</v>
      </c>
      <c r="H472" s="18"/>
      <c r="I472" s="24">
        <v>8.1336304421E10</v>
      </c>
      <c r="J472" s="18" t="s">
        <v>1287</v>
      </c>
      <c r="K472" s="18"/>
      <c r="L472" s="18" t="s">
        <v>1289</v>
      </c>
    </row>
    <row r="473">
      <c r="A473" s="18" t="s">
        <v>2386</v>
      </c>
      <c r="B473" s="18" t="s">
        <v>791</v>
      </c>
      <c r="C473" s="18" t="s">
        <v>2387</v>
      </c>
      <c r="D473" s="18"/>
      <c r="E473" s="18"/>
      <c r="F473" s="24">
        <v>1.0</v>
      </c>
      <c r="G473" s="18" t="s">
        <v>2387</v>
      </c>
      <c r="H473" s="18"/>
      <c r="I473" s="18"/>
      <c r="J473" s="18" t="s">
        <v>2388</v>
      </c>
      <c r="K473" s="18"/>
      <c r="L473" s="18"/>
    </row>
    <row r="474">
      <c r="A474" s="18" t="s">
        <v>2389</v>
      </c>
      <c r="B474" s="18" t="s">
        <v>791</v>
      </c>
      <c r="C474" s="18" t="s">
        <v>2390</v>
      </c>
      <c r="D474" s="18"/>
      <c r="E474" s="24">
        <v>8.1335706863E10</v>
      </c>
      <c r="F474" s="24">
        <v>1.0</v>
      </c>
      <c r="G474" s="18" t="s">
        <v>2390</v>
      </c>
      <c r="H474" s="18"/>
      <c r="I474" s="24">
        <v>8.1335706863E10</v>
      </c>
      <c r="J474" s="18" t="s">
        <v>2391</v>
      </c>
      <c r="K474" s="18"/>
      <c r="L474" s="18" t="s">
        <v>2346</v>
      </c>
    </row>
    <row r="475">
      <c r="A475" s="18" t="s">
        <v>2392</v>
      </c>
      <c r="B475" s="18" t="s">
        <v>791</v>
      </c>
      <c r="C475" s="18" t="s">
        <v>2393</v>
      </c>
      <c r="D475" s="18"/>
      <c r="E475" s="24">
        <v>8.5654128073E10</v>
      </c>
      <c r="F475" s="24">
        <v>1.0</v>
      </c>
      <c r="G475" s="18" t="s">
        <v>2393</v>
      </c>
      <c r="H475" s="18"/>
      <c r="I475" s="24">
        <v>8.5654128073E10</v>
      </c>
      <c r="J475" s="18" t="s">
        <v>2394</v>
      </c>
      <c r="K475" s="18"/>
      <c r="L475" s="18" t="s">
        <v>1539</v>
      </c>
    </row>
    <row r="476">
      <c r="A476" s="18" t="s">
        <v>2395</v>
      </c>
      <c r="B476" s="18" t="s">
        <v>791</v>
      </c>
      <c r="C476" s="18" t="s">
        <v>2396</v>
      </c>
      <c r="D476" s="18"/>
      <c r="E476" s="24">
        <v>8.525920211E10</v>
      </c>
      <c r="F476" s="24">
        <v>1.0</v>
      </c>
      <c r="G476" s="18" t="s">
        <v>2396</v>
      </c>
      <c r="H476" s="18"/>
      <c r="I476" s="24">
        <v>8.525920211E10</v>
      </c>
      <c r="J476" s="18" t="s">
        <v>2397</v>
      </c>
      <c r="K476" s="18"/>
      <c r="L476" s="18" t="s">
        <v>2398</v>
      </c>
    </row>
    <row r="477">
      <c r="A477" s="18" t="s">
        <v>2399</v>
      </c>
      <c r="B477" s="18" t="s">
        <v>791</v>
      </c>
      <c r="C477" s="18" t="s">
        <v>2400</v>
      </c>
      <c r="D477" s="18"/>
      <c r="E477" s="24">
        <v>8.5808430286E10</v>
      </c>
      <c r="F477" s="24">
        <v>1.0</v>
      </c>
      <c r="G477" s="18" t="s">
        <v>2400</v>
      </c>
      <c r="H477" s="18"/>
      <c r="I477" s="24">
        <v>8.5808430286E10</v>
      </c>
      <c r="J477" s="18" t="s">
        <v>2401</v>
      </c>
      <c r="K477" s="18"/>
      <c r="L477" s="18" t="s">
        <v>2402</v>
      </c>
    </row>
    <row r="478">
      <c r="A478" s="18" t="s">
        <v>2403</v>
      </c>
      <c r="B478" s="18" t="s">
        <v>791</v>
      </c>
      <c r="C478" s="18" t="s">
        <v>2404</v>
      </c>
      <c r="D478" s="18"/>
      <c r="E478" s="24">
        <v>8.1335208367E10</v>
      </c>
      <c r="F478" s="24">
        <v>1.0</v>
      </c>
      <c r="G478" s="18" t="s">
        <v>2404</v>
      </c>
      <c r="H478" s="18"/>
      <c r="I478" s="24">
        <v>8.1335208367E10</v>
      </c>
      <c r="J478" s="18" t="s">
        <v>2405</v>
      </c>
      <c r="K478" s="18"/>
      <c r="L478" s="18" t="s">
        <v>1914</v>
      </c>
    </row>
    <row r="479">
      <c r="A479" s="18" t="s">
        <v>2406</v>
      </c>
      <c r="B479" s="18" t="s">
        <v>791</v>
      </c>
      <c r="C479" s="18" t="s">
        <v>2407</v>
      </c>
      <c r="D479" s="18"/>
      <c r="E479" s="24">
        <v>8.1333906122E10</v>
      </c>
      <c r="F479" s="24">
        <v>1.0</v>
      </c>
      <c r="G479" s="18" t="s">
        <v>2407</v>
      </c>
      <c r="H479" s="18"/>
      <c r="I479" s="24">
        <v>8.1333906122E10</v>
      </c>
      <c r="J479" s="18" t="s">
        <v>2408</v>
      </c>
      <c r="K479" s="18"/>
      <c r="L479" s="18" t="s">
        <v>1633</v>
      </c>
    </row>
    <row r="480">
      <c r="A480" s="18" t="s">
        <v>2409</v>
      </c>
      <c r="B480" s="18" t="s">
        <v>791</v>
      </c>
      <c r="C480" s="18" t="s">
        <v>2410</v>
      </c>
      <c r="D480" s="18"/>
      <c r="E480" s="24">
        <v>8.5694040288E10</v>
      </c>
      <c r="F480" s="24">
        <v>1.0</v>
      </c>
      <c r="G480" s="18" t="s">
        <v>2410</v>
      </c>
      <c r="H480" s="18"/>
      <c r="I480" s="24">
        <v>8.5694040288E10</v>
      </c>
      <c r="J480" s="18" t="s">
        <v>2411</v>
      </c>
      <c r="K480" s="18"/>
      <c r="L480" s="18" t="s">
        <v>2412</v>
      </c>
    </row>
    <row r="481">
      <c r="A481" s="18" t="s">
        <v>2413</v>
      </c>
      <c r="B481" s="18" t="s">
        <v>791</v>
      </c>
      <c r="C481" s="18" t="s">
        <v>2414</v>
      </c>
      <c r="D481" s="18"/>
      <c r="E481" s="24">
        <v>8.5708227216E10</v>
      </c>
      <c r="F481" s="24">
        <v>1.0</v>
      </c>
      <c r="G481" s="18" t="s">
        <v>2414</v>
      </c>
      <c r="H481" s="18"/>
      <c r="I481" s="24">
        <v>8.5708227216E10</v>
      </c>
      <c r="J481" s="18" t="s">
        <v>2415</v>
      </c>
      <c r="K481" s="18"/>
      <c r="L481" s="18" t="s">
        <v>2297</v>
      </c>
    </row>
    <row r="482">
      <c r="A482" s="18" t="s">
        <v>2416</v>
      </c>
      <c r="B482" s="18" t="s">
        <v>791</v>
      </c>
      <c r="C482" s="18" t="s">
        <v>2417</v>
      </c>
      <c r="D482" s="18"/>
      <c r="E482" s="24">
        <v>8.5259838445E10</v>
      </c>
      <c r="F482" s="24">
        <v>1.0</v>
      </c>
      <c r="G482" s="18" t="s">
        <v>2417</v>
      </c>
      <c r="H482" s="18"/>
      <c r="I482" s="24">
        <v>8.5259838445E10</v>
      </c>
      <c r="J482" s="18" t="s">
        <v>2418</v>
      </c>
      <c r="K482" s="18"/>
      <c r="L482" s="18" t="s">
        <v>2419</v>
      </c>
    </row>
    <row r="483">
      <c r="A483" s="18" t="s">
        <v>2420</v>
      </c>
      <c r="B483" s="18" t="s">
        <v>791</v>
      </c>
      <c r="C483" s="18" t="s">
        <v>2421</v>
      </c>
      <c r="D483" s="18"/>
      <c r="E483" s="24">
        <v>8.5233770937E10</v>
      </c>
      <c r="F483" s="24">
        <v>1.0</v>
      </c>
      <c r="G483" s="18" t="s">
        <v>2421</v>
      </c>
      <c r="H483" s="18"/>
      <c r="I483" s="24">
        <v>8.5233770937E10</v>
      </c>
      <c r="J483" s="18" t="s">
        <v>2422</v>
      </c>
      <c r="K483" s="18"/>
      <c r="L483" s="18" t="s">
        <v>2423</v>
      </c>
    </row>
    <row r="484">
      <c r="A484" s="18" t="s">
        <v>2424</v>
      </c>
      <c r="B484" s="18" t="s">
        <v>791</v>
      </c>
      <c r="C484" s="18" t="s">
        <v>2425</v>
      </c>
      <c r="D484" s="18"/>
      <c r="E484" s="24">
        <v>8.2331695666E10</v>
      </c>
      <c r="F484" s="24">
        <v>1.0</v>
      </c>
      <c r="G484" s="18" t="s">
        <v>2425</v>
      </c>
      <c r="H484" s="18"/>
      <c r="I484" s="24">
        <v>8.2331695666E10</v>
      </c>
      <c r="J484" s="18" t="s">
        <v>2426</v>
      </c>
      <c r="K484" s="18"/>
      <c r="L484" s="18" t="s">
        <v>1958</v>
      </c>
    </row>
    <row r="485">
      <c r="A485" s="18" t="s">
        <v>2427</v>
      </c>
      <c r="B485" s="18" t="s">
        <v>791</v>
      </c>
      <c r="C485" s="18" t="s">
        <v>2428</v>
      </c>
      <c r="D485" s="18"/>
      <c r="E485" s="24">
        <v>8.5708015999E10</v>
      </c>
      <c r="F485" s="24">
        <v>1.0</v>
      </c>
      <c r="G485" s="18" t="s">
        <v>2428</v>
      </c>
      <c r="H485" s="18"/>
      <c r="I485" s="24">
        <v>8.5708015999E10</v>
      </c>
      <c r="J485" s="18" t="s">
        <v>2429</v>
      </c>
      <c r="K485" s="18"/>
      <c r="L485" s="18" t="s">
        <v>2430</v>
      </c>
    </row>
    <row r="486">
      <c r="A486" s="18" t="s">
        <v>2431</v>
      </c>
      <c r="B486" s="18" t="s">
        <v>791</v>
      </c>
      <c r="C486" s="18" t="s">
        <v>2432</v>
      </c>
      <c r="D486" s="18"/>
      <c r="E486" s="18"/>
      <c r="F486" s="24">
        <v>1.0</v>
      </c>
      <c r="G486" s="18" t="s">
        <v>2432</v>
      </c>
      <c r="H486" s="18"/>
      <c r="I486" s="18"/>
      <c r="J486" s="18" t="s">
        <v>2433</v>
      </c>
      <c r="K486" s="18"/>
      <c r="L486" s="18"/>
    </row>
    <row r="487">
      <c r="A487" s="18" t="s">
        <v>2434</v>
      </c>
      <c r="B487" s="18" t="s">
        <v>791</v>
      </c>
      <c r="C487" s="18" t="s">
        <v>2435</v>
      </c>
      <c r="D487" s="18"/>
      <c r="E487" s="24">
        <v>8.5853362014E10</v>
      </c>
      <c r="F487" s="24">
        <v>1.0</v>
      </c>
      <c r="G487" s="18" t="s">
        <v>2435</v>
      </c>
      <c r="H487" s="18"/>
      <c r="I487" s="24">
        <v>8.5853362014E10</v>
      </c>
      <c r="J487" s="18" t="s">
        <v>2436</v>
      </c>
      <c r="K487" s="18"/>
      <c r="L487" s="18" t="s">
        <v>2437</v>
      </c>
    </row>
    <row r="488">
      <c r="A488" s="18" t="s">
        <v>2438</v>
      </c>
      <c r="B488" s="18" t="s">
        <v>791</v>
      </c>
      <c r="C488" s="18" t="s">
        <v>2439</v>
      </c>
      <c r="D488" s="18"/>
      <c r="E488" s="24">
        <v>8.2141315373E10</v>
      </c>
      <c r="F488" s="24">
        <v>1.0</v>
      </c>
      <c r="G488" s="18" t="s">
        <v>2439</v>
      </c>
      <c r="H488" s="18"/>
      <c r="I488" s="24">
        <v>8.2141315373E10</v>
      </c>
      <c r="J488" s="18" t="s">
        <v>2440</v>
      </c>
      <c r="K488" s="18"/>
      <c r="L488" s="18" t="s">
        <v>2441</v>
      </c>
    </row>
    <row r="489">
      <c r="A489" s="18" t="s">
        <v>2442</v>
      </c>
      <c r="B489" s="18" t="s">
        <v>791</v>
      </c>
      <c r="C489" s="18" t="s">
        <v>2443</v>
      </c>
      <c r="D489" s="18"/>
      <c r="E489" s="24">
        <v>8.5331754948E10</v>
      </c>
      <c r="F489" s="24">
        <v>1.0</v>
      </c>
      <c r="G489" s="18" t="s">
        <v>2443</v>
      </c>
      <c r="H489" s="18"/>
      <c r="I489" s="24">
        <v>8.5331754948E10</v>
      </c>
      <c r="J489" s="18" t="s">
        <v>2444</v>
      </c>
      <c r="K489" s="18"/>
      <c r="L489" s="18" t="s">
        <v>2354</v>
      </c>
    </row>
    <row r="490">
      <c r="A490" s="18" t="s">
        <v>2445</v>
      </c>
      <c r="B490" s="18" t="s">
        <v>791</v>
      </c>
      <c r="C490" s="18" t="s">
        <v>2446</v>
      </c>
      <c r="D490" s="18"/>
      <c r="E490" s="24">
        <v>8.5853417211E10</v>
      </c>
      <c r="F490" s="24">
        <v>1.0</v>
      </c>
      <c r="G490" s="18" t="s">
        <v>2446</v>
      </c>
      <c r="H490" s="18"/>
      <c r="I490" s="24">
        <v>8.5853417211E10</v>
      </c>
      <c r="J490" s="18" t="s">
        <v>2447</v>
      </c>
      <c r="K490" s="18"/>
      <c r="L490" s="18" t="s">
        <v>1951</v>
      </c>
    </row>
    <row r="491">
      <c r="A491" s="18" t="s">
        <v>2448</v>
      </c>
      <c r="B491" s="18" t="s">
        <v>791</v>
      </c>
      <c r="C491" s="18" t="s">
        <v>2449</v>
      </c>
      <c r="D491" s="18"/>
      <c r="E491" s="24">
        <v>8.5736873913E10</v>
      </c>
      <c r="F491" s="24">
        <v>1.0</v>
      </c>
      <c r="G491" s="18" t="s">
        <v>2449</v>
      </c>
      <c r="H491" s="18"/>
      <c r="I491" s="24">
        <v>8.5736873913E10</v>
      </c>
      <c r="J491" s="18" t="s">
        <v>2450</v>
      </c>
      <c r="K491" s="18"/>
      <c r="L491" s="18" t="s">
        <v>2451</v>
      </c>
    </row>
    <row r="492">
      <c r="A492" s="18" t="s">
        <v>2452</v>
      </c>
      <c r="B492" s="18" t="s">
        <v>791</v>
      </c>
      <c r="C492" s="18" t="s">
        <v>2453</v>
      </c>
      <c r="D492" s="18"/>
      <c r="E492" s="24">
        <v>8.5293854446E10</v>
      </c>
      <c r="F492" s="24">
        <v>1.0</v>
      </c>
      <c r="G492" s="18" t="s">
        <v>2453</v>
      </c>
      <c r="H492" s="18"/>
      <c r="I492" s="24">
        <v>8.5293854446E10</v>
      </c>
      <c r="J492" s="18" t="s">
        <v>2454</v>
      </c>
      <c r="K492" s="18"/>
      <c r="L492" s="18" t="s">
        <v>2230</v>
      </c>
    </row>
    <row r="493">
      <c r="A493" s="18" t="s">
        <v>2455</v>
      </c>
      <c r="B493" s="18" t="s">
        <v>791</v>
      </c>
      <c r="C493" s="18" t="s">
        <v>2456</v>
      </c>
      <c r="D493" s="18"/>
      <c r="E493" s="24">
        <v>8.1335760149E10</v>
      </c>
      <c r="F493" s="24">
        <v>1.0</v>
      </c>
      <c r="G493" s="18" t="s">
        <v>2456</v>
      </c>
      <c r="H493" s="18"/>
      <c r="I493" s="24">
        <v>8.1335760149E10</v>
      </c>
      <c r="J493" s="18" t="s">
        <v>2457</v>
      </c>
      <c r="K493" s="18"/>
      <c r="L493" s="18" t="s">
        <v>2458</v>
      </c>
    </row>
    <row r="494">
      <c r="A494" s="18" t="s">
        <v>2459</v>
      </c>
      <c r="B494" s="18" t="s">
        <v>791</v>
      </c>
      <c r="C494" s="18" t="s">
        <v>2460</v>
      </c>
      <c r="D494" s="18"/>
      <c r="E494" s="24">
        <v>8.1527046505E10</v>
      </c>
      <c r="F494" s="24">
        <v>1.0</v>
      </c>
      <c r="G494" s="18" t="s">
        <v>2460</v>
      </c>
      <c r="H494" s="18"/>
      <c r="I494" s="24">
        <v>8.1527046505E10</v>
      </c>
      <c r="J494" s="18" t="s">
        <v>2461</v>
      </c>
      <c r="K494" s="18"/>
      <c r="L494" s="18" t="s">
        <v>1935</v>
      </c>
    </row>
    <row r="495">
      <c r="A495" s="18" t="s">
        <v>2462</v>
      </c>
      <c r="B495" s="18" t="s">
        <v>791</v>
      </c>
      <c r="C495" s="18" t="s">
        <v>2463</v>
      </c>
      <c r="D495" s="18"/>
      <c r="E495" s="24">
        <v>8.133527466E10</v>
      </c>
      <c r="F495" s="24">
        <v>1.0</v>
      </c>
      <c r="G495" s="18" t="s">
        <v>2463</v>
      </c>
      <c r="H495" s="18"/>
      <c r="I495" s="24">
        <v>8.133527466E10</v>
      </c>
      <c r="J495" s="18" t="s">
        <v>2464</v>
      </c>
      <c r="K495" s="18"/>
      <c r="L495" s="18" t="s">
        <v>1777</v>
      </c>
    </row>
    <row r="496">
      <c r="A496" s="18" t="s">
        <v>2465</v>
      </c>
      <c r="B496" s="18" t="s">
        <v>791</v>
      </c>
      <c r="C496" s="18" t="s">
        <v>2466</v>
      </c>
      <c r="D496" s="18"/>
      <c r="E496" s="18"/>
      <c r="F496" s="24">
        <v>1.0</v>
      </c>
      <c r="G496" s="18" t="s">
        <v>2466</v>
      </c>
      <c r="H496" s="18"/>
      <c r="I496" s="18"/>
      <c r="J496" s="18" t="s">
        <v>2467</v>
      </c>
      <c r="K496" s="18"/>
      <c r="L496" s="18"/>
    </row>
    <row r="497">
      <c r="A497" s="18" t="s">
        <v>2468</v>
      </c>
      <c r="B497" s="18" t="s">
        <v>791</v>
      </c>
      <c r="C497" s="18" t="s">
        <v>2469</v>
      </c>
      <c r="D497" s="18"/>
      <c r="E497" s="24">
        <v>8.5233711713E10</v>
      </c>
      <c r="F497" s="24">
        <v>1.0</v>
      </c>
      <c r="G497" s="18" t="s">
        <v>2469</v>
      </c>
      <c r="H497" s="18"/>
      <c r="I497" s="24">
        <v>8.5233711713E10</v>
      </c>
      <c r="J497" s="18" t="s">
        <v>2470</v>
      </c>
      <c r="K497" s="18"/>
      <c r="L497" s="18" t="s">
        <v>2471</v>
      </c>
    </row>
    <row r="498">
      <c r="A498" s="18" t="s">
        <v>2472</v>
      </c>
      <c r="B498" s="18" t="s">
        <v>791</v>
      </c>
      <c r="C498" s="18" t="s">
        <v>2473</v>
      </c>
      <c r="D498" s="18"/>
      <c r="E498" s="24">
        <v>8.2257791825E10</v>
      </c>
      <c r="F498" s="24">
        <v>1.0</v>
      </c>
      <c r="G498" s="18" t="s">
        <v>2473</v>
      </c>
      <c r="H498" s="18"/>
      <c r="I498" s="24">
        <v>8.2257791825E10</v>
      </c>
      <c r="J498" s="18" t="s">
        <v>2474</v>
      </c>
      <c r="K498" s="18"/>
      <c r="L498" s="18" t="s">
        <v>2475</v>
      </c>
    </row>
    <row r="499">
      <c r="A499" s="18" t="s">
        <v>2476</v>
      </c>
      <c r="B499" s="18" t="s">
        <v>791</v>
      </c>
      <c r="C499" s="18" t="s">
        <v>2477</v>
      </c>
      <c r="D499" s="18"/>
      <c r="E499" s="24">
        <v>8.1217755213E10</v>
      </c>
      <c r="F499" s="24">
        <v>1.0</v>
      </c>
      <c r="G499" s="18" t="s">
        <v>2477</v>
      </c>
      <c r="H499" s="18"/>
      <c r="I499" s="24">
        <v>8.1217755213E10</v>
      </c>
      <c r="J499" s="18" t="s">
        <v>2478</v>
      </c>
      <c r="K499" s="18"/>
      <c r="L499" s="18" t="s">
        <v>2213</v>
      </c>
    </row>
    <row r="500">
      <c r="A500" s="18" t="s">
        <v>2479</v>
      </c>
      <c r="B500" s="18" t="s">
        <v>791</v>
      </c>
      <c r="C500" s="18" t="s">
        <v>2480</v>
      </c>
      <c r="D500" s="18"/>
      <c r="E500" s="24">
        <v>8.1335208487E10</v>
      </c>
      <c r="F500" s="24">
        <v>1.0</v>
      </c>
      <c r="G500" s="18" t="s">
        <v>2480</v>
      </c>
      <c r="H500" s="18"/>
      <c r="I500" s="24">
        <v>8.1335208487E10</v>
      </c>
      <c r="J500" s="18" t="s">
        <v>2481</v>
      </c>
      <c r="K500" s="18"/>
      <c r="L500" s="18" t="s">
        <v>1850</v>
      </c>
    </row>
    <row r="501">
      <c r="A501" s="18" t="s">
        <v>2482</v>
      </c>
      <c r="B501" s="18" t="s">
        <v>791</v>
      </c>
      <c r="C501" s="18" t="s">
        <v>2483</v>
      </c>
      <c r="D501" s="18"/>
      <c r="E501" s="24">
        <v>8.2141872198E10</v>
      </c>
      <c r="F501" s="24">
        <v>1.0</v>
      </c>
      <c r="G501" s="18" t="s">
        <v>2483</v>
      </c>
      <c r="H501" s="18"/>
      <c r="I501" s="24">
        <v>8.2141872198E10</v>
      </c>
      <c r="J501" s="18" t="s">
        <v>2484</v>
      </c>
      <c r="K501" s="18"/>
      <c r="L501" s="18" t="s">
        <v>1527</v>
      </c>
    </row>
    <row r="502">
      <c r="A502" s="18" t="s">
        <v>2485</v>
      </c>
      <c r="B502" s="18" t="s">
        <v>791</v>
      </c>
      <c r="C502" s="18" t="s">
        <v>2486</v>
      </c>
      <c r="D502" s="18"/>
      <c r="E502" s="24">
        <v>8.2132190159E10</v>
      </c>
      <c r="F502" s="24">
        <v>1.0</v>
      </c>
      <c r="G502" s="18" t="s">
        <v>2486</v>
      </c>
      <c r="H502" s="18"/>
      <c r="I502" s="24">
        <v>8.2132190159E10</v>
      </c>
      <c r="J502" s="18" t="s">
        <v>2487</v>
      </c>
      <c r="K502" s="18"/>
      <c r="L502" s="18" t="s">
        <v>1681</v>
      </c>
    </row>
    <row r="503">
      <c r="A503" s="18" t="s">
        <v>2488</v>
      </c>
      <c r="B503" s="18" t="s">
        <v>791</v>
      </c>
      <c r="C503" s="18" t="s">
        <v>2489</v>
      </c>
      <c r="D503" s="18"/>
      <c r="E503" s="24">
        <v>8.5732216596E10</v>
      </c>
      <c r="F503" s="24">
        <v>1.0</v>
      </c>
      <c r="G503" s="18" t="s">
        <v>2489</v>
      </c>
      <c r="H503" s="18"/>
      <c r="I503" s="24">
        <v>8.5732216596E10</v>
      </c>
      <c r="J503" s="18" t="s">
        <v>2490</v>
      </c>
      <c r="K503" s="18"/>
      <c r="L503" s="18" t="s">
        <v>2491</v>
      </c>
    </row>
    <row r="504">
      <c r="A504" s="18" t="s">
        <v>2492</v>
      </c>
      <c r="B504" s="18" t="s">
        <v>791</v>
      </c>
      <c r="C504" s="18" t="s">
        <v>2493</v>
      </c>
      <c r="D504" s="18"/>
      <c r="E504" s="24">
        <v>8.5755303676E10</v>
      </c>
      <c r="F504" s="24">
        <v>1.0</v>
      </c>
      <c r="G504" s="18" t="s">
        <v>2493</v>
      </c>
      <c r="H504" s="18"/>
      <c r="I504" s="24">
        <v>8.5755303676E10</v>
      </c>
      <c r="J504" s="18" t="s">
        <v>2494</v>
      </c>
      <c r="K504" s="18"/>
      <c r="L504" s="18" t="s">
        <v>2059</v>
      </c>
    </row>
    <row r="505">
      <c r="A505" s="18" t="s">
        <v>2495</v>
      </c>
      <c r="B505" s="18" t="s">
        <v>791</v>
      </c>
      <c r="C505" s="18" t="s">
        <v>2496</v>
      </c>
      <c r="D505" s="18"/>
      <c r="E505" s="24">
        <v>8.2141565509E10</v>
      </c>
      <c r="F505" s="24">
        <v>1.0</v>
      </c>
      <c r="G505" s="18" t="s">
        <v>2496</v>
      </c>
      <c r="H505" s="18"/>
      <c r="I505" s="24">
        <v>8.2141565509E10</v>
      </c>
      <c r="J505" s="18" t="s">
        <v>2497</v>
      </c>
      <c r="K505" s="18"/>
      <c r="L505" s="18" t="s">
        <v>2498</v>
      </c>
    </row>
    <row r="506">
      <c r="A506" s="18" t="s">
        <v>2499</v>
      </c>
      <c r="B506" s="18" t="s">
        <v>791</v>
      </c>
      <c r="C506" s="18" t="s">
        <v>2500</v>
      </c>
      <c r="D506" s="18"/>
      <c r="E506" s="24">
        <v>8.139025822E10</v>
      </c>
      <c r="F506" s="24">
        <v>1.0</v>
      </c>
      <c r="G506" s="18" t="s">
        <v>2500</v>
      </c>
      <c r="H506" s="18"/>
      <c r="I506" s="24">
        <v>8.139025822E10</v>
      </c>
      <c r="J506" s="18" t="s">
        <v>2501</v>
      </c>
      <c r="K506" s="18"/>
      <c r="L506" s="18" t="s">
        <v>2502</v>
      </c>
    </row>
    <row r="507">
      <c r="A507" s="18" t="s">
        <v>2503</v>
      </c>
      <c r="B507" s="18" t="s">
        <v>791</v>
      </c>
      <c r="C507" s="18" t="s">
        <v>2504</v>
      </c>
      <c r="D507" s="18"/>
      <c r="E507" s="24">
        <v>8.1233982352E10</v>
      </c>
      <c r="F507" s="24">
        <v>1.0</v>
      </c>
      <c r="G507" s="18" t="s">
        <v>2504</v>
      </c>
      <c r="H507" s="18"/>
      <c r="I507" s="24">
        <v>8.1233982352E10</v>
      </c>
      <c r="J507" s="18" t="s">
        <v>2505</v>
      </c>
      <c r="K507" s="18"/>
      <c r="L507" s="18" t="s">
        <v>1665</v>
      </c>
    </row>
    <row r="508">
      <c r="A508" s="18" t="s">
        <v>790</v>
      </c>
      <c r="B508" s="18" t="s">
        <v>791</v>
      </c>
      <c r="C508" s="18" t="s">
        <v>793</v>
      </c>
      <c r="D508" s="18"/>
      <c r="E508" s="24">
        <v>8.5647109231E10</v>
      </c>
      <c r="F508" s="24">
        <v>1.0</v>
      </c>
      <c r="G508" s="18" t="s">
        <v>793</v>
      </c>
      <c r="H508" s="18"/>
      <c r="I508" s="24">
        <v>8.5647109231E10</v>
      </c>
      <c r="J508" s="18" t="s">
        <v>231</v>
      </c>
      <c r="K508" s="18"/>
      <c r="L508" s="18" t="s">
        <v>796</v>
      </c>
    </row>
    <row r="509">
      <c r="A509" s="18" t="s">
        <v>2506</v>
      </c>
      <c r="B509" s="18" t="s">
        <v>791</v>
      </c>
      <c r="C509" s="18" t="s">
        <v>2507</v>
      </c>
      <c r="D509" s="18"/>
      <c r="E509" s="24">
        <v>8.5784375782E10</v>
      </c>
      <c r="F509" s="24">
        <v>1.0</v>
      </c>
      <c r="G509" s="18" t="s">
        <v>2507</v>
      </c>
      <c r="H509" s="18"/>
      <c r="I509" s="24">
        <v>8.5784375782E10</v>
      </c>
      <c r="J509" s="18" t="s">
        <v>2508</v>
      </c>
      <c r="K509" s="18"/>
      <c r="L509" s="18" t="s">
        <v>2509</v>
      </c>
    </row>
    <row r="510">
      <c r="A510" s="18" t="s">
        <v>2510</v>
      </c>
      <c r="B510" s="18" t="s">
        <v>791</v>
      </c>
      <c r="C510" s="18" t="s">
        <v>2511</v>
      </c>
      <c r="D510" s="18"/>
      <c r="E510" s="24">
        <v>8.5736736496E10</v>
      </c>
      <c r="F510" s="24">
        <v>1.0</v>
      </c>
      <c r="G510" s="18" t="s">
        <v>2511</v>
      </c>
      <c r="H510" s="18"/>
      <c r="I510" s="24">
        <v>8.5736736496E10</v>
      </c>
      <c r="J510" s="18" t="s">
        <v>2512</v>
      </c>
      <c r="K510" s="18"/>
      <c r="L510" s="18" t="s">
        <v>2513</v>
      </c>
    </row>
    <row r="511">
      <c r="A511" s="18" t="s">
        <v>2514</v>
      </c>
      <c r="B511" s="18" t="s">
        <v>791</v>
      </c>
      <c r="C511" s="18" t="s">
        <v>2515</v>
      </c>
      <c r="D511" s="18"/>
      <c r="E511" s="24">
        <v>8.5235647267E10</v>
      </c>
      <c r="F511" s="24">
        <v>1.0</v>
      </c>
      <c r="G511" s="18" t="s">
        <v>2515</v>
      </c>
      <c r="H511" s="18"/>
      <c r="I511" s="24">
        <v>8.5235647267E10</v>
      </c>
      <c r="J511" s="18" t="s">
        <v>2516</v>
      </c>
      <c r="K511" s="18"/>
      <c r="L511" s="18" t="s">
        <v>2036</v>
      </c>
    </row>
    <row r="512">
      <c r="A512" s="18" t="s">
        <v>2517</v>
      </c>
      <c r="B512" s="18" t="s">
        <v>791</v>
      </c>
      <c r="C512" s="18" t="s">
        <v>2518</v>
      </c>
      <c r="D512" s="18"/>
      <c r="E512" s="18"/>
      <c r="F512" s="24">
        <v>1.0</v>
      </c>
      <c r="G512" s="18" t="s">
        <v>2518</v>
      </c>
      <c r="H512" s="18"/>
      <c r="I512" s="18"/>
      <c r="J512" s="18" t="s">
        <v>2519</v>
      </c>
      <c r="K512" s="18"/>
      <c r="L512" s="18"/>
    </row>
    <row r="513">
      <c r="A513" s="18" t="s">
        <v>2520</v>
      </c>
      <c r="B513" s="18" t="s">
        <v>791</v>
      </c>
      <c r="C513" s="18" t="s">
        <v>2521</v>
      </c>
      <c r="D513" s="18"/>
      <c r="E513" s="24">
        <v>8.5708105999E10</v>
      </c>
      <c r="F513" s="24">
        <v>1.0</v>
      </c>
      <c r="G513" s="18" t="s">
        <v>2521</v>
      </c>
      <c r="H513" s="18"/>
      <c r="I513" s="24">
        <v>8.5708105999E10</v>
      </c>
      <c r="J513" s="18" t="s">
        <v>2522</v>
      </c>
      <c r="K513" s="18"/>
      <c r="L513" s="18" t="s">
        <v>2523</v>
      </c>
    </row>
    <row r="514">
      <c r="A514" s="18" t="s">
        <v>2524</v>
      </c>
      <c r="B514" s="18" t="s">
        <v>791</v>
      </c>
      <c r="C514" s="18" t="s">
        <v>2525</v>
      </c>
      <c r="D514" s="18"/>
      <c r="E514" s="24">
        <v>8.1234132272E10</v>
      </c>
      <c r="F514" s="24">
        <v>1.0</v>
      </c>
      <c r="G514" s="18" t="s">
        <v>2525</v>
      </c>
      <c r="H514" s="18"/>
      <c r="I514" s="24">
        <v>8.1234132272E10</v>
      </c>
      <c r="J514" s="18" t="s">
        <v>2526</v>
      </c>
      <c r="K514" s="18"/>
      <c r="L514" s="18" t="s">
        <v>2003</v>
      </c>
    </row>
    <row r="515">
      <c r="A515" s="18" t="s">
        <v>2527</v>
      </c>
      <c r="B515" s="18" t="s">
        <v>791</v>
      </c>
      <c r="C515" s="18" t="s">
        <v>2528</v>
      </c>
      <c r="D515" s="18"/>
      <c r="E515" s="18"/>
      <c r="F515" s="24">
        <v>1.0</v>
      </c>
      <c r="G515" s="18" t="s">
        <v>2528</v>
      </c>
      <c r="H515" s="18"/>
      <c r="I515" s="18"/>
      <c r="J515" s="18" t="s">
        <v>134</v>
      </c>
      <c r="K515" s="18"/>
      <c r="L515" s="18"/>
    </row>
    <row r="516">
      <c r="A516" s="18" t="s">
        <v>2529</v>
      </c>
      <c r="B516" s="18" t="s">
        <v>791</v>
      </c>
      <c r="C516" s="18" t="s">
        <v>2530</v>
      </c>
      <c r="D516" s="18"/>
      <c r="E516" s="24">
        <v>8.5736901941E10</v>
      </c>
      <c r="F516" s="24">
        <v>1.0</v>
      </c>
      <c r="G516" s="18" t="s">
        <v>2530</v>
      </c>
      <c r="H516" s="18"/>
      <c r="I516" s="24">
        <v>8.5736901941E10</v>
      </c>
      <c r="J516" s="18" t="s">
        <v>2531</v>
      </c>
      <c r="K516" s="18"/>
      <c r="L516" s="18" t="s">
        <v>2532</v>
      </c>
    </row>
    <row r="517">
      <c r="A517" s="18" t="s">
        <v>2533</v>
      </c>
      <c r="B517" s="18" t="s">
        <v>791</v>
      </c>
      <c r="C517" s="18" t="s">
        <v>2534</v>
      </c>
      <c r="D517" s="18"/>
      <c r="E517" s="24">
        <v>8.5790554965E10</v>
      </c>
      <c r="F517" s="24">
        <v>1.0</v>
      </c>
      <c r="G517" s="18" t="s">
        <v>2534</v>
      </c>
      <c r="H517" s="18"/>
      <c r="I517" s="24">
        <v>8.5790554965E10</v>
      </c>
      <c r="J517" s="18" t="s">
        <v>2535</v>
      </c>
      <c r="K517" s="18"/>
      <c r="L517" s="18" t="s">
        <v>2172</v>
      </c>
    </row>
    <row r="518">
      <c r="A518" s="18" t="s">
        <v>2536</v>
      </c>
      <c r="B518" s="18" t="s">
        <v>791</v>
      </c>
      <c r="C518" s="18" t="s">
        <v>2537</v>
      </c>
      <c r="D518" s="18"/>
      <c r="E518" s="24">
        <v>8.2132190158E10</v>
      </c>
      <c r="F518" s="24">
        <v>1.0</v>
      </c>
      <c r="G518" s="18" t="s">
        <v>2537</v>
      </c>
      <c r="H518" s="18"/>
      <c r="I518" s="24">
        <v>8.2132190158E10</v>
      </c>
      <c r="J518" s="18" t="s">
        <v>2538</v>
      </c>
      <c r="K518" s="18"/>
      <c r="L518" s="18" t="s">
        <v>1681</v>
      </c>
    </row>
    <row r="519">
      <c r="A519" s="18" t="s">
        <v>2539</v>
      </c>
      <c r="B519" s="18" t="s">
        <v>791</v>
      </c>
      <c r="C519" s="18" t="s">
        <v>2540</v>
      </c>
      <c r="D519" s="18"/>
      <c r="E519" s="24">
        <v>8.2141872198E10</v>
      </c>
      <c r="F519" s="24">
        <v>1.0</v>
      </c>
      <c r="G519" s="18" t="s">
        <v>2540</v>
      </c>
      <c r="H519" s="18"/>
      <c r="I519" s="24">
        <v>8.2141872198E10</v>
      </c>
      <c r="J519" s="18" t="s">
        <v>2541</v>
      </c>
      <c r="K519" s="18"/>
      <c r="L519" s="18" t="s">
        <v>1527</v>
      </c>
    </row>
    <row r="520">
      <c r="A520" s="18" t="s">
        <v>2542</v>
      </c>
      <c r="B520" s="18" t="s">
        <v>791</v>
      </c>
      <c r="C520" s="18" t="s">
        <v>2543</v>
      </c>
      <c r="D520" s="18"/>
      <c r="E520" s="24">
        <v>8.2220003557E10</v>
      </c>
      <c r="F520" s="24">
        <v>1.0</v>
      </c>
      <c r="G520" s="18" t="s">
        <v>2543</v>
      </c>
      <c r="H520" s="18"/>
      <c r="I520" s="24">
        <v>8.2220003557E10</v>
      </c>
      <c r="J520" s="18" t="s">
        <v>2544</v>
      </c>
      <c r="K520" s="18"/>
      <c r="L520" s="18" t="s">
        <v>1951</v>
      </c>
    </row>
    <row r="521">
      <c r="A521" s="18" t="s">
        <v>2545</v>
      </c>
      <c r="B521" s="18" t="s">
        <v>791</v>
      </c>
      <c r="C521" s="18" t="s">
        <v>2543</v>
      </c>
      <c r="D521" s="18"/>
      <c r="E521" s="24">
        <v>8.2220003557E10</v>
      </c>
      <c r="F521" s="24">
        <v>1.0</v>
      </c>
      <c r="G521" s="18" t="s">
        <v>2543</v>
      </c>
      <c r="H521" s="18"/>
      <c r="I521" s="24">
        <v>8.2220003557E10</v>
      </c>
      <c r="J521" s="18" t="s">
        <v>2546</v>
      </c>
      <c r="K521" s="18"/>
      <c r="L521" s="18" t="s">
        <v>1951</v>
      </c>
    </row>
    <row r="522">
      <c r="A522" s="18" t="s">
        <v>2547</v>
      </c>
      <c r="B522" s="18" t="s">
        <v>791</v>
      </c>
      <c r="C522" s="18" t="s">
        <v>2548</v>
      </c>
      <c r="D522" s="18"/>
      <c r="E522" s="24">
        <v>8.5645477374E10</v>
      </c>
      <c r="F522" s="24">
        <v>1.0</v>
      </c>
      <c r="G522" s="18" t="s">
        <v>2548</v>
      </c>
      <c r="H522" s="18"/>
      <c r="I522" s="24">
        <v>8.5645477374E10</v>
      </c>
      <c r="J522" s="18" t="s">
        <v>2549</v>
      </c>
      <c r="K522" s="18"/>
      <c r="L522" s="18" t="s">
        <v>1830</v>
      </c>
    </row>
    <row r="523">
      <c r="A523" s="18" t="s">
        <v>2550</v>
      </c>
      <c r="B523" s="18" t="s">
        <v>791</v>
      </c>
      <c r="C523" s="18" t="s">
        <v>2551</v>
      </c>
      <c r="D523" s="18"/>
      <c r="E523" s="24">
        <v>8.5853417211E10</v>
      </c>
      <c r="F523" s="24">
        <v>1.0</v>
      </c>
      <c r="G523" s="18" t="s">
        <v>2551</v>
      </c>
      <c r="H523" s="18"/>
      <c r="I523" s="24">
        <v>8.5853417211E10</v>
      </c>
      <c r="J523" s="18" t="s">
        <v>2552</v>
      </c>
      <c r="K523" s="18"/>
      <c r="L523" s="18" t="s">
        <v>1951</v>
      </c>
    </row>
    <row r="524">
      <c r="A524" s="18" t="s">
        <v>1316</v>
      </c>
      <c r="B524" s="18" t="s">
        <v>791</v>
      </c>
      <c r="C524" s="18" t="s">
        <v>1320</v>
      </c>
      <c r="D524" s="18"/>
      <c r="E524" s="24">
        <v>8.5784809735E10</v>
      </c>
      <c r="F524" s="24">
        <v>1.0</v>
      </c>
      <c r="G524" s="18" t="s">
        <v>1320</v>
      </c>
      <c r="H524" s="18"/>
      <c r="I524" s="24">
        <v>8.5784809735E10</v>
      </c>
      <c r="J524" s="18" t="s">
        <v>1319</v>
      </c>
      <c r="K524" s="18"/>
      <c r="L524" s="18" t="s">
        <v>1322</v>
      </c>
    </row>
    <row r="525">
      <c r="A525" s="18" t="s">
        <v>2553</v>
      </c>
      <c r="B525" s="18" t="s">
        <v>791</v>
      </c>
      <c r="C525" s="18" t="s">
        <v>2554</v>
      </c>
      <c r="D525" s="18"/>
      <c r="E525" s="24">
        <v>8.5235647267E10</v>
      </c>
      <c r="F525" s="24">
        <v>1.0</v>
      </c>
      <c r="G525" s="18" t="s">
        <v>2554</v>
      </c>
      <c r="H525" s="18"/>
      <c r="I525" s="24">
        <v>8.5235647267E10</v>
      </c>
      <c r="J525" s="18" t="s">
        <v>2555</v>
      </c>
      <c r="K525" s="18"/>
      <c r="L525" s="18" t="s">
        <v>2036</v>
      </c>
    </row>
    <row r="526">
      <c r="A526" s="18" t="s">
        <v>2556</v>
      </c>
      <c r="B526" s="18" t="s">
        <v>791</v>
      </c>
      <c r="C526" s="18" t="s">
        <v>2557</v>
      </c>
      <c r="D526" s="18"/>
      <c r="E526" s="24">
        <v>8.5791184735E10</v>
      </c>
      <c r="F526" s="24">
        <v>1.0</v>
      </c>
      <c r="G526" s="18" t="s">
        <v>2557</v>
      </c>
      <c r="H526" s="18"/>
      <c r="I526" s="24">
        <v>8.5791184735E10</v>
      </c>
      <c r="J526" s="18" t="s">
        <v>2558</v>
      </c>
      <c r="K526" s="18"/>
      <c r="L526" s="18" t="s">
        <v>2559</v>
      </c>
    </row>
    <row r="527">
      <c r="A527" s="18" t="s">
        <v>2560</v>
      </c>
      <c r="B527" s="18" t="s">
        <v>791</v>
      </c>
      <c r="C527" s="18" t="s">
        <v>2557</v>
      </c>
      <c r="D527" s="18"/>
      <c r="E527" s="24">
        <v>8.5746553908E10</v>
      </c>
      <c r="F527" s="24">
        <v>1.0</v>
      </c>
      <c r="G527" s="18" t="s">
        <v>2557</v>
      </c>
      <c r="H527" s="18"/>
      <c r="I527" s="24">
        <v>8.5746553908E10</v>
      </c>
      <c r="J527" s="18" t="s">
        <v>2561</v>
      </c>
      <c r="K527" s="18"/>
      <c r="L527" s="18" t="s">
        <v>2042</v>
      </c>
    </row>
    <row r="528">
      <c r="A528" s="18" t="s">
        <v>2562</v>
      </c>
      <c r="B528" s="18" t="s">
        <v>791</v>
      </c>
      <c r="C528" s="18" t="s">
        <v>2563</v>
      </c>
      <c r="D528" s="18"/>
      <c r="E528" s="24">
        <v>8.5331754948E10</v>
      </c>
      <c r="F528" s="24">
        <v>1.0</v>
      </c>
      <c r="G528" s="18" t="s">
        <v>2563</v>
      </c>
      <c r="H528" s="18"/>
      <c r="I528" s="24">
        <v>8.5331754948E10</v>
      </c>
      <c r="J528" s="18" t="s">
        <v>2564</v>
      </c>
      <c r="K528" s="18"/>
      <c r="L528" s="18" t="s">
        <v>2354</v>
      </c>
    </row>
    <row r="529">
      <c r="A529" s="18" t="s">
        <v>2565</v>
      </c>
      <c r="B529" s="18" t="s">
        <v>791</v>
      </c>
      <c r="C529" s="18" t="s">
        <v>2566</v>
      </c>
      <c r="D529" s="18"/>
      <c r="E529" s="24">
        <v>8.580684218E10</v>
      </c>
      <c r="F529" s="24">
        <v>1.0</v>
      </c>
      <c r="G529" s="18" t="s">
        <v>2566</v>
      </c>
      <c r="H529" s="18"/>
      <c r="I529" s="24">
        <v>8.580684218E10</v>
      </c>
      <c r="J529" s="18" t="s">
        <v>2567</v>
      </c>
      <c r="K529" s="18"/>
      <c r="L529" s="18" t="s">
        <v>1850</v>
      </c>
    </row>
    <row r="530">
      <c r="A530" s="18" t="s">
        <v>2568</v>
      </c>
      <c r="B530" s="18" t="s">
        <v>791</v>
      </c>
      <c r="C530" s="18" t="s">
        <v>2569</v>
      </c>
      <c r="D530" s="18"/>
      <c r="E530" s="24">
        <v>8.1259621869E10</v>
      </c>
      <c r="F530" s="24">
        <v>1.0</v>
      </c>
      <c r="G530" s="18" t="s">
        <v>2569</v>
      </c>
      <c r="H530" s="18"/>
      <c r="I530" s="24">
        <v>8.1259621869E10</v>
      </c>
      <c r="J530" s="18" t="s">
        <v>2570</v>
      </c>
      <c r="K530" s="18"/>
      <c r="L530" s="18" t="s">
        <v>1979</v>
      </c>
    </row>
    <row r="531">
      <c r="A531" s="18" t="s">
        <v>2571</v>
      </c>
      <c r="B531" s="18" t="s">
        <v>791</v>
      </c>
      <c r="C531" s="18" t="s">
        <v>2572</v>
      </c>
      <c r="D531" s="18"/>
      <c r="E531" s="24">
        <v>8.5704095477E10</v>
      </c>
      <c r="F531" s="24">
        <v>1.0</v>
      </c>
      <c r="G531" s="18" t="s">
        <v>2572</v>
      </c>
      <c r="H531" s="18"/>
      <c r="I531" s="24">
        <v>8.5704095477E10</v>
      </c>
      <c r="J531" s="18" t="s">
        <v>2573</v>
      </c>
      <c r="K531" s="18"/>
      <c r="L531" s="18" t="s">
        <v>2574</v>
      </c>
    </row>
    <row r="532">
      <c r="A532" s="18" t="s">
        <v>2575</v>
      </c>
      <c r="B532" s="18" t="s">
        <v>791</v>
      </c>
      <c r="C532" s="18" t="s">
        <v>2576</v>
      </c>
      <c r="D532" s="18"/>
      <c r="E532" s="18"/>
      <c r="F532" s="24">
        <v>1.0</v>
      </c>
      <c r="G532" s="18" t="s">
        <v>2576</v>
      </c>
      <c r="H532" s="18"/>
      <c r="I532" s="18"/>
      <c r="J532" s="18" t="s">
        <v>2577</v>
      </c>
      <c r="K532" s="18"/>
      <c r="L532" s="18"/>
    </row>
    <row r="533">
      <c r="A533" s="18" t="s">
        <v>2578</v>
      </c>
      <c r="B533" s="18" t="s">
        <v>791</v>
      </c>
      <c r="C533" s="18" t="s">
        <v>2579</v>
      </c>
      <c r="D533" s="18"/>
      <c r="E533" s="24">
        <v>8.5730115095E10</v>
      </c>
      <c r="F533" s="24">
        <v>1.0</v>
      </c>
      <c r="G533" s="18" t="s">
        <v>2579</v>
      </c>
      <c r="H533" s="18"/>
      <c r="I533" s="24">
        <v>8.5730115095E10</v>
      </c>
      <c r="J533" s="18" t="s">
        <v>2580</v>
      </c>
      <c r="K533" s="18"/>
      <c r="L533" s="18" t="s">
        <v>2114</v>
      </c>
    </row>
    <row r="534">
      <c r="A534" s="18" t="s">
        <v>2581</v>
      </c>
      <c r="B534" s="18" t="s">
        <v>791</v>
      </c>
      <c r="C534" s="18" t="s">
        <v>2582</v>
      </c>
      <c r="D534" s="18"/>
      <c r="E534" s="24">
        <v>8.5231194243E10</v>
      </c>
      <c r="F534" s="24">
        <v>1.0</v>
      </c>
      <c r="G534" s="18" t="s">
        <v>2582</v>
      </c>
      <c r="H534" s="18"/>
      <c r="I534" s="24">
        <v>8.5231194243E10</v>
      </c>
      <c r="J534" s="18" t="s">
        <v>2583</v>
      </c>
      <c r="K534" s="18"/>
      <c r="L534" s="18" t="s">
        <v>2584</v>
      </c>
    </row>
    <row r="535">
      <c r="A535" s="18" t="s">
        <v>2585</v>
      </c>
      <c r="B535" s="18" t="s">
        <v>791</v>
      </c>
      <c r="C535" s="18" t="s">
        <v>2586</v>
      </c>
      <c r="D535" s="18"/>
      <c r="E535" s="24">
        <v>8.1373473866E10</v>
      </c>
      <c r="F535" s="24">
        <v>1.0</v>
      </c>
      <c r="G535" s="18" t="s">
        <v>2586</v>
      </c>
      <c r="H535" s="18"/>
      <c r="I535" s="24">
        <v>8.1373473866E10</v>
      </c>
      <c r="J535" s="18" t="s">
        <v>2587</v>
      </c>
      <c r="K535" s="18"/>
      <c r="L535" s="18" t="s">
        <v>1186</v>
      </c>
    </row>
    <row r="536">
      <c r="A536" s="18" t="s">
        <v>2588</v>
      </c>
      <c r="B536" s="18" t="s">
        <v>791</v>
      </c>
      <c r="C536" s="18" t="s">
        <v>2589</v>
      </c>
      <c r="D536" s="18"/>
      <c r="E536" s="24">
        <v>8.5816137688E10</v>
      </c>
      <c r="F536" s="24">
        <v>1.0</v>
      </c>
      <c r="G536" s="18" t="s">
        <v>2589</v>
      </c>
      <c r="H536" s="18"/>
      <c r="I536" s="24">
        <v>8.5816137688E10</v>
      </c>
      <c r="J536" s="18" t="s">
        <v>2590</v>
      </c>
      <c r="K536" s="18"/>
      <c r="L536" s="18" t="s">
        <v>2591</v>
      </c>
    </row>
    <row r="537">
      <c r="A537" s="18" t="s">
        <v>2592</v>
      </c>
      <c r="B537" s="18" t="s">
        <v>791</v>
      </c>
      <c r="C537" s="18" t="s">
        <v>2593</v>
      </c>
      <c r="D537" s="18"/>
      <c r="E537" s="24">
        <v>8.5790554964E10</v>
      </c>
      <c r="F537" s="24">
        <v>1.0</v>
      </c>
      <c r="G537" s="18" t="s">
        <v>2593</v>
      </c>
      <c r="H537" s="18"/>
      <c r="I537" s="24">
        <v>8.5790554964E10</v>
      </c>
      <c r="J537" s="18" t="s">
        <v>2594</v>
      </c>
      <c r="K537" s="18"/>
      <c r="L537" s="18" t="s">
        <v>2172</v>
      </c>
    </row>
    <row r="538">
      <c r="A538" s="18" t="s">
        <v>2595</v>
      </c>
      <c r="B538" s="18" t="s">
        <v>791</v>
      </c>
      <c r="C538" s="18" t="s">
        <v>2596</v>
      </c>
      <c r="D538" s="18"/>
      <c r="E538" s="24">
        <v>8.1336496787E10</v>
      </c>
      <c r="F538" s="24">
        <v>1.0</v>
      </c>
      <c r="G538" s="18" t="s">
        <v>2596</v>
      </c>
      <c r="H538" s="18"/>
      <c r="I538" s="24">
        <v>8.1336496787E10</v>
      </c>
      <c r="J538" s="18" t="s">
        <v>2597</v>
      </c>
      <c r="K538" s="18"/>
      <c r="L538" s="18" t="s">
        <v>1700</v>
      </c>
    </row>
    <row r="539">
      <c r="A539" s="18" t="s">
        <v>2598</v>
      </c>
      <c r="B539" s="18" t="s">
        <v>791</v>
      </c>
      <c r="C539" s="18" t="s">
        <v>2599</v>
      </c>
      <c r="D539" s="18"/>
      <c r="E539" s="24">
        <v>8.5233878924E10</v>
      </c>
      <c r="F539" s="24">
        <v>1.0</v>
      </c>
      <c r="G539" s="18" t="s">
        <v>2599</v>
      </c>
      <c r="H539" s="18"/>
      <c r="I539" s="24">
        <v>8.5233878924E10</v>
      </c>
      <c r="J539" s="18" t="s">
        <v>2600</v>
      </c>
      <c r="K539" s="18"/>
      <c r="L539" s="18" t="s">
        <v>1637</v>
      </c>
    </row>
    <row r="540">
      <c r="A540" s="18" t="s">
        <v>2601</v>
      </c>
      <c r="B540" s="18" t="s">
        <v>791</v>
      </c>
      <c r="C540" s="18" t="s">
        <v>2602</v>
      </c>
      <c r="D540" s="18"/>
      <c r="E540" s="24">
        <v>8.8697342208E10</v>
      </c>
      <c r="F540" s="24">
        <v>1.0</v>
      </c>
      <c r="G540" s="18" t="s">
        <v>2602</v>
      </c>
      <c r="H540" s="18"/>
      <c r="I540" s="24">
        <v>8.8697342208E10</v>
      </c>
      <c r="J540" s="18" t="s">
        <v>2603</v>
      </c>
      <c r="K540" s="18"/>
      <c r="L540" s="18" t="s">
        <v>2604</v>
      </c>
    </row>
    <row r="541">
      <c r="A541" s="18" t="s">
        <v>2605</v>
      </c>
      <c r="B541" s="18" t="s">
        <v>791</v>
      </c>
      <c r="C541" s="18" t="s">
        <v>2606</v>
      </c>
      <c r="D541" s="18"/>
      <c r="E541" s="24">
        <v>8.2232066336E10</v>
      </c>
      <c r="F541" s="24">
        <v>1.0</v>
      </c>
      <c r="G541" s="18" t="s">
        <v>2606</v>
      </c>
      <c r="H541" s="18"/>
      <c r="I541" s="24">
        <v>8.2232066336E10</v>
      </c>
      <c r="J541" s="18" t="s">
        <v>2607</v>
      </c>
      <c r="K541" s="18"/>
      <c r="L541" s="18" t="s">
        <v>2608</v>
      </c>
    </row>
    <row r="542">
      <c r="A542" s="18" t="s">
        <v>2609</v>
      </c>
      <c r="B542" s="18" t="s">
        <v>791</v>
      </c>
      <c r="C542" s="18" t="s">
        <v>2610</v>
      </c>
      <c r="D542" s="18"/>
      <c r="E542" s="24">
        <v>3.517009416E9</v>
      </c>
      <c r="F542" s="24">
        <v>1.0</v>
      </c>
      <c r="G542" s="18" t="s">
        <v>2610</v>
      </c>
      <c r="H542" s="18"/>
      <c r="I542" s="24">
        <v>3.517009416E9</v>
      </c>
      <c r="J542" s="18" t="s">
        <v>2611</v>
      </c>
      <c r="K542" s="18"/>
      <c r="L542" s="18" t="s">
        <v>2308</v>
      </c>
    </row>
    <row r="543">
      <c r="A543" s="18" t="s">
        <v>2612</v>
      </c>
      <c r="B543" s="18" t="s">
        <v>791</v>
      </c>
      <c r="C543" s="18" t="s">
        <v>2613</v>
      </c>
      <c r="D543" s="18"/>
      <c r="E543" s="24">
        <v>8.2331697033E10</v>
      </c>
      <c r="F543" s="24">
        <v>1.0</v>
      </c>
      <c r="G543" s="18" t="s">
        <v>2613</v>
      </c>
      <c r="H543" s="18"/>
      <c r="I543" s="24">
        <v>8.2331697033E10</v>
      </c>
      <c r="J543" s="18" t="s">
        <v>2614</v>
      </c>
      <c r="K543" s="18"/>
      <c r="L543" s="18" t="s">
        <v>2615</v>
      </c>
    </row>
    <row r="544">
      <c r="A544" s="18" t="s">
        <v>2616</v>
      </c>
      <c r="B544" s="18" t="s">
        <v>791</v>
      </c>
      <c r="C544" s="18" t="s">
        <v>2617</v>
      </c>
      <c r="D544" s="18"/>
      <c r="E544" s="24">
        <v>8.1233982352E10</v>
      </c>
      <c r="F544" s="24">
        <v>1.0</v>
      </c>
      <c r="G544" s="18" t="s">
        <v>2617</v>
      </c>
      <c r="H544" s="18"/>
      <c r="I544" s="24">
        <v>8.1233982352E10</v>
      </c>
      <c r="J544" s="18" t="s">
        <v>2618</v>
      </c>
      <c r="K544" s="18"/>
      <c r="L544" s="18" t="s">
        <v>1665</v>
      </c>
    </row>
    <row r="545">
      <c r="A545" s="18" t="s">
        <v>2619</v>
      </c>
      <c r="B545" s="18" t="s">
        <v>791</v>
      </c>
      <c r="C545" s="18" t="s">
        <v>2620</v>
      </c>
      <c r="D545" s="18"/>
      <c r="E545" s="24">
        <v>8.1359023919E10</v>
      </c>
      <c r="F545" s="24">
        <v>1.0</v>
      </c>
      <c r="G545" s="18" t="s">
        <v>2620</v>
      </c>
      <c r="H545" s="18"/>
      <c r="I545" s="24">
        <v>8.1359023919E10</v>
      </c>
      <c r="J545" s="18" t="s">
        <v>2621</v>
      </c>
      <c r="K545" s="18"/>
      <c r="L545" s="18" t="s">
        <v>2412</v>
      </c>
    </row>
    <row r="546">
      <c r="A546" s="18" t="s">
        <v>2622</v>
      </c>
      <c r="B546" s="18" t="s">
        <v>791</v>
      </c>
      <c r="C546" s="18" t="s">
        <v>2623</v>
      </c>
      <c r="D546" s="18"/>
      <c r="E546" s="24">
        <v>8.5790607669E10</v>
      </c>
      <c r="F546" s="24">
        <v>1.0</v>
      </c>
      <c r="G546" s="18" t="s">
        <v>2623</v>
      </c>
      <c r="H546" s="18"/>
      <c r="I546" s="24">
        <v>8.5790607669E10</v>
      </c>
      <c r="J546" s="18" t="s">
        <v>2624</v>
      </c>
      <c r="K546" s="18"/>
      <c r="L546" s="18" t="s">
        <v>2625</v>
      </c>
    </row>
    <row r="547">
      <c r="A547" s="18" t="s">
        <v>2626</v>
      </c>
      <c r="B547" s="18" t="s">
        <v>791</v>
      </c>
      <c r="C547" s="18" t="s">
        <v>2627</v>
      </c>
      <c r="D547" s="18"/>
      <c r="E547" s="24">
        <v>8.5235180496E10</v>
      </c>
      <c r="F547" s="24">
        <v>1.0</v>
      </c>
      <c r="G547" s="18" t="s">
        <v>2627</v>
      </c>
      <c r="H547" s="18"/>
      <c r="I547" s="24">
        <v>8.5235180496E10</v>
      </c>
      <c r="J547" s="18" t="s">
        <v>2628</v>
      </c>
      <c r="K547" s="18"/>
      <c r="L547" s="18" t="s">
        <v>1596</v>
      </c>
    </row>
    <row r="548">
      <c r="A548" s="18" t="s">
        <v>2629</v>
      </c>
      <c r="B548" s="18" t="s">
        <v>791</v>
      </c>
      <c r="C548" s="18" t="s">
        <v>2630</v>
      </c>
      <c r="D548" s="18"/>
      <c r="E548" s="24">
        <v>8.1335208487E10</v>
      </c>
      <c r="F548" s="24">
        <v>1.0</v>
      </c>
      <c r="G548" s="18" t="s">
        <v>2630</v>
      </c>
      <c r="H548" s="18"/>
      <c r="I548" s="24">
        <v>8.1335208487E10</v>
      </c>
      <c r="J548" s="18" t="s">
        <v>2631</v>
      </c>
      <c r="K548" s="18"/>
      <c r="L548" s="18" t="s">
        <v>1850</v>
      </c>
    </row>
    <row r="549">
      <c r="A549" s="18" t="s">
        <v>2632</v>
      </c>
      <c r="B549" s="18" t="s">
        <v>791</v>
      </c>
      <c r="C549" s="18" t="s">
        <v>2633</v>
      </c>
      <c r="D549" s="18"/>
      <c r="E549" s="24">
        <v>8.5233836052E10</v>
      </c>
      <c r="F549" s="24">
        <v>1.0</v>
      </c>
      <c r="G549" s="18" t="s">
        <v>2633</v>
      </c>
      <c r="H549" s="18"/>
      <c r="I549" s="24">
        <v>8.5233836052E10</v>
      </c>
      <c r="J549" s="18" t="s">
        <v>2634</v>
      </c>
      <c r="K549" s="18"/>
      <c r="L549" s="18" t="s">
        <v>2635</v>
      </c>
    </row>
    <row r="550">
      <c r="A550" s="18" t="s">
        <v>2636</v>
      </c>
      <c r="B550" s="18" t="s">
        <v>791</v>
      </c>
      <c r="C550" s="18" t="s">
        <v>2637</v>
      </c>
      <c r="D550" s="18"/>
      <c r="E550" s="24">
        <v>8.2312388907E10</v>
      </c>
      <c r="F550" s="24">
        <v>1.0</v>
      </c>
      <c r="G550" s="18" t="s">
        <v>2637</v>
      </c>
      <c r="H550" s="18"/>
      <c r="I550" s="24">
        <v>8.2312388907E10</v>
      </c>
      <c r="J550" s="18" t="s">
        <v>2638</v>
      </c>
      <c r="K550" s="18"/>
      <c r="L550" s="18" t="s">
        <v>1914</v>
      </c>
    </row>
    <row r="551">
      <c r="A551" s="18" t="s">
        <v>2639</v>
      </c>
      <c r="B551" s="18" t="s">
        <v>791</v>
      </c>
      <c r="C551" s="18" t="s">
        <v>2640</v>
      </c>
      <c r="D551" s="18"/>
      <c r="E551" s="24">
        <v>8.133596015E10</v>
      </c>
      <c r="F551" s="24">
        <v>1.0</v>
      </c>
      <c r="G551" s="18" t="s">
        <v>2640</v>
      </c>
      <c r="H551" s="18"/>
      <c r="I551" s="24">
        <v>8.133596015E10</v>
      </c>
      <c r="J551" s="18" t="s">
        <v>2641</v>
      </c>
      <c r="K551" s="18"/>
      <c r="L551" s="18" t="s">
        <v>2642</v>
      </c>
    </row>
    <row r="552">
      <c r="A552" s="18" t="s">
        <v>2643</v>
      </c>
      <c r="B552" s="18" t="s">
        <v>791</v>
      </c>
      <c r="C552" s="18" t="s">
        <v>2644</v>
      </c>
      <c r="D552" s="18"/>
      <c r="E552" s="24">
        <v>8.1335389595E10</v>
      </c>
      <c r="F552" s="24">
        <v>1.0</v>
      </c>
      <c r="G552" s="18" t="s">
        <v>2644</v>
      </c>
      <c r="H552" s="18"/>
      <c r="I552" s="24">
        <v>8.1335389595E10</v>
      </c>
      <c r="J552" s="18" t="s">
        <v>2645</v>
      </c>
      <c r="K552" s="18"/>
      <c r="L552" s="18" t="s">
        <v>1986</v>
      </c>
    </row>
    <row r="553">
      <c r="A553" s="18" t="s">
        <v>2646</v>
      </c>
      <c r="B553" s="18" t="s">
        <v>791</v>
      </c>
      <c r="C553" s="18" t="s">
        <v>2647</v>
      </c>
      <c r="D553" s="18"/>
      <c r="E553" s="24">
        <v>8.1335760149E10</v>
      </c>
      <c r="F553" s="24">
        <v>1.0</v>
      </c>
      <c r="G553" s="18" t="s">
        <v>2647</v>
      </c>
      <c r="H553" s="18"/>
      <c r="I553" s="24">
        <v>8.1335760149E10</v>
      </c>
      <c r="J553" s="18" t="s">
        <v>2648</v>
      </c>
      <c r="K553" s="18"/>
      <c r="L553" s="18" t="s">
        <v>2458</v>
      </c>
    </row>
    <row r="554">
      <c r="A554" s="18" t="s">
        <v>2649</v>
      </c>
      <c r="B554" s="18" t="s">
        <v>791</v>
      </c>
      <c r="C554" s="18" t="s">
        <v>2650</v>
      </c>
      <c r="D554" s="18"/>
      <c r="E554" s="24">
        <v>8.5235146712E10</v>
      </c>
      <c r="F554" s="24">
        <v>1.0</v>
      </c>
      <c r="G554" s="18" t="s">
        <v>2650</v>
      </c>
      <c r="H554" s="18"/>
      <c r="I554" s="24">
        <v>8.5235146712E10</v>
      </c>
      <c r="J554" s="18" t="s">
        <v>2651</v>
      </c>
      <c r="K554" s="18"/>
      <c r="L554" s="18" t="s">
        <v>2652</v>
      </c>
    </row>
    <row r="555">
      <c r="A555" s="18" t="s">
        <v>2653</v>
      </c>
      <c r="B555" s="18" t="s">
        <v>791</v>
      </c>
      <c r="C555" s="18" t="s">
        <v>2654</v>
      </c>
      <c r="D555" s="18"/>
      <c r="E555" s="18"/>
      <c r="F555" s="24">
        <v>1.0</v>
      </c>
      <c r="G555" s="18" t="s">
        <v>2654</v>
      </c>
      <c r="H555" s="18"/>
      <c r="I555" s="18"/>
      <c r="J555" s="18" t="s">
        <v>2655</v>
      </c>
      <c r="K555" s="18"/>
      <c r="L555" s="18"/>
    </row>
    <row r="556">
      <c r="A556" s="18" t="s">
        <v>2656</v>
      </c>
      <c r="B556" s="18" t="s">
        <v>791</v>
      </c>
      <c r="C556" s="18" t="s">
        <v>2657</v>
      </c>
      <c r="D556" s="18"/>
      <c r="E556" s="24">
        <v>8.5708011614E10</v>
      </c>
      <c r="F556" s="24">
        <v>1.0</v>
      </c>
      <c r="G556" s="18" t="s">
        <v>2657</v>
      </c>
      <c r="H556" s="18"/>
      <c r="I556" s="24">
        <v>8.5708011614E10</v>
      </c>
      <c r="J556" s="18" t="s">
        <v>2658</v>
      </c>
      <c r="K556" s="18"/>
      <c r="L556" s="18" t="s">
        <v>2659</v>
      </c>
    </row>
    <row r="557">
      <c r="A557" s="18" t="s">
        <v>2660</v>
      </c>
      <c r="B557" s="18" t="s">
        <v>791</v>
      </c>
      <c r="C557" s="18" t="s">
        <v>2661</v>
      </c>
      <c r="D557" s="18"/>
      <c r="E557" s="24">
        <v>8.5735602442E10</v>
      </c>
      <c r="F557" s="24">
        <v>1.0</v>
      </c>
      <c r="G557" s="18" t="s">
        <v>2661</v>
      </c>
      <c r="H557" s="18"/>
      <c r="I557" s="24">
        <v>8.5735602442E10</v>
      </c>
      <c r="J557" s="18" t="s">
        <v>2662</v>
      </c>
      <c r="K557" s="18"/>
      <c r="L557" s="18" t="s">
        <v>1531</v>
      </c>
    </row>
    <row r="558">
      <c r="A558" s="18" t="s">
        <v>2663</v>
      </c>
      <c r="B558" s="18" t="s">
        <v>791</v>
      </c>
      <c r="C558" s="18" t="s">
        <v>2664</v>
      </c>
      <c r="D558" s="18"/>
      <c r="E558" s="24">
        <v>8.135714728E10</v>
      </c>
      <c r="F558" s="24">
        <v>1.0</v>
      </c>
      <c r="G558" s="18" t="s">
        <v>2664</v>
      </c>
      <c r="H558" s="18"/>
      <c r="I558" s="24">
        <v>8.135714728E10</v>
      </c>
      <c r="J558" s="18" t="s">
        <v>2665</v>
      </c>
      <c r="K558" s="18"/>
      <c r="L558" s="18" t="s">
        <v>2666</v>
      </c>
    </row>
    <row r="559">
      <c r="A559" s="18" t="s">
        <v>2667</v>
      </c>
      <c r="B559" s="18" t="s">
        <v>791</v>
      </c>
      <c r="C559" s="18" t="s">
        <v>2668</v>
      </c>
      <c r="D559" s="18"/>
      <c r="E559" s="24">
        <v>8.2332681766E10</v>
      </c>
      <c r="F559" s="24">
        <v>1.0</v>
      </c>
      <c r="G559" s="18" t="s">
        <v>2668</v>
      </c>
      <c r="H559" s="18"/>
      <c r="I559" s="24">
        <v>8.2332681766E10</v>
      </c>
      <c r="J559" s="18" t="s">
        <v>2669</v>
      </c>
      <c r="K559" s="18"/>
      <c r="L559" s="18" t="s">
        <v>2670</v>
      </c>
    </row>
    <row r="560">
      <c r="A560" s="18" t="s">
        <v>2671</v>
      </c>
      <c r="B560" s="18" t="s">
        <v>791</v>
      </c>
      <c r="C560" s="18" t="s">
        <v>2672</v>
      </c>
      <c r="D560" s="18"/>
      <c r="E560" s="24">
        <v>8.2141872198E10</v>
      </c>
      <c r="F560" s="24">
        <v>1.0</v>
      </c>
      <c r="G560" s="18" t="s">
        <v>2672</v>
      </c>
      <c r="H560" s="18"/>
      <c r="I560" s="24">
        <v>8.2141872198E10</v>
      </c>
      <c r="J560" s="18" t="s">
        <v>2673</v>
      </c>
      <c r="K560" s="18"/>
      <c r="L560" s="18" t="s">
        <v>1527</v>
      </c>
    </row>
    <row r="561">
      <c r="A561" s="18" t="s">
        <v>1290</v>
      </c>
      <c r="B561" s="18" t="s">
        <v>791</v>
      </c>
      <c r="C561" s="18" t="s">
        <v>1292</v>
      </c>
      <c r="D561" s="18"/>
      <c r="E561" s="24">
        <v>8.1336304421E10</v>
      </c>
      <c r="F561" s="24">
        <v>1.0</v>
      </c>
      <c r="G561" s="18" t="s">
        <v>1292</v>
      </c>
      <c r="H561" s="18"/>
      <c r="I561" s="24">
        <v>8.1336304421E10</v>
      </c>
      <c r="J561" s="18" t="s">
        <v>1291</v>
      </c>
      <c r="K561" s="18"/>
      <c r="L561" s="18" t="s">
        <v>1289</v>
      </c>
    </row>
    <row r="562">
      <c r="A562" s="18" t="s">
        <v>2674</v>
      </c>
      <c r="B562" s="18" t="s">
        <v>791</v>
      </c>
      <c r="C562" s="18" t="s">
        <v>2675</v>
      </c>
      <c r="D562" s="18"/>
      <c r="E562" s="24">
        <v>8.5331754948E10</v>
      </c>
      <c r="F562" s="24">
        <v>1.0</v>
      </c>
      <c r="G562" s="18" t="s">
        <v>2675</v>
      </c>
      <c r="H562" s="18"/>
      <c r="I562" s="24">
        <v>8.5331754948E10</v>
      </c>
      <c r="J562" s="18" t="s">
        <v>2676</v>
      </c>
      <c r="K562" s="18"/>
      <c r="L562" s="18" t="s">
        <v>2354</v>
      </c>
    </row>
    <row r="563">
      <c r="A563" s="18" t="s">
        <v>2677</v>
      </c>
      <c r="B563" s="18" t="s">
        <v>791</v>
      </c>
      <c r="C563" s="18" t="s">
        <v>2678</v>
      </c>
      <c r="D563" s="18"/>
      <c r="E563" s="24">
        <v>8.1335285851E10</v>
      </c>
      <c r="F563" s="24">
        <v>1.0</v>
      </c>
      <c r="G563" s="18" t="s">
        <v>2678</v>
      </c>
      <c r="H563" s="18"/>
      <c r="I563" s="24">
        <v>8.1335285851E10</v>
      </c>
      <c r="J563" s="18" t="s">
        <v>2679</v>
      </c>
      <c r="K563" s="18"/>
      <c r="L563" s="18" t="s">
        <v>2308</v>
      </c>
    </row>
    <row r="564">
      <c r="A564" s="18" t="s">
        <v>2680</v>
      </c>
      <c r="B564" s="18" t="s">
        <v>791</v>
      </c>
      <c r="C564" s="18" t="s">
        <v>2681</v>
      </c>
      <c r="D564" s="18"/>
      <c r="E564" s="24">
        <v>8.5235647267E10</v>
      </c>
      <c r="F564" s="24">
        <v>1.0</v>
      </c>
      <c r="G564" s="18" t="s">
        <v>2681</v>
      </c>
      <c r="H564" s="18"/>
      <c r="I564" s="24">
        <v>8.5235647267E10</v>
      </c>
      <c r="J564" s="18" t="s">
        <v>2682</v>
      </c>
      <c r="K564" s="18"/>
      <c r="L564" s="18" t="s">
        <v>2036</v>
      </c>
    </row>
    <row r="565">
      <c r="A565" s="18" t="s">
        <v>2683</v>
      </c>
      <c r="B565" s="18" t="s">
        <v>791</v>
      </c>
      <c r="C565" s="18" t="s">
        <v>2684</v>
      </c>
      <c r="D565" s="18"/>
      <c r="E565" s="24">
        <v>8.2141872198E10</v>
      </c>
      <c r="F565" s="24">
        <v>1.0</v>
      </c>
      <c r="G565" s="18" t="s">
        <v>2684</v>
      </c>
      <c r="H565" s="18"/>
      <c r="I565" s="24">
        <v>8.2141872198E10</v>
      </c>
      <c r="J565" s="18" t="s">
        <v>2685</v>
      </c>
      <c r="K565" s="18"/>
      <c r="L565" s="18" t="s">
        <v>1527</v>
      </c>
    </row>
    <row r="566">
      <c r="A566" s="18" t="s">
        <v>2686</v>
      </c>
      <c r="B566" s="18" t="s">
        <v>791</v>
      </c>
      <c r="C566" s="18" t="s">
        <v>2687</v>
      </c>
      <c r="D566" s="18"/>
      <c r="E566" s="24">
        <v>0.0</v>
      </c>
      <c r="F566" s="24">
        <v>1.0</v>
      </c>
      <c r="G566" s="18" t="s">
        <v>2687</v>
      </c>
      <c r="H566" s="18"/>
      <c r="I566" s="24">
        <v>0.0</v>
      </c>
      <c r="J566" s="18" t="s">
        <v>2688</v>
      </c>
      <c r="K566" s="18"/>
      <c r="L566" s="18" t="s">
        <v>2689</v>
      </c>
    </row>
    <row r="567">
      <c r="A567" s="18" t="s">
        <v>2690</v>
      </c>
      <c r="B567" s="18" t="s">
        <v>791</v>
      </c>
      <c r="C567" s="18" t="s">
        <v>2691</v>
      </c>
      <c r="D567" s="18"/>
      <c r="E567" s="24">
        <v>8.5335280985E10</v>
      </c>
      <c r="F567" s="24">
        <v>1.0</v>
      </c>
      <c r="G567" s="18" t="s">
        <v>2691</v>
      </c>
      <c r="H567" s="18"/>
      <c r="I567" s="24">
        <v>8.5335280985E10</v>
      </c>
      <c r="J567" s="18" t="s">
        <v>2692</v>
      </c>
      <c r="K567" s="18"/>
      <c r="L567" s="18" t="s">
        <v>1914</v>
      </c>
    </row>
    <row r="568">
      <c r="A568" s="18" t="s">
        <v>2693</v>
      </c>
      <c r="B568" s="18" t="s">
        <v>791</v>
      </c>
      <c r="C568" s="18" t="s">
        <v>2694</v>
      </c>
      <c r="D568" s="18"/>
      <c r="E568" s="24">
        <v>8.1329122107E10</v>
      </c>
      <c r="F568" s="24">
        <v>1.0</v>
      </c>
      <c r="G568" s="18" t="s">
        <v>2694</v>
      </c>
      <c r="H568" s="18"/>
      <c r="I568" s="24">
        <v>8.1329122107E10</v>
      </c>
      <c r="J568" s="24">
        <v>3.52102300653001E15</v>
      </c>
      <c r="K568" s="18"/>
      <c r="L568" s="18" t="s">
        <v>1637</v>
      </c>
    </row>
    <row r="569">
      <c r="A569" s="18" t="s">
        <v>2695</v>
      </c>
      <c r="B569" s="18" t="s">
        <v>791</v>
      </c>
      <c r="C569" s="18" t="s">
        <v>2696</v>
      </c>
      <c r="D569" s="18"/>
      <c r="E569" s="24">
        <v>8.5100414727E10</v>
      </c>
      <c r="F569" s="24">
        <v>1.0</v>
      </c>
      <c r="G569" s="18" t="s">
        <v>2696</v>
      </c>
      <c r="H569" s="18"/>
      <c r="I569" s="24">
        <v>8.5100414727E10</v>
      </c>
      <c r="J569" s="18" t="s">
        <v>2697</v>
      </c>
      <c r="K569" s="18"/>
      <c r="L569" s="18" t="s">
        <v>2698</v>
      </c>
    </row>
    <row r="570">
      <c r="A570" s="18" t="s">
        <v>2699</v>
      </c>
      <c r="B570" s="18" t="s">
        <v>791</v>
      </c>
      <c r="C570" s="18" t="s">
        <v>2700</v>
      </c>
      <c r="D570" s="18"/>
      <c r="E570" s="24">
        <v>8.5649098067E10</v>
      </c>
      <c r="F570" s="24">
        <v>1.0</v>
      </c>
      <c r="G570" s="18" t="s">
        <v>2700</v>
      </c>
      <c r="H570" s="18"/>
      <c r="I570" s="24">
        <v>8.5649098067E10</v>
      </c>
      <c r="J570" s="18" t="s">
        <v>2701</v>
      </c>
      <c r="K570" s="18"/>
      <c r="L570" s="18" t="s">
        <v>1523</v>
      </c>
    </row>
    <row r="571">
      <c r="A571" s="18" t="s">
        <v>2702</v>
      </c>
      <c r="B571" s="18" t="s">
        <v>791</v>
      </c>
      <c r="C571" s="18" t="s">
        <v>2703</v>
      </c>
      <c r="D571" s="18"/>
      <c r="E571" s="24">
        <v>8.223252301E10</v>
      </c>
      <c r="F571" s="24">
        <v>1.0</v>
      </c>
      <c r="G571" s="18" t="s">
        <v>2703</v>
      </c>
      <c r="H571" s="18"/>
      <c r="I571" s="24">
        <v>8.223252301E10</v>
      </c>
      <c r="J571" s="18" t="s">
        <v>2704</v>
      </c>
      <c r="K571" s="18"/>
      <c r="L571" s="18" t="s">
        <v>2705</v>
      </c>
    </row>
    <row r="572">
      <c r="A572" s="18" t="s">
        <v>2706</v>
      </c>
      <c r="B572" s="18" t="s">
        <v>791</v>
      </c>
      <c r="C572" s="18" t="s">
        <v>2707</v>
      </c>
      <c r="D572" s="18"/>
      <c r="E572" s="24">
        <v>8.2140699265E10</v>
      </c>
      <c r="F572" s="24">
        <v>1.0</v>
      </c>
      <c r="G572" s="18" t="s">
        <v>2707</v>
      </c>
      <c r="H572" s="18"/>
      <c r="I572" s="24">
        <v>8.2140699265E10</v>
      </c>
      <c r="J572" s="18" t="s">
        <v>2708</v>
      </c>
      <c r="K572" s="18"/>
      <c r="L572" s="18" t="s">
        <v>1782</v>
      </c>
    </row>
    <row r="573">
      <c r="A573" s="18" t="s">
        <v>2709</v>
      </c>
      <c r="B573" s="18" t="s">
        <v>791</v>
      </c>
      <c r="C573" s="18" t="s">
        <v>2707</v>
      </c>
      <c r="D573" s="18"/>
      <c r="E573" s="24">
        <v>8.127535007E10</v>
      </c>
      <c r="F573" s="24">
        <v>1.0</v>
      </c>
      <c r="G573" s="18" t="s">
        <v>2707</v>
      </c>
      <c r="H573" s="18"/>
      <c r="I573" s="24">
        <v>8.127535007E10</v>
      </c>
      <c r="J573" s="18" t="s">
        <v>2710</v>
      </c>
      <c r="K573" s="18"/>
      <c r="L573" s="18" t="s">
        <v>2711</v>
      </c>
    </row>
    <row r="574">
      <c r="A574" s="18" t="s">
        <v>2712</v>
      </c>
      <c r="B574" s="18" t="s">
        <v>791</v>
      </c>
      <c r="C574" s="18" t="s">
        <v>2713</v>
      </c>
      <c r="D574" s="18"/>
      <c r="E574" s="24">
        <v>8.135975241E10</v>
      </c>
      <c r="F574" s="24">
        <v>1.0</v>
      </c>
      <c r="G574" s="18" t="s">
        <v>2713</v>
      </c>
      <c r="H574" s="18"/>
      <c r="I574" s="24">
        <v>8.135975241E10</v>
      </c>
      <c r="J574" s="18" t="s">
        <v>2714</v>
      </c>
      <c r="K574" s="18"/>
      <c r="L574" s="18" t="s">
        <v>1914</v>
      </c>
    </row>
    <row r="575">
      <c r="A575" s="18" t="s">
        <v>2715</v>
      </c>
      <c r="B575" s="18" t="s">
        <v>791</v>
      </c>
      <c r="C575" s="18" t="s">
        <v>2716</v>
      </c>
      <c r="D575" s="18"/>
      <c r="E575" s="18"/>
      <c r="F575" s="24">
        <v>1.0</v>
      </c>
      <c r="G575" s="18" t="s">
        <v>2716</v>
      </c>
      <c r="H575" s="18"/>
      <c r="I575" s="18"/>
      <c r="J575" s="18" t="s">
        <v>2717</v>
      </c>
      <c r="K575" s="18"/>
      <c r="L575" s="18"/>
    </row>
    <row r="576">
      <c r="A576" s="18" t="s">
        <v>2718</v>
      </c>
      <c r="B576" s="18" t="s">
        <v>791</v>
      </c>
      <c r="C576" s="18" t="s">
        <v>2719</v>
      </c>
      <c r="D576" s="18"/>
      <c r="E576" s="24">
        <v>8.2220003557E10</v>
      </c>
      <c r="F576" s="24">
        <v>1.0</v>
      </c>
      <c r="G576" s="18" t="s">
        <v>2719</v>
      </c>
      <c r="H576" s="18"/>
      <c r="I576" s="24">
        <v>8.2220003557E10</v>
      </c>
      <c r="J576" s="18" t="s">
        <v>2720</v>
      </c>
      <c r="K576" s="18"/>
      <c r="L576" s="18" t="s">
        <v>1951</v>
      </c>
    </row>
    <row r="577">
      <c r="A577" s="18" t="s">
        <v>870</v>
      </c>
      <c r="B577" s="18" t="s">
        <v>791</v>
      </c>
      <c r="C577" s="18" t="s">
        <v>873</v>
      </c>
      <c r="D577" s="18"/>
      <c r="E577" s="24">
        <v>8.5736636579E10</v>
      </c>
      <c r="F577" s="24">
        <v>1.0</v>
      </c>
      <c r="G577" s="18" t="s">
        <v>873</v>
      </c>
      <c r="H577" s="18"/>
      <c r="I577" s="24">
        <v>8.5736636579E10</v>
      </c>
      <c r="J577" s="18" t="s">
        <v>257</v>
      </c>
      <c r="K577" s="18"/>
      <c r="L577" s="18" t="s">
        <v>877</v>
      </c>
    </row>
    <row r="578">
      <c r="A578" s="18" t="s">
        <v>2721</v>
      </c>
      <c r="B578" s="18" t="s">
        <v>791</v>
      </c>
      <c r="C578" s="18" t="s">
        <v>2722</v>
      </c>
      <c r="D578" s="18"/>
      <c r="E578" s="24">
        <v>8.5233711713E10</v>
      </c>
      <c r="F578" s="24">
        <v>1.0</v>
      </c>
      <c r="G578" s="18" t="s">
        <v>2722</v>
      </c>
      <c r="H578" s="18"/>
      <c r="I578" s="24">
        <v>8.5233711713E10</v>
      </c>
      <c r="J578" s="18" t="s">
        <v>2723</v>
      </c>
      <c r="K578" s="18"/>
      <c r="L578" s="18" t="s">
        <v>2471</v>
      </c>
    </row>
    <row r="579">
      <c r="A579" s="18" t="s">
        <v>2724</v>
      </c>
      <c r="B579" s="18" t="s">
        <v>791</v>
      </c>
      <c r="C579" s="18" t="s">
        <v>2725</v>
      </c>
      <c r="D579" s="18"/>
      <c r="E579" s="24">
        <v>8.2269045241E10</v>
      </c>
      <c r="F579" s="24">
        <v>1.0</v>
      </c>
      <c r="G579" s="18" t="s">
        <v>2725</v>
      </c>
      <c r="H579" s="18"/>
      <c r="I579" s="24">
        <v>8.2269045241E10</v>
      </c>
      <c r="J579" s="18" t="s">
        <v>2726</v>
      </c>
      <c r="K579" s="18"/>
      <c r="L579" s="18" t="s">
        <v>1730</v>
      </c>
    </row>
    <row r="580">
      <c r="A580" s="18" t="s">
        <v>2727</v>
      </c>
      <c r="B580" s="18" t="s">
        <v>791</v>
      </c>
      <c r="C580" s="18" t="s">
        <v>2728</v>
      </c>
      <c r="D580" s="18"/>
      <c r="E580" s="24">
        <v>8.5334028924E10</v>
      </c>
      <c r="F580" s="24">
        <v>1.0</v>
      </c>
      <c r="G580" s="18" t="s">
        <v>2728</v>
      </c>
      <c r="H580" s="18"/>
      <c r="I580" s="24">
        <v>8.5334028924E10</v>
      </c>
      <c r="J580" s="18" t="s">
        <v>2729</v>
      </c>
      <c r="K580" s="18"/>
      <c r="L580" s="18" t="s">
        <v>2730</v>
      </c>
    </row>
    <row r="581">
      <c r="A581" s="18" t="s">
        <v>2731</v>
      </c>
      <c r="B581" s="18" t="s">
        <v>791</v>
      </c>
      <c r="C581" s="18" t="s">
        <v>2732</v>
      </c>
      <c r="D581" s="18"/>
      <c r="E581" s="24">
        <v>8.5235647267E10</v>
      </c>
      <c r="F581" s="24">
        <v>1.0</v>
      </c>
      <c r="G581" s="18" t="s">
        <v>2732</v>
      </c>
      <c r="H581" s="18"/>
      <c r="I581" s="24">
        <v>8.5235647267E10</v>
      </c>
      <c r="J581" s="24">
        <v>3.52111120252E15</v>
      </c>
      <c r="K581" s="18"/>
      <c r="L581" s="18" t="s">
        <v>2036</v>
      </c>
    </row>
    <row r="582">
      <c r="A582" s="18" t="s">
        <v>2733</v>
      </c>
      <c r="B582" s="18" t="s">
        <v>791</v>
      </c>
      <c r="C582" s="18" t="s">
        <v>2734</v>
      </c>
      <c r="D582" s="18"/>
      <c r="E582" s="24">
        <v>8.5336760229E10</v>
      </c>
      <c r="F582" s="24">
        <v>1.0</v>
      </c>
      <c r="G582" s="18" t="s">
        <v>2734</v>
      </c>
      <c r="H582" s="18"/>
      <c r="I582" s="24">
        <v>8.5336760229E10</v>
      </c>
      <c r="J582" s="18" t="s">
        <v>2735</v>
      </c>
      <c r="K582" s="18"/>
      <c r="L582" s="18" t="s">
        <v>1722</v>
      </c>
    </row>
    <row r="583">
      <c r="A583" s="18" t="s">
        <v>2736</v>
      </c>
      <c r="B583" s="18" t="s">
        <v>791</v>
      </c>
      <c r="C583" s="18" t="s">
        <v>2737</v>
      </c>
      <c r="D583" s="18"/>
      <c r="E583" s="24">
        <v>8.2332461206E10</v>
      </c>
      <c r="F583" s="24">
        <v>1.0</v>
      </c>
      <c r="G583" s="18" t="s">
        <v>2737</v>
      </c>
      <c r="H583" s="18"/>
      <c r="I583" s="24">
        <v>8.2332461206E10</v>
      </c>
      <c r="J583" s="18" t="s">
        <v>2738</v>
      </c>
      <c r="K583" s="18"/>
      <c r="L583" s="18" t="s">
        <v>2739</v>
      </c>
    </row>
    <row r="584">
      <c r="A584" s="18" t="s">
        <v>2740</v>
      </c>
      <c r="B584" s="18" t="s">
        <v>791</v>
      </c>
      <c r="C584" s="18" t="s">
        <v>2741</v>
      </c>
      <c r="D584" s="18"/>
      <c r="E584" s="24">
        <v>8.1230925577E10</v>
      </c>
      <c r="F584" s="24">
        <v>1.0</v>
      </c>
      <c r="G584" s="18" t="s">
        <v>2741</v>
      </c>
      <c r="H584" s="18"/>
      <c r="I584" s="24">
        <v>8.1230925577E10</v>
      </c>
      <c r="J584" s="18" t="s">
        <v>2742</v>
      </c>
      <c r="K584" s="18"/>
      <c r="L584" s="18" t="s">
        <v>2743</v>
      </c>
    </row>
    <row r="585">
      <c r="A585" s="18" t="s">
        <v>2744</v>
      </c>
      <c r="B585" s="18" t="s">
        <v>791</v>
      </c>
      <c r="C585" s="18" t="s">
        <v>2745</v>
      </c>
      <c r="D585" s="18"/>
      <c r="E585" s="24">
        <v>8.2141872198E10</v>
      </c>
      <c r="F585" s="24">
        <v>1.0</v>
      </c>
      <c r="G585" s="18" t="s">
        <v>2745</v>
      </c>
      <c r="H585" s="18"/>
      <c r="I585" s="24">
        <v>8.2141872198E10</v>
      </c>
      <c r="J585" s="18" t="s">
        <v>2746</v>
      </c>
      <c r="K585" s="18"/>
      <c r="L585" s="18" t="s">
        <v>1527</v>
      </c>
    </row>
    <row r="586">
      <c r="A586" s="18" t="s">
        <v>2747</v>
      </c>
      <c r="B586" s="18" t="s">
        <v>791</v>
      </c>
      <c r="C586" s="18" t="s">
        <v>2748</v>
      </c>
      <c r="D586" s="18"/>
      <c r="E586" s="24">
        <v>8.5745977043E10</v>
      </c>
      <c r="F586" s="24">
        <v>1.0</v>
      </c>
      <c r="G586" s="18" t="s">
        <v>2748</v>
      </c>
      <c r="H586" s="18"/>
      <c r="I586" s="24">
        <v>8.5745977043E10</v>
      </c>
      <c r="J586" s="24">
        <v>3.52104201179E15</v>
      </c>
      <c r="K586" s="18"/>
      <c r="L586" s="18" t="s">
        <v>2749</v>
      </c>
    </row>
    <row r="587">
      <c r="A587" s="18" t="s">
        <v>2750</v>
      </c>
      <c r="B587" s="18" t="s">
        <v>791</v>
      </c>
      <c r="C587" s="18" t="s">
        <v>2751</v>
      </c>
      <c r="D587" s="18"/>
      <c r="E587" s="24">
        <v>8.1527046505E10</v>
      </c>
      <c r="F587" s="24">
        <v>1.0</v>
      </c>
      <c r="G587" s="18" t="s">
        <v>2751</v>
      </c>
      <c r="H587" s="18"/>
      <c r="I587" s="24">
        <v>8.1527046505E10</v>
      </c>
      <c r="J587" s="18" t="s">
        <v>2752</v>
      </c>
      <c r="K587" s="18"/>
      <c r="L587" s="18" t="s">
        <v>2753</v>
      </c>
    </row>
    <row r="588">
      <c r="A588" s="18" t="s">
        <v>2754</v>
      </c>
      <c r="B588" s="18" t="s">
        <v>791</v>
      </c>
      <c r="C588" s="18" t="s">
        <v>2755</v>
      </c>
      <c r="D588" s="18"/>
      <c r="E588" s="24">
        <v>8.5708015999E10</v>
      </c>
      <c r="F588" s="24">
        <v>1.0</v>
      </c>
      <c r="G588" s="18" t="s">
        <v>2755</v>
      </c>
      <c r="H588" s="18"/>
      <c r="I588" s="24">
        <v>8.5708015999E10</v>
      </c>
      <c r="J588" s="18" t="s">
        <v>2756</v>
      </c>
      <c r="K588" s="18"/>
      <c r="L588" s="18" t="s">
        <v>2430</v>
      </c>
    </row>
    <row r="589">
      <c r="A589" s="18" t="s">
        <v>2757</v>
      </c>
      <c r="B589" s="18" t="s">
        <v>791</v>
      </c>
      <c r="C589" s="18" t="s">
        <v>2758</v>
      </c>
      <c r="D589" s="18"/>
      <c r="E589" s="24">
        <v>1.0</v>
      </c>
      <c r="F589" s="24">
        <v>1.0</v>
      </c>
      <c r="G589" s="18" t="s">
        <v>2758</v>
      </c>
      <c r="H589" s="18"/>
      <c r="I589" s="24">
        <v>1.0</v>
      </c>
      <c r="J589" s="18" t="s">
        <v>2759</v>
      </c>
      <c r="K589" s="18"/>
      <c r="L589" s="18" t="s">
        <v>2013</v>
      </c>
    </row>
    <row r="590">
      <c r="A590" s="18" t="s">
        <v>2760</v>
      </c>
      <c r="B590" s="18" t="s">
        <v>791</v>
      </c>
      <c r="C590" s="18" t="s">
        <v>2761</v>
      </c>
      <c r="D590" s="18"/>
      <c r="E590" s="24">
        <v>8.1359556087E10</v>
      </c>
      <c r="F590" s="24">
        <v>1.0</v>
      </c>
      <c r="G590" s="18" t="s">
        <v>2761</v>
      </c>
      <c r="H590" s="18"/>
      <c r="I590" s="24">
        <v>8.1359556087E10</v>
      </c>
      <c r="J590" s="18" t="s">
        <v>2762</v>
      </c>
      <c r="K590" s="18"/>
      <c r="L590" s="18" t="s">
        <v>1549</v>
      </c>
    </row>
    <row r="591">
      <c r="A591" s="18" t="s">
        <v>2763</v>
      </c>
      <c r="B591" s="18" t="s">
        <v>791</v>
      </c>
      <c r="C591" s="18" t="s">
        <v>2764</v>
      </c>
      <c r="D591" s="18"/>
      <c r="E591" s="24">
        <v>8.1359556087E10</v>
      </c>
      <c r="F591" s="24">
        <v>1.0</v>
      </c>
      <c r="G591" s="18" t="s">
        <v>2764</v>
      </c>
      <c r="H591" s="18"/>
      <c r="I591" s="24">
        <v>8.1359556087E10</v>
      </c>
      <c r="J591" s="18" t="s">
        <v>2765</v>
      </c>
      <c r="K591" s="18"/>
      <c r="L591" s="18" t="s">
        <v>1549</v>
      </c>
    </row>
    <row r="592">
      <c r="A592" s="18" t="s">
        <v>2766</v>
      </c>
      <c r="B592" s="18" t="s">
        <v>791</v>
      </c>
      <c r="C592" s="18" t="s">
        <v>2767</v>
      </c>
      <c r="D592" s="18"/>
      <c r="E592" s="24">
        <v>8.2336770777E10</v>
      </c>
      <c r="F592" s="24">
        <v>1.0</v>
      </c>
      <c r="G592" s="18" t="s">
        <v>2767</v>
      </c>
      <c r="H592" s="18"/>
      <c r="I592" s="24">
        <v>8.2336770777E10</v>
      </c>
      <c r="J592" s="18" t="s">
        <v>2768</v>
      </c>
      <c r="K592" s="18"/>
      <c r="L592" s="18" t="s">
        <v>1850</v>
      </c>
    </row>
    <row r="593">
      <c r="A593" s="18" t="s">
        <v>2769</v>
      </c>
      <c r="B593" s="18" t="s">
        <v>791</v>
      </c>
      <c r="C593" s="18" t="s">
        <v>2770</v>
      </c>
      <c r="D593" s="18"/>
      <c r="E593" s="24">
        <v>1.0</v>
      </c>
      <c r="F593" s="24">
        <v>1.0</v>
      </c>
      <c r="G593" s="18" t="s">
        <v>2770</v>
      </c>
      <c r="H593" s="18"/>
      <c r="I593" s="24">
        <v>1.0</v>
      </c>
      <c r="J593" s="18" t="s">
        <v>2771</v>
      </c>
      <c r="K593" s="18"/>
      <c r="L593" s="18" t="s">
        <v>2013</v>
      </c>
    </row>
    <row r="594">
      <c r="A594" s="18" t="s">
        <v>2772</v>
      </c>
      <c r="B594" s="18" t="s">
        <v>791</v>
      </c>
      <c r="C594" s="18" t="s">
        <v>2773</v>
      </c>
      <c r="D594" s="18"/>
      <c r="E594" s="24">
        <v>8.1329122107E10</v>
      </c>
      <c r="F594" s="24">
        <v>1.0</v>
      </c>
      <c r="G594" s="18" t="s">
        <v>2773</v>
      </c>
      <c r="H594" s="18"/>
      <c r="I594" s="24">
        <v>8.1329122107E10</v>
      </c>
      <c r="J594" s="18" t="s">
        <v>2774</v>
      </c>
      <c r="K594" s="18"/>
      <c r="L594" s="18" t="s">
        <v>1637</v>
      </c>
    </row>
    <row r="595">
      <c r="A595" s="18" t="s">
        <v>2775</v>
      </c>
      <c r="B595" s="18" t="s">
        <v>791</v>
      </c>
      <c r="C595" s="18" t="s">
        <v>2776</v>
      </c>
      <c r="D595" s="18"/>
      <c r="E595" s="24">
        <v>8.5604388255E10</v>
      </c>
      <c r="F595" s="24">
        <v>1.0</v>
      </c>
      <c r="G595" s="18" t="s">
        <v>2776</v>
      </c>
      <c r="H595" s="18"/>
      <c r="I595" s="24">
        <v>8.5604388255E10</v>
      </c>
      <c r="J595" s="18" t="s">
        <v>2777</v>
      </c>
      <c r="K595" s="18"/>
      <c r="L595" s="18" t="s">
        <v>2778</v>
      </c>
    </row>
    <row r="596">
      <c r="A596" s="18" t="s">
        <v>2779</v>
      </c>
      <c r="B596" s="18" t="s">
        <v>791</v>
      </c>
      <c r="C596" s="18" t="s">
        <v>2780</v>
      </c>
      <c r="D596" s="18"/>
      <c r="E596" s="24">
        <v>8.5233711713E10</v>
      </c>
      <c r="F596" s="24">
        <v>1.0</v>
      </c>
      <c r="G596" s="18" t="s">
        <v>2780</v>
      </c>
      <c r="H596" s="18"/>
      <c r="I596" s="24">
        <v>8.5233711713E10</v>
      </c>
      <c r="J596" s="18" t="s">
        <v>2781</v>
      </c>
      <c r="K596" s="18"/>
      <c r="L596" s="18" t="s">
        <v>2471</v>
      </c>
    </row>
    <row r="597">
      <c r="A597" s="18" t="s">
        <v>2782</v>
      </c>
      <c r="B597" s="18" t="s">
        <v>791</v>
      </c>
      <c r="C597" s="18" t="s">
        <v>2783</v>
      </c>
      <c r="D597" s="18"/>
      <c r="E597" s="24">
        <v>8.5235137251E10</v>
      </c>
      <c r="F597" s="24">
        <v>1.0</v>
      </c>
      <c r="G597" s="18" t="s">
        <v>2783</v>
      </c>
      <c r="H597" s="18"/>
      <c r="I597" s="24">
        <v>8.5235137251E10</v>
      </c>
      <c r="J597" s="18" t="s">
        <v>2784</v>
      </c>
      <c r="K597" s="18"/>
      <c r="L597" s="18" t="s">
        <v>2423</v>
      </c>
    </row>
    <row r="598">
      <c r="A598" s="18" t="s">
        <v>2785</v>
      </c>
      <c r="B598" s="18" t="s">
        <v>791</v>
      </c>
      <c r="C598" s="18" t="s">
        <v>2786</v>
      </c>
      <c r="D598" s="18"/>
      <c r="E598" s="24">
        <v>8.1259902972E10</v>
      </c>
      <c r="F598" s="24">
        <v>1.0</v>
      </c>
      <c r="G598" s="18" t="s">
        <v>2786</v>
      </c>
      <c r="H598" s="18"/>
      <c r="I598" s="24">
        <v>8.1259902972E10</v>
      </c>
      <c r="J598" s="18" t="s">
        <v>2787</v>
      </c>
      <c r="K598" s="18"/>
      <c r="L598" s="18" t="s">
        <v>2788</v>
      </c>
    </row>
    <row r="599">
      <c r="A599" s="18" t="s">
        <v>2789</v>
      </c>
      <c r="B599" s="18" t="s">
        <v>791</v>
      </c>
      <c r="C599" s="18" t="s">
        <v>2790</v>
      </c>
      <c r="D599" s="18"/>
      <c r="E599" s="24">
        <v>8.5708105999E10</v>
      </c>
      <c r="F599" s="24">
        <v>1.0</v>
      </c>
      <c r="G599" s="18" t="s">
        <v>2790</v>
      </c>
      <c r="H599" s="18"/>
      <c r="I599" s="24">
        <v>8.5708105999E10</v>
      </c>
      <c r="J599" s="18" t="s">
        <v>2791</v>
      </c>
      <c r="K599" s="18"/>
      <c r="L599" s="18" t="s">
        <v>2523</v>
      </c>
    </row>
    <row r="600">
      <c r="A600" s="18" t="s">
        <v>2792</v>
      </c>
      <c r="B600" s="18" t="s">
        <v>791</v>
      </c>
      <c r="C600" s="18" t="s">
        <v>2793</v>
      </c>
      <c r="D600" s="18"/>
      <c r="E600" s="24">
        <v>8.1331216956E10</v>
      </c>
      <c r="F600" s="24">
        <v>1.0</v>
      </c>
      <c r="G600" s="18" t="s">
        <v>2793</v>
      </c>
      <c r="H600" s="18"/>
      <c r="I600" s="24">
        <v>8.1331216956E10</v>
      </c>
      <c r="J600" s="18" t="s">
        <v>2794</v>
      </c>
      <c r="K600" s="18"/>
      <c r="L600" s="18" t="s">
        <v>2795</v>
      </c>
    </row>
    <row r="601">
      <c r="A601" s="18" t="s">
        <v>2796</v>
      </c>
      <c r="B601" s="18" t="s">
        <v>791</v>
      </c>
      <c r="C601" s="18" t="s">
        <v>2797</v>
      </c>
      <c r="D601" s="18"/>
      <c r="E601" s="24">
        <v>8.1359267063E10</v>
      </c>
      <c r="F601" s="24">
        <v>1.0</v>
      </c>
      <c r="G601" s="18" t="s">
        <v>2797</v>
      </c>
      <c r="H601" s="18"/>
      <c r="I601" s="24">
        <v>8.1359267063E10</v>
      </c>
      <c r="J601" s="18" t="s">
        <v>2798</v>
      </c>
      <c r="K601" s="18"/>
      <c r="L601" s="18" t="s">
        <v>2799</v>
      </c>
    </row>
    <row r="602">
      <c r="A602" s="18" t="s">
        <v>2800</v>
      </c>
      <c r="B602" s="18" t="s">
        <v>791</v>
      </c>
      <c r="C602" s="18" t="s">
        <v>2801</v>
      </c>
      <c r="D602" s="18"/>
      <c r="E602" s="24">
        <v>8.135975241E10</v>
      </c>
      <c r="F602" s="24">
        <v>1.0</v>
      </c>
      <c r="G602" s="18" t="s">
        <v>2801</v>
      </c>
      <c r="H602" s="18"/>
      <c r="I602" s="24">
        <v>8.135975241E10</v>
      </c>
      <c r="J602" s="18" t="s">
        <v>2802</v>
      </c>
      <c r="K602" s="18"/>
      <c r="L602" s="18" t="s">
        <v>1914</v>
      </c>
    </row>
    <row r="603">
      <c r="A603" s="18" t="s">
        <v>2803</v>
      </c>
      <c r="B603" s="18" t="s">
        <v>791</v>
      </c>
      <c r="C603" s="18" t="s">
        <v>2804</v>
      </c>
      <c r="D603" s="18"/>
      <c r="E603" s="24">
        <v>1.0</v>
      </c>
      <c r="F603" s="24">
        <v>1.0</v>
      </c>
      <c r="G603" s="18" t="s">
        <v>2804</v>
      </c>
      <c r="H603" s="18"/>
      <c r="I603" s="24">
        <v>1.0</v>
      </c>
      <c r="J603" s="18" t="s">
        <v>2805</v>
      </c>
      <c r="K603" s="18"/>
      <c r="L603" s="18" t="s">
        <v>1673</v>
      </c>
    </row>
    <row r="604">
      <c r="A604" s="18" t="s">
        <v>2806</v>
      </c>
      <c r="B604" s="18" t="s">
        <v>791</v>
      </c>
      <c r="C604" s="18" t="s">
        <v>2807</v>
      </c>
      <c r="D604" s="18"/>
      <c r="E604" s="24">
        <v>8.230185852E10</v>
      </c>
      <c r="F604" s="24">
        <v>1.0</v>
      </c>
      <c r="G604" s="18" t="s">
        <v>2807</v>
      </c>
      <c r="H604" s="18"/>
      <c r="I604" s="24">
        <v>8.230185852E10</v>
      </c>
      <c r="J604" s="18" t="s">
        <v>2808</v>
      </c>
      <c r="K604" s="18"/>
      <c r="L604" s="18" t="s">
        <v>1854</v>
      </c>
    </row>
    <row r="605">
      <c r="A605" s="18" t="s">
        <v>2809</v>
      </c>
      <c r="B605" s="18" t="s">
        <v>791</v>
      </c>
      <c r="C605" s="18" t="s">
        <v>2810</v>
      </c>
      <c r="D605" s="18"/>
      <c r="E605" s="24">
        <v>8.5326632177E10</v>
      </c>
      <c r="F605" s="24">
        <v>1.0</v>
      </c>
      <c r="G605" s="18" t="s">
        <v>2810</v>
      </c>
      <c r="H605" s="18"/>
      <c r="I605" s="24">
        <v>8.5326632177E10</v>
      </c>
      <c r="J605" s="18" t="s">
        <v>2811</v>
      </c>
      <c r="K605" s="18"/>
      <c r="L605" s="18" t="s">
        <v>2812</v>
      </c>
    </row>
    <row r="606">
      <c r="A606" s="18" t="s">
        <v>2813</v>
      </c>
      <c r="B606" s="18" t="s">
        <v>791</v>
      </c>
      <c r="C606" s="18" t="s">
        <v>2814</v>
      </c>
      <c r="D606" s="18"/>
      <c r="E606" s="24">
        <v>8.5326632177E10</v>
      </c>
      <c r="F606" s="24">
        <v>1.0</v>
      </c>
      <c r="G606" s="18" t="s">
        <v>2814</v>
      </c>
      <c r="H606" s="18"/>
      <c r="I606" s="24">
        <v>8.5326632177E10</v>
      </c>
      <c r="J606" s="18" t="s">
        <v>2815</v>
      </c>
      <c r="K606" s="18"/>
      <c r="L606" s="18" t="s">
        <v>2812</v>
      </c>
    </row>
    <row r="607">
      <c r="A607" s="18" t="s">
        <v>2816</v>
      </c>
      <c r="B607" s="18" t="s">
        <v>791</v>
      </c>
      <c r="C607" s="18" t="s">
        <v>2817</v>
      </c>
      <c r="D607" s="18"/>
      <c r="E607" s="24">
        <v>8.5607633107E10</v>
      </c>
      <c r="F607" s="24">
        <v>1.0</v>
      </c>
      <c r="G607" s="18" t="s">
        <v>2817</v>
      </c>
      <c r="H607" s="18"/>
      <c r="I607" s="24">
        <v>8.5607633107E10</v>
      </c>
      <c r="J607" s="18" t="s">
        <v>2818</v>
      </c>
      <c r="K607" s="18"/>
      <c r="L607" s="18" t="s">
        <v>2142</v>
      </c>
    </row>
    <row r="608">
      <c r="A608" s="18" t="s">
        <v>2819</v>
      </c>
      <c r="B608" s="18" t="s">
        <v>791</v>
      </c>
      <c r="C608" s="18" t="s">
        <v>2820</v>
      </c>
      <c r="D608" s="18"/>
      <c r="E608" s="24">
        <v>8.1527046505E10</v>
      </c>
      <c r="F608" s="24">
        <v>1.0</v>
      </c>
      <c r="G608" s="18" t="s">
        <v>2820</v>
      </c>
      <c r="H608" s="18"/>
      <c r="I608" s="24">
        <v>8.1527046505E10</v>
      </c>
      <c r="J608" s="18" t="s">
        <v>2821</v>
      </c>
      <c r="K608" s="18"/>
      <c r="L608" s="18" t="s">
        <v>2753</v>
      </c>
    </row>
    <row r="609">
      <c r="A609" s="18" t="s">
        <v>2822</v>
      </c>
      <c r="B609" s="18" t="s">
        <v>791</v>
      </c>
      <c r="C609" s="18" t="s">
        <v>2823</v>
      </c>
      <c r="D609" s="18"/>
      <c r="E609" s="24">
        <v>8.5103373232E10</v>
      </c>
      <c r="F609" s="24">
        <v>1.0</v>
      </c>
      <c r="G609" s="18" t="s">
        <v>2823</v>
      </c>
      <c r="H609" s="18"/>
      <c r="I609" s="24">
        <v>8.5103373232E10</v>
      </c>
      <c r="J609" s="18" t="s">
        <v>2824</v>
      </c>
      <c r="K609" s="18"/>
      <c r="L609" s="18" t="s">
        <v>1519</v>
      </c>
    </row>
    <row r="610">
      <c r="A610" s="18" t="s">
        <v>2825</v>
      </c>
      <c r="B610" s="18" t="s">
        <v>791</v>
      </c>
      <c r="C610" s="18" t="s">
        <v>2823</v>
      </c>
      <c r="D610" s="18"/>
      <c r="E610" s="24">
        <v>8.1319283688E10</v>
      </c>
      <c r="F610" s="24">
        <v>1.0</v>
      </c>
      <c r="G610" s="18" t="s">
        <v>2823</v>
      </c>
      <c r="H610" s="18"/>
      <c r="I610" s="24">
        <v>8.1319283688E10</v>
      </c>
      <c r="J610" s="18" t="s">
        <v>2826</v>
      </c>
      <c r="K610" s="18"/>
      <c r="L610" s="18" t="s">
        <v>2827</v>
      </c>
    </row>
    <row r="611">
      <c r="A611" s="18" t="s">
        <v>2828</v>
      </c>
      <c r="B611" s="18" t="s">
        <v>791</v>
      </c>
      <c r="C611" s="18" t="s">
        <v>2829</v>
      </c>
      <c r="D611" s="18"/>
      <c r="E611" s="24">
        <v>8.1393120813E10</v>
      </c>
      <c r="F611" s="24">
        <v>1.0</v>
      </c>
      <c r="G611" s="18" t="s">
        <v>2829</v>
      </c>
      <c r="H611" s="18"/>
      <c r="I611" s="24">
        <v>8.1393120813E10</v>
      </c>
      <c r="J611" s="18" t="s">
        <v>2830</v>
      </c>
      <c r="K611" s="18"/>
      <c r="L611" s="18" t="s">
        <v>2110</v>
      </c>
    </row>
    <row r="612">
      <c r="A612" s="18" t="s">
        <v>2831</v>
      </c>
      <c r="B612" s="18" t="s">
        <v>791</v>
      </c>
      <c r="C612" s="18" t="s">
        <v>2829</v>
      </c>
      <c r="D612" s="18"/>
      <c r="E612" s="24">
        <v>8.523694096E10</v>
      </c>
      <c r="F612" s="24">
        <v>1.0</v>
      </c>
      <c r="G612" s="18" t="s">
        <v>2829</v>
      </c>
      <c r="H612" s="18"/>
      <c r="I612" s="24">
        <v>8.523694096E10</v>
      </c>
      <c r="J612" s="18" t="s">
        <v>2832</v>
      </c>
      <c r="K612" s="18"/>
      <c r="L612" s="18" t="s">
        <v>2290</v>
      </c>
    </row>
    <row r="613">
      <c r="A613" s="18" t="s">
        <v>2833</v>
      </c>
      <c r="B613" s="18" t="s">
        <v>791</v>
      </c>
      <c r="C613" s="18" t="s">
        <v>2823</v>
      </c>
      <c r="D613" s="18"/>
      <c r="E613" s="24">
        <v>8.133543388E10</v>
      </c>
      <c r="F613" s="24">
        <v>1.0</v>
      </c>
      <c r="G613" s="18" t="s">
        <v>2823</v>
      </c>
      <c r="H613" s="18"/>
      <c r="I613" s="24">
        <v>8.133543388E10</v>
      </c>
      <c r="J613" s="18" t="s">
        <v>2834</v>
      </c>
      <c r="K613" s="18"/>
      <c r="L613" s="18" t="s">
        <v>2835</v>
      </c>
    </row>
    <row r="614">
      <c r="A614" s="18" t="s">
        <v>2836</v>
      </c>
      <c r="B614" s="18" t="s">
        <v>791</v>
      </c>
      <c r="C614" s="18" t="s">
        <v>2829</v>
      </c>
      <c r="D614" s="18"/>
      <c r="E614" s="24">
        <v>8.1328929202E10</v>
      </c>
      <c r="F614" s="24">
        <v>1.0</v>
      </c>
      <c r="G614" s="18" t="s">
        <v>2829</v>
      </c>
      <c r="H614" s="18"/>
      <c r="I614" s="24">
        <v>8.1328929202E10</v>
      </c>
      <c r="J614" s="18" t="s">
        <v>2837</v>
      </c>
      <c r="K614" s="18"/>
      <c r="L614" s="18" t="s">
        <v>2795</v>
      </c>
    </row>
    <row r="615">
      <c r="A615" s="18" t="s">
        <v>2838</v>
      </c>
      <c r="B615" s="18" t="s">
        <v>791</v>
      </c>
      <c r="C615" s="18" t="s">
        <v>2839</v>
      </c>
      <c r="D615" s="18"/>
      <c r="E615" s="24">
        <v>8.1335208367E10</v>
      </c>
      <c r="F615" s="24">
        <v>1.0</v>
      </c>
      <c r="G615" s="18" t="s">
        <v>2839</v>
      </c>
      <c r="H615" s="18"/>
      <c r="I615" s="24">
        <v>8.1335208367E10</v>
      </c>
      <c r="J615" s="24">
        <v>6.47105090467001E15</v>
      </c>
      <c r="K615" s="18"/>
      <c r="L615" s="18" t="s">
        <v>1914</v>
      </c>
    </row>
    <row r="616">
      <c r="A616" s="18" t="s">
        <v>2840</v>
      </c>
      <c r="B616" s="18" t="s">
        <v>791</v>
      </c>
      <c r="C616" s="18" t="s">
        <v>2841</v>
      </c>
      <c r="D616" s="18"/>
      <c r="E616" s="24">
        <v>8.1332084559E10</v>
      </c>
      <c r="F616" s="24">
        <v>1.0</v>
      </c>
      <c r="G616" s="18" t="s">
        <v>2841</v>
      </c>
      <c r="H616" s="18"/>
      <c r="I616" s="24">
        <v>8.1332084559E10</v>
      </c>
      <c r="J616" s="18" t="s">
        <v>2842</v>
      </c>
      <c r="K616" s="18"/>
      <c r="L616" s="18" t="s">
        <v>2843</v>
      </c>
    </row>
    <row r="617">
      <c r="A617" s="18" t="s">
        <v>2844</v>
      </c>
      <c r="B617" s="18" t="s">
        <v>791</v>
      </c>
      <c r="C617" s="18" t="s">
        <v>2845</v>
      </c>
      <c r="D617" s="18"/>
      <c r="E617" s="24">
        <v>8.1359023919E10</v>
      </c>
      <c r="F617" s="24">
        <v>1.0</v>
      </c>
      <c r="G617" s="18" t="s">
        <v>2845</v>
      </c>
      <c r="H617" s="18"/>
      <c r="I617" s="24">
        <v>8.1359023919E10</v>
      </c>
      <c r="J617" s="18" t="s">
        <v>2846</v>
      </c>
      <c r="K617" s="18"/>
      <c r="L617" s="18" t="s">
        <v>2412</v>
      </c>
    </row>
    <row r="618">
      <c r="A618" s="18" t="s">
        <v>2847</v>
      </c>
      <c r="B618" s="18" t="s">
        <v>791</v>
      </c>
      <c r="C618" s="18" t="s">
        <v>2848</v>
      </c>
      <c r="D618" s="18" t="s">
        <v>1656</v>
      </c>
      <c r="E618" s="24">
        <v>8.1515880547E10</v>
      </c>
      <c r="F618" s="24">
        <v>1.0</v>
      </c>
      <c r="G618" s="18" t="s">
        <v>2848</v>
      </c>
      <c r="H618" s="18" t="s">
        <v>1656</v>
      </c>
      <c r="I618" s="24">
        <v>8.1515880547E10</v>
      </c>
      <c r="J618" s="18" t="s">
        <v>2849</v>
      </c>
      <c r="K618" s="18" t="s">
        <v>2849</v>
      </c>
      <c r="L618" s="18" t="s">
        <v>2850</v>
      </c>
    </row>
    <row r="619">
      <c r="A619" s="18" t="s">
        <v>2851</v>
      </c>
      <c r="B619" s="18" t="s">
        <v>791</v>
      </c>
      <c r="C619" s="18" t="s">
        <v>2852</v>
      </c>
      <c r="D619" s="18"/>
      <c r="E619" s="24">
        <v>8.1330720631E10</v>
      </c>
      <c r="F619" s="24">
        <v>1.0</v>
      </c>
      <c r="G619" s="18" t="s">
        <v>2852</v>
      </c>
      <c r="H619" s="18"/>
      <c r="I619" s="24">
        <v>8.1330720631E10</v>
      </c>
      <c r="J619" s="18" t="s">
        <v>2853</v>
      </c>
      <c r="K619" s="18"/>
      <c r="L619" s="18" t="s">
        <v>1681</v>
      </c>
    </row>
    <row r="620">
      <c r="A620" s="18" t="s">
        <v>2854</v>
      </c>
      <c r="B620" s="18" t="s">
        <v>791</v>
      </c>
      <c r="C620" s="18" t="s">
        <v>2855</v>
      </c>
      <c r="D620" s="18"/>
      <c r="E620" s="24">
        <v>8.5217801919E10</v>
      </c>
      <c r="F620" s="24">
        <v>1.0</v>
      </c>
      <c r="G620" s="18" t="s">
        <v>2855</v>
      </c>
      <c r="H620" s="18"/>
      <c r="I620" s="24">
        <v>8.5217801919E10</v>
      </c>
      <c r="J620" s="18" t="s">
        <v>2856</v>
      </c>
      <c r="K620" s="18"/>
      <c r="L620" s="18" t="s">
        <v>1681</v>
      </c>
    </row>
    <row r="621">
      <c r="A621" s="18" t="s">
        <v>2857</v>
      </c>
      <c r="B621" s="18" t="s">
        <v>791</v>
      </c>
      <c r="C621" s="18" t="s">
        <v>2858</v>
      </c>
      <c r="D621" s="18"/>
      <c r="E621" s="24">
        <v>8.5856684253E10</v>
      </c>
      <c r="F621" s="24">
        <v>1.0</v>
      </c>
      <c r="G621" s="18" t="s">
        <v>2858</v>
      </c>
      <c r="H621" s="18"/>
      <c r="I621" s="24">
        <v>8.5856684253E10</v>
      </c>
      <c r="J621" s="18" t="s">
        <v>2859</v>
      </c>
      <c r="K621" s="18"/>
      <c r="L621" s="18" t="s">
        <v>2860</v>
      </c>
    </row>
    <row r="622">
      <c r="A622" s="18" t="s">
        <v>2861</v>
      </c>
      <c r="B622" s="18" t="s">
        <v>791</v>
      </c>
      <c r="C622" s="18" t="s">
        <v>2862</v>
      </c>
      <c r="D622" s="18"/>
      <c r="E622" s="24">
        <v>8.1336184177E10</v>
      </c>
      <c r="F622" s="24">
        <v>1.0</v>
      </c>
      <c r="G622" s="18" t="s">
        <v>2862</v>
      </c>
      <c r="H622" s="18"/>
      <c r="I622" s="24">
        <v>8.1336184177E10</v>
      </c>
      <c r="J622" s="18" t="s">
        <v>2863</v>
      </c>
      <c r="K622" s="18"/>
      <c r="L622" s="18" t="s">
        <v>2032</v>
      </c>
    </row>
    <row r="623">
      <c r="A623" s="18" t="s">
        <v>2864</v>
      </c>
      <c r="B623" s="18" t="s">
        <v>791</v>
      </c>
      <c r="C623" s="18" t="s">
        <v>2865</v>
      </c>
      <c r="D623" s="18"/>
      <c r="E623" s="24">
        <v>8.5655522398E10</v>
      </c>
      <c r="F623" s="24">
        <v>1.0</v>
      </c>
      <c r="G623" s="18" t="s">
        <v>2865</v>
      </c>
      <c r="H623" s="18"/>
      <c r="I623" s="24">
        <v>8.5655522398E10</v>
      </c>
      <c r="J623" s="24">
        <v>3.52109300659004E15</v>
      </c>
      <c r="K623" s="18"/>
      <c r="L623" s="18" t="s">
        <v>2866</v>
      </c>
    </row>
    <row r="624">
      <c r="A624" s="18" t="s">
        <v>2867</v>
      </c>
      <c r="B624" s="18" t="s">
        <v>791</v>
      </c>
      <c r="C624" s="18" t="s">
        <v>2865</v>
      </c>
      <c r="D624" s="18"/>
      <c r="E624" s="24">
        <v>8.2141872198E10</v>
      </c>
      <c r="F624" s="24">
        <v>1.0</v>
      </c>
      <c r="G624" s="18" t="s">
        <v>2865</v>
      </c>
      <c r="H624" s="18"/>
      <c r="I624" s="24">
        <v>8.2141872198E10</v>
      </c>
      <c r="J624" s="18" t="s">
        <v>2868</v>
      </c>
      <c r="K624" s="18"/>
      <c r="L624" s="18" t="s">
        <v>1527</v>
      </c>
    </row>
    <row r="625">
      <c r="A625" s="18" t="s">
        <v>2869</v>
      </c>
      <c r="B625" s="18" t="s">
        <v>791</v>
      </c>
      <c r="C625" s="18" t="s">
        <v>2870</v>
      </c>
      <c r="D625" s="18"/>
      <c r="E625" s="24">
        <v>8.5856234056E10</v>
      </c>
      <c r="F625" s="24">
        <v>1.0</v>
      </c>
      <c r="G625" s="18" t="s">
        <v>2870</v>
      </c>
      <c r="H625" s="18"/>
      <c r="I625" s="24">
        <v>8.5856234056E10</v>
      </c>
      <c r="J625" s="18" t="s">
        <v>2871</v>
      </c>
      <c r="K625" s="18"/>
      <c r="L625" s="18" t="s">
        <v>2872</v>
      </c>
    </row>
    <row r="626">
      <c r="A626" s="18" t="s">
        <v>2873</v>
      </c>
      <c r="B626" s="18" t="s">
        <v>791</v>
      </c>
      <c r="C626" s="18" t="s">
        <v>2874</v>
      </c>
      <c r="D626" s="18"/>
      <c r="E626" s="24">
        <v>8.1348191E10</v>
      </c>
      <c r="F626" s="24">
        <v>1.0</v>
      </c>
      <c r="G626" s="18" t="s">
        <v>2874</v>
      </c>
      <c r="H626" s="18"/>
      <c r="I626" s="24">
        <v>8.1348191E10</v>
      </c>
      <c r="J626" s="18" t="s">
        <v>2875</v>
      </c>
      <c r="K626" s="18"/>
      <c r="L626" s="18" t="s">
        <v>2876</v>
      </c>
    </row>
    <row r="627">
      <c r="A627" s="18" t="s">
        <v>2877</v>
      </c>
      <c r="B627" s="18" t="s">
        <v>791</v>
      </c>
      <c r="C627" s="18" t="s">
        <v>2878</v>
      </c>
      <c r="D627" s="18"/>
      <c r="E627" s="24">
        <v>8.5755303676E10</v>
      </c>
      <c r="F627" s="24">
        <v>1.0</v>
      </c>
      <c r="G627" s="18" t="s">
        <v>2878</v>
      </c>
      <c r="H627" s="18"/>
      <c r="I627" s="24">
        <v>8.5755303676E10</v>
      </c>
      <c r="J627" s="18" t="s">
        <v>2879</v>
      </c>
      <c r="K627" s="18"/>
      <c r="L627" s="18" t="s">
        <v>2059</v>
      </c>
    </row>
    <row r="628">
      <c r="A628" s="18" t="s">
        <v>2880</v>
      </c>
      <c r="B628" s="18" t="s">
        <v>791</v>
      </c>
      <c r="C628" s="18" t="s">
        <v>2881</v>
      </c>
      <c r="D628" s="18"/>
      <c r="E628" s="24">
        <v>8.1234203007E10</v>
      </c>
      <c r="F628" s="24">
        <v>1.0</v>
      </c>
      <c r="G628" s="18" t="s">
        <v>2881</v>
      </c>
      <c r="H628" s="18"/>
      <c r="I628" s="24">
        <v>8.1234203007E10</v>
      </c>
      <c r="J628" s="18" t="s">
        <v>2882</v>
      </c>
      <c r="K628" s="18"/>
      <c r="L628" s="18" t="s">
        <v>2098</v>
      </c>
    </row>
    <row r="629">
      <c r="A629" s="18" t="s">
        <v>2883</v>
      </c>
      <c r="B629" s="18" t="s">
        <v>791</v>
      </c>
      <c r="C629" s="18" t="s">
        <v>2881</v>
      </c>
      <c r="D629" s="18"/>
      <c r="E629" s="24">
        <v>8.5335280985E10</v>
      </c>
      <c r="F629" s="24">
        <v>1.0</v>
      </c>
      <c r="G629" s="18" t="s">
        <v>2881</v>
      </c>
      <c r="H629" s="18"/>
      <c r="I629" s="24">
        <v>8.5335280985E10</v>
      </c>
      <c r="J629" s="18" t="s">
        <v>2884</v>
      </c>
      <c r="K629" s="18"/>
      <c r="L629" s="18" t="s">
        <v>1914</v>
      </c>
    </row>
    <row r="630">
      <c r="A630" s="18" t="s">
        <v>2885</v>
      </c>
      <c r="B630" s="18" t="s">
        <v>791</v>
      </c>
      <c r="C630" s="18" t="s">
        <v>2886</v>
      </c>
      <c r="D630" s="18"/>
      <c r="E630" s="24">
        <v>8.1335208367E10</v>
      </c>
      <c r="F630" s="24">
        <v>1.0</v>
      </c>
      <c r="G630" s="18" t="s">
        <v>2886</v>
      </c>
      <c r="H630" s="18"/>
      <c r="I630" s="24">
        <v>8.1335208367E10</v>
      </c>
      <c r="J630" s="18" t="s">
        <v>2887</v>
      </c>
      <c r="K630" s="18"/>
      <c r="L630" s="18" t="s">
        <v>1914</v>
      </c>
    </row>
    <row r="631">
      <c r="A631" s="18" t="s">
        <v>2888</v>
      </c>
      <c r="B631" s="18" t="s">
        <v>791</v>
      </c>
      <c r="C631" s="18" t="s">
        <v>2889</v>
      </c>
      <c r="D631" s="18"/>
      <c r="E631" s="24">
        <v>8.135975241E10</v>
      </c>
      <c r="F631" s="24">
        <v>1.0</v>
      </c>
      <c r="G631" s="18" t="s">
        <v>2889</v>
      </c>
      <c r="H631" s="18"/>
      <c r="I631" s="24">
        <v>8.135975241E10</v>
      </c>
      <c r="J631" s="18" t="s">
        <v>2890</v>
      </c>
      <c r="K631" s="18"/>
      <c r="L631" s="18" t="s">
        <v>1914</v>
      </c>
    </row>
    <row r="632">
      <c r="A632" s="18" t="s">
        <v>2891</v>
      </c>
      <c r="B632" s="18" t="s">
        <v>791</v>
      </c>
      <c r="C632" s="18" t="s">
        <v>2892</v>
      </c>
      <c r="D632" s="18"/>
      <c r="E632" s="24">
        <v>8.5730115095E10</v>
      </c>
      <c r="F632" s="24">
        <v>1.0</v>
      </c>
      <c r="G632" s="18" t="s">
        <v>2892</v>
      </c>
      <c r="H632" s="18"/>
      <c r="I632" s="24">
        <v>8.5730115095E10</v>
      </c>
      <c r="J632" s="18" t="s">
        <v>2893</v>
      </c>
      <c r="K632" s="18"/>
      <c r="L632" s="18" t="s">
        <v>2114</v>
      </c>
    </row>
    <row r="633">
      <c r="A633" s="18" t="s">
        <v>2894</v>
      </c>
      <c r="B633" s="18" t="s">
        <v>791</v>
      </c>
      <c r="C633" s="18" t="s">
        <v>2895</v>
      </c>
      <c r="D633" s="18"/>
      <c r="E633" s="24">
        <v>8.523694096E10</v>
      </c>
      <c r="F633" s="24">
        <v>1.0</v>
      </c>
      <c r="G633" s="18" t="s">
        <v>2895</v>
      </c>
      <c r="H633" s="18"/>
      <c r="I633" s="24">
        <v>8.523694096E10</v>
      </c>
      <c r="J633" s="18" t="s">
        <v>2896</v>
      </c>
      <c r="K633" s="18"/>
      <c r="L633" s="18" t="s">
        <v>2290</v>
      </c>
    </row>
    <row r="634">
      <c r="A634" s="18" t="s">
        <v>2897</v>
      </c>
      <c r="B634" s="18" t="s">
        <v>791</v>
      </c>
      <c r="C634" s="18" t="s">
        <v>2898</v>
      </c>
      <c r="D634" s="18"/>
      <c r="E634" s="24">
        <v>8.1333906122E10</v>
      </c>
      <c r="F634" s="24">
        <v>1.0</v>
      </c>
      <c r="G634" s="18" t="s">
        <v>2898</v>
      </c>
      <c r="H634" s="18"/>
      <c r="I634" s="24">
        <v>8.1333906122E10</v>
      </c>
      <c r="J634" s="18" t="s">
        <v>2899</v>
      </c>
      <c r="K634" s="18"/>
      <c r="L634" s="18" t="s">
        <v>1633</v>
      </c>
    </row>
    <row r="635">
      <c r="A635" s="18" t="s">
        <v>2900</v>
      </c>
      <c r="B635" s="18" t="s">
        <v>791</v>
      </c>
      <c r="C635" s="18" t="s">
        <v>2901</v>
      </c>
      <c r="D635" s="18"/>
      <c r="E635" s="24">
        <v>8.5229582595E10</v>
      </c>
      <c r="F635" s="24">
        <v>1.0</v>
      </c>
      <c r="G635" s="18" t="s">
        <v>2901</v>
      </c>
      <c r="H635" s="18"/>
      <c r="I635" s="24">
        <v>8.5229582595E10</v>
      </c>
      <c r="J635" s="18" t="s">
        <v>2902</v>
      </c>
      <c r="K635" s="18"/>
      <c r="L635" s="18" t="s">
        <v>2903</v>
      </c>
    </row>
    <row r="636">
      <c r="A636" s="18" t="s">
        <v>2904</v>
      </c>
      <c r="B636" s="18" t="s">
        <v>791</v>
      </c>
      <c r="C636" s="18" t="s">
        <v>2905</v>
      </c>
      <c r="D636" s="18"/>
      <c r="E636" s="24">
        <v>8.2257791825E10</v>
      </c>
      <c r="F636" s="24">
        <v>1.0</v>
      </c>
      <c r="G636" s="18" t="s">
        <v>2905</v>
      </c>
      <c r="H636" s="18"/>
      <c r="I636" s="24">
        <v>8.2257791825E10</v>
      </c>
      <c r="J636" s="18" t="s">
        <v>2906</v>
      </c>
      <c r="K636" s="18"/>
      <c r="L636" s="18" t="s">
        <v>2907</v>
      </c>
    </row>
    <row r="637">
      <c r="A637" s="18" t="s">
        <v>2908</v>
      </c>
      <c r="B637" s="18" t="s">
        <v>791</v>
      </c>
      <c r="C637" s="18" t="s">
        <v>2909</v>
      </c>
      <c r="D637" s="18"/>
      <c r="E637" s="24">
        <v>8.2140699265E10</v>
      </c>
      <c r="F637" s="24">
        <v>1.0</v>
      </c>
      <c r="G637" s="18" t="s">
        <v>2909</v>
      </c>
      <c r="H637" s="18"/>
      <c r="I637" s="24">
        <v>8.2140699265E10</v>
      </c>
      <c r="J637" s="18" t="s">
        <v>2910</v>
      </c>
      <c r="K637" s="18"/>
      <c r="L637" s="18" t="s">
        <v>1782</v>
      </c>
    </row>
    <row r="638">
      <c r="A638" s="18" t="s">
        <v>2911</v>
      </c>
      <c r="B638" s="18" t="s">
        <v>791</v>
      </c>
      <c r="C638" s="18" t="s">
        <v>2912</v>
      </c>
      <c r="D638" s="18"/>
      <c r="E638" s="24">
        <v>8.5235180495E10</v>
      </c>
      <c r="F638" s="24">
        <v>1.0</v>
      </c>
      <c r="G638" s="18" t="s">
        <v>2912</v>
      </c>
      <c r="H638" s="18"/>
      <c r="I638" s="24">
        <v>8.5235180495E10</v>
      </c>
      <c r="J638" s="18" t="s">
        <v>2913</v>
      </c>
      <c r="K638" s="18"/>
      <c r="L638" s="18" t="s">
        <v>1596</v>
      </c>
    </row>
    <row r="639">
      <c r="A639" s="18" t="s">
        <v>2914</v>
      </c>
      <c r="B639" s="18" t="s">
        <v>791</v>
      </c>
      <c r="C639" s="18" t="s">
        <v>2915</v>
      </c>
      <c r="D639" s="18"/>
      <c r="E639" s="24">
        <v>8.538846747E10</v>
      </c>
      <c r="F639" s="24">
        <v>1.0</v>
      </c>
      <c r="G639" s="18" t="s">
        <v>2915</v>
      </c>
      <c r="H639" s="18"/>
      <c r="I639" s="24">
        <v>8.538846747E10</v>
      </c>
      <c r="J639" s="18" t="s">
        <v>2916</v>
      </c>
      <c r="K639" s="18"/>
      <c r="L639" s="18" t="s">
        <v>2917</v>
      </c>
    </row>
    <row r="640">
      <c r="A640" s="18" t="s">
        <v>2918</v>
      </c>
      <c r="B640" s="18" t="s">
        <v>791</v>
      </c>
      <c r="C640" s="18" t="s">
        <v>2919</v>
      </c>
      <c r="D640" s="18"/>
      <c r="E640" s="24">
        <v>8.817124623E9</v>
      </c>
      <c r="F640" s="24">
        <v>1.0</v>
      </c>
      <c r="G640" s="18" t="s">
        <v>2919</v>
      </c>
      <c r="H640" s="18"/>
      <c r="I640" s="24">
        <v>8.817124623E9</v>
      </c>
      <c r="J640" s="18" t="s">
        <v>2920</v>
      </c>
      <c r="K640" s="18"/>
      <c r="L640" s="18" t="s">
        <v>2921</v>
      </c>
    </row>
    <row r="641">
      <c r="A641" s="18" t="s">
        <v>2922</v>
      </c>
      <c r="B641" s="18" t="s">
        <v>791</v>
      </c>
      <c r="C641" s="18" t="s">
        <v>2923</v>
      </c>
      <c r="D641" s="18"/>
      <c r="E641" s="24">
        <v>8.5235180496E10</v>
      </c>
      <c r="F641" s="24">
        <v>1.0</v>
      </c>
      <c r="G641" s="18" t="s">
        <v>2923</v>
      </c>
      <c r="H641" s="18"/>
      <c r="I641" s="24">
        <v>8.5235180496E10</v>
      </c>
      <c r="J641" s="18" t="s">
        <v>2924</v>
      </c>
      <c r="K641" s="18"/>
      <c r="L641" s="18" t="s">
        <v>1596</v>
      </c>
    </row>
    <row r="642">
      <c r="A642" s="18" t="s">
        <v>2925</v>
      </c>
      <c r="B642" s="18" t="s">
        <v>791</v>
      </c>
      <c r="C642" s="18" t="s">
        <v>2926</v>
      </c>
      <c r="D642" s="18"/>
      <c r="E642" s="24">
        <v>8.5655522398E10</v>
      </c>
      <c r="F642" s="24">
        <v>1.0</v>
      </c>
      <c r="G642" s="18" t="s">
        <v>2926</v>
      </c>
      <c r="H642" s="18"/>
      <c r="I642" s="24">
        <v>8.5655522398E10</v>
      </c>
      <c r="J642" s="18" t="s">
        <v>2927</v>
      </c>
      <c r="K642" s="18"/>
      <c r="L642" s="18" t="s">
        <v>1757</v>
      </c>
    </row>
    <row r="643">
      <c r="A643" s="18" t="s">
        <v>2928</v>
      </c>
      <c r="B643" s="18" t="s">
        <v>791</v>
      </c>
      <c r="C643" s="18" t="s">
        <v>2929</v>
      </c>
      <c r="D643" s="18"/>
      <c r="E643" s="24">
        <v>8.1335663129E10</v>
      </c>
      <c r="F643" s="24">
        <v>1.0</v>
      </c>
      <c r="G643" s="18" t="s">
        <v>2929</v>
      </c>
      <c r="H643" s="18"/>
      <c r="I643" s="24">
        <v>8.1335663129E10</v>
      </c>
      <c r="J643" s="18" t="s">
        <v>2930</v>
      </c>
      <c r="K643" s="18"/>
      <c r="L643" s="18" t="s">
        <v>1549</v>
      </c>
    </row>
    <row r="644">
      <c r="A644" s="18" t="s">
        <v>2931</v>
      </c>
      <c r="B644" s="18" t="s">
        <v>791</v>
      </c>
      <c r="C644" s="18" t="s">
        <v>2932</v>
      </c>
      <c r="D644" s="18"/>
      <c r="E644" s="24">
        <v>8.1233982352E10</v>
      </c>
      <c r="F644" s="24">
        <v>1.0</v>
      </c>
      <c r="G644" s="18" t="s">
        <v>2932</v>
      </c>
      <c r="H644" s="18"/>
      <c r="I644" s="24">
        <v>8.1233982352E10</v>
      </c>
      <c r="J644" s="18" t="s">
        <v>2933</v>
      </c>
      <c r="K644" s="18"/>
      <c r="L644" s="18" t="s">
        <v>1665</v>
      </c>
    </row>
    <row r="645">
      <c r="A645" s="18" t="s">
        <v>2934</v>
      </c>
      <c r="B645" s="18" t="s">
        <v>791</v>
      </c>
      <c r="C645" s="18" t="s">
        <v>2935</v>
      </c>
      <c r="D645" s="18"/>
      <c r="E645" s="24">
        <v>8.2331695666E10</v>
      </c>
      <c r="F645" s="24">
        <v>1.0</v>
      </c>
      <c r="G645" s="18" t="s">
        <v>2935</v>
      </c>
      <c r="H645" s="18"/>
      <c r="I645" s="24">
        <v>8.2331695666E10</v>
      </c>
      <c r="J645" s="18" t="s">
        <v>2936</v>
      </c>
      <c r="K645" s="18"/>
      <c r="L645" s="18" t="s">
        <v>1958</v>
      </c>
    </row>
    <row r="646">
      <c r="A646" s="18" t="s">
        <v>2937</v>
      </c>
      <c r="B646" s="18" t="s">
        <v>791</v>
      </c>
      <c r="C646" s="18" t="s">
        <v>2938</v>
      </c>
      <c r="D646" s="18"/>
      <c r="E646" s="24">
        <v>8.585245612E10</v>
      </c>
      <c r="F646" s="24">
        <v>1.0</v>
      </c>
      <c r="G646" s="18" t="s">
        <v>2938</v>
      </c>
      <c r="H646" s="18"/>
      <c r="I646" s="24">
        <v>8.585245612E10</v>
      </c>
      <c r="J646" s="18" t="s">
        <v>2939</v>
      </c>
      <c r="K646" s="18"/>
      <c r="L646" s="18" t="s">
        <v>2256</v>
      </c>
    </row>
    <row r="647">
      <c r="A647" s="18" t="s">
        <v>2940</v>
      </c>
      <c r="B647" s="18" t="s">
        <v>791</v>
      </c>
      <c r="C647" s="18" t="s">
        <v>2941</v>
      </c>
      <c r="D647" s="18"/>
      <c r="E647" s="24">
        <v>8.5748519088E10</v>
      </c>
      <c r="F647" s="24">
        <v>1.0</v>
      </c>
      <c r="G647" s="18" t="s">
        <v>2941</v>
      </c>
      <c r="H647" s="18"/>
      <c r="I647" s="24">
        <v>8.5748519088E10</v>
      </c>
      <c r="J647" s="18" t="s">
        <v>2942</v>
      </c>
      <c r="K647" s="18"/>
      <c r="L647" s="18" t="s">
        <v>1881</v>
      </c>
    </row>
    <row r="648">
      <c r="A648" s="18" t="s">
        <v>2943</v>
      </c>
      <c r="B648" s="18" t="s">
        <v>791</v>
      </c>
      <c r="C648" s="18" t="s">
        <v>2944</v>
      </c>
      <c r="D648" s="18"/>
      <c r="E648" s="24">
        <v>8.5869227477E10</v>
      </c>
      <c r="F648" s="24">
        <v>1.0</v>
      </c>
      <c r="G648" s="18" t="s">
        <v>2944</v>
      </c>
      <c r="H648" s="18"/>
      <c r="I648" s="24">
        <v>8.5869227477E10</v>
      </c>
      <c r="J648" s="24">
        <v>3.52101070269E15</v>
      </c>
      <c r="K648" s="18"/>
      <c r="L648" s="18" t="s">
        <v>2945</v>
      </c>
    </row>
    <row r="649">
      <c r="A649" s="18" t="s">
        <v>2946</v>
      </c>
      <c r="B649" s="18" t="s">
        <v>791</v>
      </c>
      <c r="C649" s="18" t="s">
        <v>2947</v>
      </c>
      <c r="D649" s="18"/>
      <c r="E649" s="24">
        <v>8.523455327E10</v>
      </c>
      <c r="F649" s="24">
        <v>1.0</v>
      </c>
      <c r="G649" s="18" t="s">
        <v>2947</v>
      </c>
      <c r="H649" s="18"/>
      <c r="I649" s="24">
        <v>8.523455327E10</v>
      </c>
      <c r="J649" s="18" t="s">
        <v>2948</v>
      </c>
      <c r="K649" s="18"/>
      <c r="L649" s="18" t="s">
        <v>2949</v>
      </c>
    </row>
    <row r="650">
      <c r="A650" s="18" t="s">
        <v>2950</v>
      </c>
      <c r="B650" s="18" t="s">
        <v>791</v>
      </c>
      <c r="C650" s="18" t="s">
        <v>2947</v>
      </c>
      <c r="D650" s="18"/>
      <c r="E650" s="24">
        <v>8.5655522398E10</v>
      </c>
      <c r="F650" s="24">
        <v>1.0</v>
      </c>
      <c r="G650" s="18" t="s">
        <v>2947</v>
      </c>
      <c r="H650" s="18"/>
      <c r="I650" s="24">
        <v>8.5655522398E10</v>
      </c>
      <c r="J650" s="18" t="s">
        <v>2951</v>
      </c>
      <c r="K650" s="18"/>
      <c r="L650" s="18" t="s">
        <v>1757</v>
      </c>
    </row>
    <row r="651">
      <c r="A651" s="18" t="s">
        <v>2952</v>
      </c>
      <c r="B651" s="18" t="s">
        <v>791</v>
      </c>
      <c r="C651" s="18" t="s">
        <v>2953</v>
      </c>
      <c r="D651" s="18"/>
      <c r="E651" s="24">
        <v>8.5645810617E10</v>
      </c>
      <c r="F651" s="24">
        <v>1.0</v>
      </c>
      <c r="G651" s="18" t="s">
        <v>2953</v>
      </c>
      <c r="H651" s="18"/>
      <c r="I651" s="24">
        <v>8.5645810617E10</v>
      </c>
      <c r="J651" s="18" t="s">
        <v>2954</v>
      </c>
      <c r="K651" s="18"/>
      <c r="L651" s="18" t="s">
        <v>2955</v>
      </c>
    </row>
    <row r="652">
      <c r="A652" s="18" t="s">
        <v>2956</v>
      </c>
      <c r="B652" s="18" t="s">
        <v>791</v>
      </c>
      <c r="C652" s="18" t="s">
        <v>2957</v>
      </c>
      <c r="D652" s="18"/>
      <c r="E652" s="24">
        <v>8.1233982352E10</v>
      </c>
      <c r="F652" s="24">
        <v>1.0</v>
      </c>
      <c r="G652" s="18" t="s">
        <v>2957</v>
      </c>
      <c r="H652" s="18"/>
      <c r="I652" s="24">
        <v>8.1233982352E10</v>
      </c>
      <c r="J652" s="18" t="s">
        <v>2958</v>
      </c>
      <c r="K652" s="18"/>
      <c r="L652" s="18" t="s">
        <v>1665</v>
      </c>
    </row>
    <row r="653">
      <c r="A653" s="18" t="s">
        <v>2959</v>
      </c>
      <c r="B653" s="18" t="s">
        <v>791</v>
      </c>
      <c r="C653" s="18" t="s">
        <v>2960</v>
      </c>
      <c r="D653" s="18"/>
      <c r="E653" s="24">
        <v>8.523694096E10</v>
      </c>
      <c r="F653" s="24">
        <v>1.0</v>
      </c>
      <c r="G653" s="18" t="s">
        <v>2960</v>
      </c>
      <c r="H653" s="18"/>
      <c r="I653" s="24">
        <v>8.523694096E10</v>
      </c>
      <c r="J653" s="18" t="s">
        <v>2961</v>
      </c>
      <c r="K653" s="18"/>
      <c r="L653" s="18" t="s">
        <v>2290</v>
      </c>
    </row>
    <row r="654">
      <c r="A654" s="18" t="s">
        <v>2962</v>
      </c>
      <c r="B654" s="18" t="s">
        <v>791</v>
      </c>
      <c r="C654" s="18" t="s">
        <v>2963</v>
      </c>
      <c r="D654" s="18"/>
      <c r="E654" s="24">
        <v>8.5235180496E10</v>
      </c>
      <c r="F654" s="24">
        <v>1.0</v>
      </c>
      <c r="G654" s="18" t="s">
        <v>2963</v>
      </c>
      <c r="H654" s="18"/>
      <c r="I654" s="24">
        <v>8.5235180496E10</v>
      </c>
      <c r="J654" s="18" t="s">
        <v>2964</v>
      </c>
      <c r="K654" s="18"/>
      <c r="L654" s="18" t="s">
        <v>1596</v>
      </c>
    </row>
    <row r="655">
      <c r="A655" s="18" t="s">
        <v>2965</v>
      </c>
      <c r="B655" s="18" t="s">
        <v>791</v>
      </c>
      <c r="C655" s="18" t="s">
        <v>2963</v>
      </c>
      <c r="D655" s="18"/>
      <c r="E655" s="24">
        <v>8.5655762124E10</v>
      </c>
      <c r="F655" s="24">
        <v>1.0</v>
      </c>
      <c r="G655" s="18" t="s">
        <v>2963</v>
      </c>
      <c r="H655" s="18"/>
      <c r="I655" s="24">
        <v>8.5655762124E10</v>
      </c>
      <c r="J655" s="18" t="s">
        <v>2966</v>
      </c>
      <c r="K655" s="18"/>
      <c r="L655" s="18" t="s">
        <v>2967</v>
      </c>
    </row>
    <row r="656">
      <c r="A656" s="18" t="s">
        <v>2968</v>
      </c>
      <c r="B656" s="18" t="s">
        <v>791</v>
      </c>
      <c r="C656" s="18" t="s">
        <v>2969</v>
      </c>
      <c r="D656" s="18"/>
      <c r="E656" s="24">
        <v>8.1233982352E10</v>
      </c>
      <c r="F656" s="24">
        <v>1.0</v>
      </c>
      <c r="G656" s="18" t="s">
        <v>2969</v>
      </c>
      <c r="H656" s="18"/>
      <c r="I656" s="24">
        <v>8.1233982352E10</v>
      </c>
      <c r="J656" s="18" t="s">
        <v>2970</v>
      </c>
      <c r="K656" s="18"/>
      <c r="L656" s="18" t="s">
        <v>1665</v>
      </c>
    </row>
    <row r="657">
      <c r="A657" s="18" t="s">
        <v>2971</v>
      </c>
      <c r="B657" s="18" t="s">
        <v>791</v>
      </c>
      <c r="C657" s="18" t="s">
        <v>2969</v>
      </c>
      <c r="D657" s="18"/>
      <c r="E657" s="24">
        <v>8.1333906122E10</v>
      </c>
      <c r="F657" s="24">
        <v>1.0</v>
      </c>
      <c r="G657" s="18" t="s">
        <v>2969</v>
      </c>
      <c r="H657" s="18"/>
      <c r="I657" s="24">
        <v>8.1333906122E10</v>
      </c>
      <c r="J657" s="18" t="s">
        <v>2972</v>
      </c>
      <c r="K657" s="18"/>
      <c r="L657" s="18" t="s">
        <v>1633</v>
      </c>
    </row>
    <row r="658">
      <c r="A658" s="18" t="s">
        <v>2973</v>
      </c>
      <c r="B658" s="18" t="s">
        <v>791</v>
      </c>
      <c r="C658" s="18" t="s">
        <v>2969</v>
      </c>
      <c r="D658" s="18"/>
      <c r="E658" s="24">
        <v>8.523694096E10</v>
      </c>
      <c r="F658" s="24">
        <v>1.0</v>
      </c>
      <c r="G658" s="18" t="s">
        <v>2969</v>
      </c>
      <c r="H658" s="18"/>
      <c r="I658" s="24">
        <v>8.523694096E10</v>
      </c>
      <c r="J658" s="18" t="s">
        <v>2974</v>
      </c>
      <c r="K658" s="18"/>
      <c r="L658" s="18" t="s">
        <v>2290</v>
      </c>
    </row>
    <row r="659">
      <c r="A659" s="18" t="s">
        <v>2975</v>
      </c>
      <c r="B659" s="18" t="s">
        <v>791</v>
      </c>
      <c r="C659" s="18" t="s">
        <v>2976</v>
      </c>
      <c r="D659" s="18"/>
      <c r="E659" s="18"/>
      <c r="F659" s="24">
        <v>1.0</v>
      </c>
      <c r="G659" s="18" t="s">
        <v>2976</v>
      </c>
      <c r="H659" s="18"/>
      <c r="I659" s="18"/>
      <c r="J659" s="18" t="s">
        <v>2977</v>
      </c>
      <c r="K659" s="18"/>
      <c r="L659" s="18"/>
    </row>
    <row r="660">
      <c r="A660" s="18" t="s">
        <v>2978</v>
      </c>
      <c r="B660" s="18" t="s">
        <v>791</v>
      </c>
      <c r="C660" s="18" t="s">
        <v>2969</v>
      </c>
      <c r="D660" s="18"/>
      <c r="E660" s="24">
        <v>8.1336184176E10</v>
      </c>
      <c r="F660" s="24">
        <v>1.0</v>
      </c>
      <c r="G660" s="18" t="s">
        <v>2969</v>
      </c>
      <c r="H660" s="18"/>
      <c r="I660" s="24">
        <v>8.1336184176E10</v>
      </c>
      <c r="J660" s="18" t="s">
        <v>2979</v>
      </c>
      <c r="K660" s="18"/>
      <c r="L660" s="18" t="s">
        <v>2032</v>
      </c>
    </row>
    <row r="661">
      <c r="A661" s="18" t="s">
        <v>2980</v>
      </c>
      <c r="B661" s="18" t="s">
        <v>791</v>
      </c>
      <c r="C661" s="18" t="s">
        <v>2976</v>
      </c>
      <c r="D661" s="18"/>
      <c r="E661" s="24">
        <v>8.5655522398E10</v>
      </c>
      <c r="F661" s="24">
        <v>1.0</v>
      </c>
      <c r="G661" s="18" t="s">
        <v>2976</v>
      </c>
      <c r="H661" s="18"/>
      <c r="I661" s="24">
        <v>8.5655522398E10</v>
      </c>
      <c r="J661" s="18" t="s">
        <v>2981</v>
      </c>
      <c r="K661" s="18"/>
      <c r="L661" s="18" t="s">
        <v>2982</v>
      </c>
    </row>
    <row r="662">
      <c r="A662" s="18" t="s">
        <v>2983</v>
      </c>
      <c r="B662" s="18" t="s">
        <v>791</v>
      </c>
      <c r="C662" s="18" t="s">
        <v>2984</v>
      </c>
      <c r="D662" s="18"/>
      <c r="E662" s="24">
        <v>8.1247236487E10</v>
      </c>
      <c r="F662" s="24">
        <v>1.0</v>
      </c>
      <c r="G662" s="18" t="s">
        <v>2984</v>
      </c>
      <c r="H662" s="18"/>
      <c r="I662" s="24">
        <v>8.1247236487E10</v>
      </c>
      <c r="J662" s="18" t="s">
        <v>2985</v>
      </c>
      <c r="K662" s="18"/>
      <c r="L662" s="18" t="s">
        <v>2075</v>
      </c>
    </row>
    <row r="663">
      <c r="A663" s="18" t="s">
        <v>2986</v>
      </c>
      <c r="B663" s="18" t="s">
        <v>791</v>
      </c>
      <c r="C663" s="18" t="s">
        <v>2987</v>
      </c>
      <c r="D663" s="18"/>
      <c r="E663" s="18"/>
      <c r="F663" s="24">
        <v>1.0</v>
      </c>
      <c r="G663" s="18" t="s">
        <v>2987</v>
      </c>
      <c r="H663" s="18"/>
      <c r="I663" s="18"/>
      <c r="J663" s="24">
        <v>3.52110010780011E15</v>
      </c>
      <c r="K663" s="18"/>
      <c r="L663" s="18"/>
    </row>
    <row r="664">
      <c r="A664" s="18" t="s">
        <v>2988</v>
      </c>
      <c r="B664" s="18" t="s">
        <v>791</v>
      </c>
      <c r="C664" s="18" t="s">
        <v>2989</v>
      </c>
      <c r="D664" s="18"/>
      <c r="E664" s="24">
        <v>8.5716360105E10</v>
      </c>
      <c r="F664" s="24">
        <v>1.0</v>
      </c>
      <c r="G664" s="18" t="s">
        <v>2989</v>
      </c>
      <c r="H664" s="18"/>
      <c r="I664" s="24">
        <v>8.5716360105E10</v>
      </c>
      <c r="J664" s="18" t="s">
        <v>2990</v>
      </c>
      <c r="K664" s="18"/>
      <c r="L664" s="18" t="s">
        <v>2991</v>
      </c>
    </row>
    <row r="665">
      <c r="A665" s="18" t="s">
        <v>2992</v>
      </c>
      <c r="B665" s="18" t="s">
        <v>791</v>
      </c>
      <c r="C665" s="18" t="s">
        <v>2987</v>
      </c>
      <c r="D665" s="18"/>
      <c r="E665" s="24">
        <v>8.564584087E10</v>
      </c>
      <c r="F665" s="24">
        <v>1.0</v>
      </c>
      <c r="G665" s="18" t="s">
        <v>2987</v>
      </c>
      <c r="H665" s="18"/>
      <c r="I665" s="24">
        <v>8.564584087E10</v>
      </c>
      <c r="J665" s="18" t="s">
        <v>2993</v>
      </c>
      <c r="K665" s="18"/>
      <c r="L665" s="18" t="s">
        <v>2994</v>
      </c>
    </row>
    <row r="666">
      <c r="A666" s="18" t="s">
        <v>2995</v>
      </c>
      <c r="B666" s="18" t="s">
        <v>791</v>
      </c>
      <c r="C666" s="18" t="s">
        <v>2996</v>
      </c>
      <c r="D666" s="18"/>
      <c r="E666" s="24">
        <v>8.1527046505E10</v>
      </c>
      <c r="F666" s="24">
        <v>1.0</v>
      </c>
      <c r="G666" s="18" t="s">
        <v>2996</v>
      </c>
      <c r="H666" s="18"/>
      <c r="I666" s="24">
        <v>8.1527046505E10</v>
      </c>
      <c r="J666" s="18" t="s">
        <v>2997</v>
      </c>
      <c r="K666" s="18"/>
      <c r="L666" s="18" t="s">
        <v>2753</v>
      </c>
    </row>
    <row r="667">
      <c r="A667" s="18" t="s">
        <v>2998</v>
      </c>
      <c r="B667" s="18" t="s">
        <v>791</v>
      </c>
      <c r="C667" s="18" t="s">
        <v>2999</v>
      </c>
      <c r="D667" s="18"/>
      <c r="E667" s="18"/>
      <c r="F667" s="24">
        <v>1.0</v>
      </c>
      <c r="G667" s="18" t="s">
        <v>2999</v>
      </c>
      <c r="H667" s="18"/>
      <c r="I667" s="18"/>
      <c r="J667" s="18" t="s">
        <v>3000</v>
      </c>
      <c r="K667" s="18"/>
      <c r="L667" s="18"/>
    </row>
    <row r="668">
      <c r="A668" s="18" t="s">
        <v>3001</v>
      </c>
      <c r="B668" s="18" t="s">
        <v>791</v>
      </c>
      <c r="C668" s="18" t="s">
        <v>3002</v>
      </c>
      <c r="D668" s="18"/>
      <c r="E668" s="24">
        <v>8.5730115095E10</v>
      </c>
      <c r="F668" s="24">
        <v>1.0</v>
      </c>
      <c r="G668" s="18" t="s">
        <v>3002</v>
      </c>
      <c r="H668" s="18"/>
      <c r="I668" s="24">
        <v>8.5730115095E10</v>
      </c>
      <c r="J668" s="18" t="s">
        <v>3003</v>
      </c>
      <c r="K668" s="18"/>
      <c r="L668" s="18" t="s">
        <v>2114</v>
      </c>
    </row>
    <row r="669">
      <c r="A669" s="18" t="s">
        <v>3004</v>
      </c>
      <c r="B669" s="18" t="s">
        <v>791</v>
      </c>
      <c r="C669" s="18" t="s">
        <v>3005</v>
      </c>
      <c r="D669" s="18"/>
      <c r="E669" s="24">
        <v>8.2336770777E10</v>
      </c>
      <c r="F669" s="24">
        <v>1.0</v>
      </c>
      <c r="G669" s="18" t="s">
        <v>3005</v>
      </c>
      <c r="H669" s="18"/>
      <c r="I669" s="24">
        <v>8.2336770777E10</v>
      </c>
      <c r="J669" s="18" t="s">
        <v>3006</v>
      </c>
      <c r="K669" s="18"/>
      <c r="L669" s="18" t="s">
        <v>1850</v>
      </c>
    </row>
    <row r="670">
      <c r="A670" s="18" t="s">
        <v>3007</v>
      </c>
      <c r="B670" s="18" t="s">
        <v>791</v>
      </c>
      <c r="C670" s="18" t="s">
        <v>3008</v>
      </c>
      <c r="D670" s="18"/>
      <c r="E670" s="24">
        <v>8.5229094349E10</v>
      </c>
      <c r="F670" s="24">
        <v>1.0</v>
      </c>
      <c r="G670" s="18" t="s">
        <v>3008</v>
      </c>
      <c r="H670" s="18"/>
      <c r="I670" s="24">
        <v>8.5229094349E10</v>
      </c>
      <c r="J670" s="18" t="s">
        <v>3009</v>
      </c>
      <c r="K670" s="18"/>
      <c r="L670" s="18" t="s">
        <v>3010</v>
      </c>
    </row>
    <row r="671">
      <c r="A671" s="18" t="s">
        <v>3011</v>
      </c>
      <c r="B671" s="18" t="s">
        <v>791</v>
      </c>
      <c r="C671" s="18" t="s">
        <v>3012</v>
      </c>
      <c r="D671" s="18"/>
      <c r="E671" s="24">
        <v>8.5335280985E10</v>
      </c>
      <c r="F671" s="24">
        <v>1.0</v>
      </c>
      <c r="G671" s="18" t="s">
        <v>3012</v>
      </c>
      <c r="H671" s="18"/>
      <c r="I671" s="24">
        <v>8.5335280985E10</v>
      </c>
      <c r="J671" s="18" t="s">
        <v>3013</v>
      </c>
      <c r="K671" s="18"/>
      <c r="L671" s="18" t="s">
        <v>1914</v>
      </c>
    </row>
    <row r="672">
      <c r="A672" s="18" t="s">
        <v>3014</v>
      </c>
      <c r="B672" s="18" t="s">
        <v>791</v>
      </c>
      <c r="C672" s="18" t="s">
        <v>3015</v>
      </c>
      <c r="D672" s="18"/>
      <c r="E672" s="24">
        <v>8.1325019709E10</v>
      </c>
      <c r="F672" s="24">
        <v>1.0</v>
      </c>
      <c r="G672" s="18" t="s">
        <v>3015</v>
      </c>
      <c r="H672" s="18"/>
      <c r="I672" s="24">
        <v>8.1325019709E10</v>
      </c>
      <c r="J672" s="18" t="s">
        <v>3016</v>
      </c>
      <c r="K672" s="18"/>
      <c r="L672" s="18" t="s">
        <v>3017</v>
      </c>
    </row>
    <row r="673">
      <c r="A673" s="18" t="s">
        <v>3018</v>
      </c>
      <c r="B673" s="18" t="s">
        <v>791</v>
      </c>
      <c r="C673" s="18" t="s">
        <v>3019</v>
      </c>
      <c r="D673" s="18"/>
      <c r="E673" s="24">
        <v>8.9631436646E10</v>
      </c>
      <c r="F673" s="24">
        <v>1.0</v>
      </c>
      <c r="G673" s="18" t="s">
        <v>3019</v>
      </c>
      <c r="H673" s="18"/>
      <c r="I673" s="24">
        <v>8.9631436646E10</v>
      </c>
      <c r="J673" s="18" t="s">
        <v>3020</v>
      </c>
      <c r="K673" s="18"/>
      <c r="L673" s="18" t="s">
        <v>1637</v>
      </c>
    </row>
    <row r="674">
      <c r="A674" s="18" t="s">
        <v>3021</v>
      </c>
      <c r="B674" s="18" t="s">
        <v>791</v>
      </c>
      <c r="C674" s="18" t="s">
        <v>3022</v>
      </c>
      <c r="D674" s="18"/>
      <c r="E674" s="24">
        <v>8.5755303676E10</v>
      </c>
      <c r="F674" s="24">
        <v>1.0</v>
      </c>
      <c r="G674" s="18" t="s">
        <v>3022</v>
      </c>
      <c r="H674" s="18"/>
      <c r="I674" s="24">
        <v>8.5755303676E10</v>
      </c>
      <c r="J674" s="18" t="s">
        <v>3023</v>
      </c>
      <c r="K674" s="18"/>
      <c r="L674" s="18" t="s">
        <v>2059</v>
      </c>
    </row>
    <row r="675">
      <c r="A675" s="18" t="s">
        <v>3024</v>
      </c>
      <c r="B675" s="18" t="s">
        <v>791</v>
      </c>
      <c r="C675" s="18" t="s">
        <v>3025</v>
      </c>
      <c r="D675" s="18"/>
      <c r="E675" s="24">
        <v>8.1359962888E10</v>
      </c>
      <c r="F675" s="24">
        <v>1.0</v>
      </c>
      <c r="G675" s="18" t="s">
        <v>3025</v>
      </c>
      <c r="H675" s="18"/>
      <c r="I675" s="24">
        <v>8.1359962888E10</v>
      </c>
      <c r="J675" s="18" t="s">
        <v>3026</v>
      </c>
      <c r="K675" s="18"/>
      <c r="L675" s="18" t="s">
        <v>1677</v>
      </c>
    </row>
    <row r="676">
      <c r="A676" s="18" t="s">
        <v>3027</v>
      </c>
      <c r="B676" s="18" t="s">
        <v>791</v>
      </c>
      <c r="C676" s="18" t="s">
        <v>3028</v>
      </c>
      <c r="D676" s="18"/>
      <c r="E676" s="24">
        <v>8.5335280985E10</v>
      </c>
      <c r="F676" s="24">
        <v>1.0</v>
      </c>
      <c r="G676" s="18" t="s">
        <v>3028</v>
      </c>
      <c r="H676" s="18"/>
      <c r="I676" s="24">
        <v>8.5335280985E10</v>
      </c>
      <c r="J676" s="18" t="s">
        <v>3029</v>
      </c>
      <c r="K676" s="18"/>
      <c r="L676" s="18" t="s">
        <v>1914</v>
      </c>
    </row>
    <row r="677">
      <c r="A677" s="18" t="s">
        <v>3030</v>
      </c>
      <c r="B677" s="18" t="s">
        <v>791</v>
      </c>
      <c r="C677" s="18" t="s">
        <v>3031</v>
      </c>
      <c r="D677" s="18"/>
      <c r="E677" s="24">
        <v>8.5869227477E10</v>
      </c>
      <c r="F677" s="24">
        <v>1.0</v>
      </c>
      <c r="G677" s="18" t="s">
        <v>3031</v>
      </c>
      <c r="H677" s="18"/>
      <c r="I677" s="24">
        <v>8.5869227477E10</v>
      </c>
      <c r="J677" s="18" t="s">
        <v>3032</v>
      </c>
      <c r="K677" s="18"/>
      <c r="L677" s="18" t="s">
        <v>3033</v>
      </c>
    </row>
    <row r="678">
      <c r="A678" s="18" t="s">
        <v>3034</v>
      </c>
      <c r="B678" s="18" t="s">
        <v>791</v>
      </c>
      <c r="C678" s="18" t="s">
        <v>3035</v>
      </c>
      <c r="D678" s="18"/>
      <c r="E678" s="24">
        <v>8.5259451325E10</v>
      </c>
      <c r="F678" s="24">
        <v>1.0</v>
      </c>
      <c r="G678" s="18" t="s">
        <v>3035</v>
      </c>
      <c r="H678" s="18"/>
      <c r="I678" s="24">
        <v>8.5259451325E10</v>
      </c>
      <c r="J678" s="18" t="s">
        <v>3036</v>
      </c>
      <c r="K678" s="18"/>
      <c r="L678" s="18" t="s">
        <v>1493</v>
      </c>
    </row>
    <row r="679">
      <c r="A679" s="18" t="s">
        <v>3037</v>
      </c>
      <c r="B679" s="18" t="s">
        <v>791</v>
      </c>
      <c r="C679" s="18" t="s">
        <v>3038</v>
      </c>
      <c r="D679" s="18"/>
      <c r="E679" s="24">
        <v>8.9631436646E10</v>
      </c>
      <c r="F679" s="24">
        <v>1.0</v>
      </c>
      <c r="G679" s="18" t="s">
        <v>3038</v>
      </c>
      <c r="H679" s="18"/>
      <c r="I679" s="24">
        <v>8.9631436646E10</v>
      </c>
      <c r="J679" s="18" t="s">
        <v>3039</v>
      </c>
      <c r="K679" s="18"/>
      <c r="L679" s="18" t="s">
        <v>1637</v>
      </c>
    </row>
    <row r="680">
      <c r="A680" s="18" t="s">
        <v>3040</v>
      </c>
      <c r="B680" s="18" t="s">
        <v>791</v>
      </c>
      <c r="C680" s="18" t="s">
        <v>3041</v>
      </c>
      <c r="D680" s="18"/>
      <c r="E680" s="24">
        <v>8.1359556087E10</v>
      </c>
      <c r="F680" s="24">
        <v>1.0</v>
      </c>
      <c r="G680" s="18" t="s">
        <v>3041</v>
      </c>
      <c r="H680" s="18"/>
      <c r="I680" s="24">
        <v>8.1359556087E10</v>
      </c>
      <c r="J680" s="18" t="s">
        <v>3042</v>
      </c>
      <c r="K680" s="18"/>
      <c r="L680" s="18" t="s">
        <v>1549</v>
      </c>
    </row>
    <row r="681">
      <c r="A681" s="18" t="s">
        <v>3043</v>
      </c>
      <c r="B681" s="18" t="s">
        <v>791</v>
      </c>
      <c r="C681" s="18" t="s">
        <v>3044</v>
      </c>
      <c r="D681" s="18"/>
      <c r="E681" s="24">
        <v>8.1336184177E10</v>
      </c>
      <c r="F681" s="24">
        <v>1.0</v>
      </c>
      <c r="G681" s="18" t="s">
        <v>3044</v>
      </c>
      <c r="H681" s="18"/>
      <c r="I681" s="24">
        <v>8.1336184177E10</v>
      </c>
      <c r="J681" s="18" t="s">
        <v>3045</v>
      </c>
      <c r="K681" s="18"/>
      <c r="L681" s="18" t="s">
        <v>2032</v>
      </c>
    </row>
    <row r="682">
      <c r="A682" s="18" t="s">
        <v>3046</v>
      </c>
      <c r="B682" s="18" t="s">
        <v>791</v>
      </c>
      <c r="C682" s="18" t="s">
        <v>3047</v>
      </c>
      <c r="D682" s="18"/>
      <c r="E682" s="24">
        <v>8.573622103E10</v>
      </c>
      <c r="F682" s="24">
        <v>1.0</v>
      </c>
      <c r="G682" s="18" t="s">
        <v>3047</v>
      </c>
      <c r="H682" s="18"/>
      <c r="I682" s="24">
        <v>8.573622103E10</v>
      </c>
      <c r="J682" s="18" t="s">
        <v>3048</v>
      </c>
      <c r="K682" s="18"/>
      <c r="L682" s="18" t="s">
        <v>3049</v>
      </c>
    </row>
    <row r="683">
      <c r="A683" s="18" t="s">
        <v>3050</v>
      </c>
      <c r="B683" s="18" t="s">
        <v>791</v>
      </c>
      <c r="C683" s="18" t="s">
        <v>3051</v>
      </c>
      <c r="D683" s="18"/>
      <c r="E683" s="24">
        <v>8.1249551617E10</v>
      </c>
      <c r="F683" s="24">
        <v>1.0</v>
      </c>
      <c r="G683" s="18" t="s">
        <v>3051</v>
      </c>
      <c r="H683" s="18"/>
      <c r="I683" s="24">
        <v>8.1249551617E10</v>
      </c>
      <c r="J683" s="18" t="s">
        <v>3052</v>
      </c>
      <c r="K683" s="18"/>
      <c r="L683" s="18" t="s">
        <v>3053</v>
      </c>
    </row>
    <row r="684">
      <c r="A684" s="18" t="s">
        <v>3054</v>
      </c>
      <c r="B684" s="18" t="s">
        <v>791</v>
      </c>
      <c r="C684" s="18" t="s">
        <v>3055</v>
      </c>
      <c r="D684" s="18"/>
      <c r="E684" s="24">
        <v>8.1527046505E10</v>
      </c>
      <c r="F684" s="24">
        <v>1.0</v>
      </c>
      <c r="G684" s="18" t="s">
        <v>3055</v>
      </c>
      <c r="H684" s="18"/>
      <c r="I684" s="24">
        <v>8.1527046505E10</v>
      </c>
      <c r="J684" s="18" t="s">
        <v>3056</v>
      </c>
      <c r="K684" s="18"/>
      <c r="L684" s="18" t="s">
        <v>1935</v>
      </c>
    </row>
    <row r="685">
      <c r="A685" s="18" t="s">
        <v>3057</v>
      </c>
      <c r="B685" s="18" t="s">
        <v>791</v>
      </c>
      <c r="C685" s="18" t="s">
        <v>3058</v>
      </c>
      <c r="D685" s="18"/>
      <c r="E685" s="24">
        <v>8.1359240487E10</v>
      </c>
      <c r="F685" s="24">
        <v>1.0</v>
      </c>
      <c r="G685" s="18" t="s">
        <v>3058</v>
      </c>
      <c r="H685" s="18"/>
      <c r="I685" s="24">
        <v>8.1359240487E10</v>
      </c>
      <c r="J685" s="18" t="s">
        <v>3059</v>
      </c>
      <c r="K685" s="18"/>
      <c r="L685" s="18" t="s">
        <v>3060</v>
      </c>
    </row>
    <row r="686">
      <c r="A686" s="18" t="s">
        <v>3061</v>
      </c>
      <c r="B686" s="18" t="s">
        <v>791</v>
      </c>
      <c r="C686" s="18" t="s">
        <v>3062</v>
      </c>
      <c r="D686" s="18"/>
      <c r="E686" s="24">
        <v>8.533662705E10</v>
      </c>
      <c r="F686" s="24">
        <v>1.0</v>
      </c>
      <c r="G686" s="18" t="s">
        <v>3062</v>
      </c>
      <c r="H686" s="18"/>
      <c r="I686" s="24">
        <v>8.533662705E10</v>
      </c>
      <c r="J686" s="18" t="s">
        <v>3063</v>
      </c>
      <c r="K686" s="18"/>
      <c r="L686" s="18" t="s">
        <v>3064</v>
      </c>
    </row>
    <row r="687">
      <c r="A687" s="18" t="s">
        <v>3065</v>
      </c>
      <c r="B687" s="18" t="s">
        <v>791</v>
      </c>
      <c r="C687" s="18" t="s">
        <v>3066</v>
      </c>
      <c r="D687" s="18"/>
      <c r="E687" s="24">
        <v>8.133584603E10</v>
      </c>
      <c r="F687" s="24">
        <v>1.0</v>
      </c>
      <c r="G687" s="18" t="s">
        <v>3066</v>
      </c>
      <c r="H687" s="18"/>
      <c r="I687" s="24">
        <v>8.133584603E10</v>
      </c>
      <c r="J687" s="18" t="s">
        <v>3067</v>
      </c>
      <c r="K687" s="18"/>
      <c r="L687" s="18" t="s">
        <v>3068</v>
      </c>
    </row>
    <row r="688">
      <c r="A688" s="18" t="s">
        <v>3069</v>
      </c>
      <c r="B688" s="18" t="s">
        <v>791</v>
      </c>
      <c r="C688" s="18" t="s">
        <v>3066</v>
      </c>
      <c r="D688" s="18"/>
      <c r="E688" s="24">
        <v>8.1336184177E10</v>
      </c>
      <c r="F688" s="24">
        <v>1.0</v>
      </c>
      <c r="G688" s="18" t="s">
        <v>3066</v>
      </c>
      <c r="H688" s="18"/>
      <c r="I688" s="24">
        <v>8.1336184177E10</v>
      </c>
      <c r="J688" s="18" t="s">
        <v>3070</v>
      </c>
      <c r="K688" s="18"/>
      <c r="L688" s="18" t="s">
        <v>2032</v>
      </c>
    </row>
    <row r="689">
      <c r="A689" s="18" t="s">
        <v>3071</v>
      </c>
      <c r="B689" s="18" t="s">
        <v>791</v>
      </c>
      <c r="C689" s="18" t="s">
        <v>3072</v>
      </c>
      <c r="D689" s="18"/>
      <c r="E689" s="24">
        <v>8.5730115095E10</v>
      </c>
      <c r="F689" s="24">
        <v>1.0</v>
      </c>
      <c r="G689" s="18" t="s">
        <v>3072</v>
      </c>
      <c r="H689" s="18"/>
      <c r="I689" s="24">
        <v>8.5730115095E10</v>
      </c>
      <c r="J689" s="18" t="s">
        <v>3073</v>
      </c>
      <c r="K689" s="18"/>
      <c r="L689" s="18" t="s">
        <v>2114</v>
      </c>
    </row>
    <row r="690">
      <c r="A690" s="18" t="s">
        <v>3074</v>
      </c>
      <c r="B690" s="18" t="s">
        <v>791</v>
      </c>
      <c r="C690" s="18" t="s">
        <v>3075</v>
      </c>
      <c r="D690" s="18"/>
      <c r="E690" s="24">
        <v>8.1336184177E10</v>
      </c>
      <c r="F690" s="24">
        <v>1.0</v>
      </c>
      <c r="G690" s="18" t="s">
        <v>3075</v>
      </c>
      <c r="H690" s="18"/>
      <c r="I690" s="24">
        <v>8.1336184177E10</v>
      </c>
      <c r="J690" s="18" t="s">
        <v>3076</v>
      </c>
      <c r="K690" s="18"/>
      <c r="L690" s="18" t="s">
        <v>2032</v>
      </c>
    </row>
    <row r="691">
      <c r="A691" s="18" t="s">
        <v>3077</v>
      </c>
      <c r="B691" s="18" t="s">
        <v>791</v>
      </c>
      <c r="C691" s="18" t="s">
        <v>3075</v>
      </c>
      <c r="D691" s="18"/>
      <c r="E691" s="24">
        <v>8.523694096E10</v>
      </c>
      <c r="F691" s="24">
        <v>1.0</v>
      </c>
      <c r="G691" s="18" t="s">
        <v>3075</v>
      </c>
      <c r="H691" s="18"/>
      <c r="I691" s="24">
        <v>8.523694096E10</v>
      </c>
      <c r="J691" s="18" t="s">
        <v>3078</v>
      </c>
      <c r="K691" s="18"/>
      <c r="L691" s="18" t="s">
        <v>2290</v>
      </c>
    </row>
    <row r="692">
      <c r="A692" s="18" t="s">
        <v>3079</v>
      </c>
      <c r="B692" s="18" t="s">
        <v>791</v>
      </c>
      <c r="C692" s="18" t="s">
        <v>3080</v>
      </c>
      <c r="D692" s="18"/>
      <c r="E692" s="24">
        <v>8.5235052947E10</v>
      </c>
      <c r="F692" s="24">
        <v>1.0</v>
      </c>
      <c r="G692" s="18" t="s">
        <v>3080</v>
      </c>
      <c r="H692" s="18"/>
      <c r="I692" s="24">
        <v>8.5235052947E10</v>
      </c>
      <c r="J692" s="18" t="s">
        <v>3081</v>
      </c>
      <c r="K692" s="18"/>
      <c r="L692" s="18" t="s">
        <v>3082</v>
      </c>
    </row>
    <row r="693">
      <c r="A693" s="18" t="s">
        <v>3083</v>
      </c>
      <c r="B693" s="18" t="s">
        <v>791</v>
      </c>
      <c r="C693" s="18" t="s">
        <v>3084</v>
      </c>
      <c r="D693" s="18"/>
      <c r="E693" s="24">
        <v>8.2332880388E10</v>
      </c>
      <c r="F693" s="24">
        <v>1.0</v>
      </c>
      <c r="G693" s="18" t="s">
        <v>3084</v>
      </c>
      <c r="H693" s="18"/>
      <c r="I693" s="24">
        <v>8.2332880388E10</v>
      </c>
      <c r="J693" s="18" t="s">
        <v>3085</v>
      </c>
      <c r="K693" s="18"/>
      <c r="L693" s="18" t="s">
        <v>2843</v>
      </c>
    </row>
    <row r="694">
      <c r="A694" s="18" t="s">
        <v>3086</v>
      </c>
      <c r="B694" s="18" t="s">
        <v>791</v>
      </c>
      <c r="C694" s="18" t="s">
        <v>3087</v>
      </c>
      <c r="D694" s="18"/>
      <c r="E694" s="24">
        <v>8.1333906122E10</v>
      </c>
      <c r="F694" s="24">
        <v>1.0</v>
      </c>
      <c r="G694" s="18" t="s">
        <v>3087</v>
      </c>
      <c r="H694" s="18"/>
      <c r="I694" s="24">
        <v>8.1333906122E10</v>
      </c>
      <c r="J694" s="18" t="s">
        <v>3088</v>
      </c>
      <c r="K694" s="18"/>
      <c r="L694" s="18" t="s">
        <v>1633</v>
      </c>
    </row>
    <row r="695">
      <c r="A695" s="18" t="s">
        <v>3089</v>
      </c>
      <c r="B695" s="18" t="s">
        <v>791</v>
      </c>
      <c r="C695" s="18" t="s">
        <v>3090</v>
      </c>
      <c r="D695" s="18"/>
      <c r="E695" s="24">
        <v>8.1230925577E10</v>
      </c>
      <c r="F695" s="24">
        <v>1.0</v>
      </c>
      <c r="G695" s="18" t="s">
        <v>3090</v>
      </c>
      <c r="H695" s="18"/>
      <c r="I695" s="24">
        <v>8.1230925577E10</v>
      </c>
      <c r="J695" s="18" t="s">
        <v>3091</v>
      </c>
      <c r="K695" s="18"/>
      <c r="L695" s="18" t="s">
        <v>3092</v>
      </c>
    </row>
    <row r="696">
      <c r="A696" s="18" t="s">
        <v>3093</v>
      </c>
      <c r="B696" s="18" t="s">
        <v>791</v>
      </c>
      <c r="C696" s="18" t="s">
        <v>3094</v>
      </c>
      <c r="D696" s="18"/>
      <c r="E696" s="24">
        <v>8.5336760229E10</v>
      </c>
      <c r="F696" s="24">
        <v>1.0</v>
      </c>
      <c r="G696" s="18" t="s">
        <v>3094</v>
      </c>
      <c r="H696" s="18"/>
      <c r="I696" s="24">
        <v>8.5336760229E10</v>
      </c>
      <c r="J696" s="18" t="s">
        <v>3095</v>
      </c>
      <c r="K696" s="18"/>
      <c r="L696" s="18" t="s">
        <v>1722</v>
      </c>
    </row>
    <row r="697">
      <c r="A697" s="18" t="s">
        <v>3096</v>
      </c>
      <c r="B697" s="18" t="s">
        <v>791</v>
      </c>
      <c r="C697" s="18" t="s">
        <v>3097</v>
      </c>
      <c r="D697" s="18"/>
      <c r="E697" s="24">
        <v>8.5730115095E10</v>
      </c>
      <c r="F697" s="24">
        <v>1.0</v>
      </c>
      <c r="G697" s="18" t="s">
        <v>3097</v>
      </c>
      <c r="H697" s="18"/>
      <c r="I697" s="24">
        <v>8.5730115095E10</v>
      </c>
      <c r="J697" s="18" t="s">
        <v>3098</v>
      </c>
      <c r="K697" s="18"/>
      <c r="L697" s="18" t="s">
        <v>2114</v>
      </c>
    </row>
    <row r="698">
      <c r="A698" s="18" t="s">
        <v>3099</v>
      </c>
      <c r="B698" s="18" t="s">
        <v>791</v>
      </c>
      <c r="C698" s="18" t="s">
        <v>3100</v>
      </c>
      <c r="D698" s="18"/>
      <c r="E698" s="24">
        <v>8.2336770777E10</v>
      </c>
      <c r="F698" s="24">
        <v>1.0</v>
      </c>
      <c r="G698" s="18" t="s">
        <v>3100</v>
      </c>
      <c r="H698" s="18"/>
      <c r="I698" s="24">
        <v>8.2336770777E10</v>
      </c>
      <c r="J698" s="18" t="s">
        <v>3101</v>
      </c>
      <c r="K698" s="18"/>
      <c r="L698" s="18" t="s">
        <v>1850</v>
      </c>
    </row>
    <row r="699">
      <c r="A699" s="18" t="s">
        <v>3102</v>
      </c>
      <c r="B699" s="18" t="s">
        <v>791</v>
      </c>
      <c r="C699" s="18" t="s">
        <v>3103</v>
      </c>
      <c r="D699" s="18"/>
      <c r="E699" s="24">
        <v>8.2330421087E10</v>
      </c>
      <c r="F699" s="24">
        <v>1.0</v>
      </c>
      <c r="G699" s="18" t="s">
        <v>3103</v>
      </c>
      <c r="H699" s="18"/>
      <c r="I699" s="24">
        <v>8.2330421087E10</v>
      </c>
      <c r="J699" s="18" t="s">
        <v>3104</v>
      </c>
      <c r="K699" s="18"/>
      <c r="L699" s="18" t="s">
        <v>2196</v>
      </c>
    </row>
    <row r="700">
      <c r="A700" s="18" t="s">
        <v>3105</v>
      </c>
      <c r="B700" s="18" t="s">
        <v>791</v>
      </c>
      <c r="C700" s="18" t="s">
        <v>3106</v>
      </c>
      <c r="D700" s="18"/>
      <c r="E700" s="24">
        <v>8.5335474328E10</v>
      </c>
      <c r="F700" s="24">
        <v>1.0</v>
      </c>
      <c r="G700" s="18" t="s">
        <v>3106</v>
      </c>
      <c r="H700" s="18"/>
      <c r="I700" s="24">
        <v>8.5335474328E10</v>
      </c>
      <c r="J700" s="18" t="s">
        <v>3107</v>
      </c>
      <c r="K700" s="18"/>
      <c r="L700" s="18" t="s">
        <v>2269</v>
      </c>
    </row>
    <row r="701">
      <c r="A701" s="18" t="s">
        <v>3108</v>
      </c>
      <c r="B701" s="18" t="s">
        <v>791</v>
      </c>
      <c r="C701" s="18" t="s">
        <v>3106</v>
      </c>
      <c r="D701" s="18"/>
      <c r="E701" s="24">
        <v>8.5708105999E10</v>
      </c>
      <c r="F701" s="24">
        <v>1.0</v>
      </c>
      <c r="G701" s="18" t="s">
        <v>3106</v>
      </c>
      <c r="H701" s="18"/>
      <c r="I701" s="24">
        <v>8.5708105999E10</v>
      </c>
      <c r="J701" s="18" t="s">
        <v>3109</v>
      </c>
      <c r="K701" s="18"/>
      <c r="L701" s="18" t="s">
        <v>2523</v>
      </c>
    </row>
    <row r="702">
      <c r="A702" s="18" t="s">
        <v>3110</v>
      </c>
      <c r="B702" s="18" t="s">
        <v>791</v>
      </c>
      <c r="C702" s="18" t="s">
        <v>3106</v>
      </c>
      <c r="D702" s="18"/>
      <c r="E702" s="24">
        <v>8.1359023919E10</v>
      </c>
      <c r="F702" s="24">
        <v>1.0</v>
      </c>
      <c r="G702" s="18" t="s">
        <v>3106</v>
      </c>
      <c r="H702" s="18"/>
      <c r="I702" s="24">
        <v>8.1359023919E10</v>
      </c>
      <c r="J702" s="18" t="s">
        <v>3111</v>
      </c>
      <c r="K702" s="18"/>
      <c r="L702" s="18" t="s">
        <v>2412</v>
      </c>
    </row>
    <row r="703">
      <c r="A703" s="18" t="s">
        <v>3112</v>
      </c>
      <c r="B703" s="18" t="s">
        <v>791</v>
      </c>
      <c r="C703" s="18" t="s">
        <v>3113</v>
      </c>
      <c r="D703" s="18"/>
      <c r="E703" s="24">
        <v>8.5641655935E10</v>
      </c>
      <c r="F703" s="24">
        <v>1.0</v>
      </c>
      <c r="G703" s="18" t="s">
        <v>3113</v>
      </c>
      <c r="H703" s="18"/>
      <c r="I703" s="24">
        <v>8.5641655935E10</v>
      </c>
      <c r="J703" s="18" t="s">
        <v>3114</v>
      </c>
      <c r="K703" s="18"/>
      <c r="L703" s="18" t="s">
        <v>3115</v>
      </c>
    </row>
    <row r="704">
      <c r="A704" s="18" t="s">
        <v>3116</v>
      </c>
      <c r="B704" s="18" t="s">
        <v>791</v>
      </c>
      <c r="C704" s="18" t="s">
        <v>3113</v>
      </c>
      <c r="D704" s="18"/>
      <c r="E704" s="18"/>
      <c r="F704" s="24">
        <v>1.0</v>
      </c>
      <c r="G704" s="18" t="s">
        <v>3113</v>
      </c>
      <c r="H704" s="18"/>
      <c r="I704" s="18"/>
      <c r="J704" s="18" t="s">
        <v>3117</v>
      </c>
      <c r="K704" s="18"/>
      <c r="L704" s="18"/>
    </row>
    <row r="705">
      <c r="A705" s="18" t="s">
        <v>3118</v>
      </c>
      <c r="B705" s="18" t="s">
        <v>791</v>
      </c>
      <c r="C705" s="18" t="s">
        <v>3119</v>
      </c>
      <c r="D705" s="18"/>
      <c r="E705" s="24">
        <v>8.133543388E10</v>
      </c>
      <c r="F705" s="24">
        <v>1.0</v>
      </c>
      <c r="G705" s="18" t="s">
        <v>3119</v>
      </c>
      <c r="H705" s="18"/>
      <c r="I705" s="24">
        <v>8.133543388E10</v>
      </c>
      <c r="J705" s="18" t="s">
        <v>3120</v>
      </c>
      <c r="K705" s="18"/>
      <c r="L705" s="18" t="s">
        <v>3121</v>
      </c>
    </row>
    <row r="706">
      <c r="A706" s="18" t="s">
        <v>3122</v>
      </c>
      <c r="B706" s="18" t="s">
        <v>791</v>
      </c>
      <c r="C706" s="18" t="s">
        <v>3123</v>
      </c>
      <c r="D706" s="18"/>
      <c r="E706" s="24">
        <v>8.5330549744E10</v>
      </c>
      <c r="F706" s="24">
        <v>1.0</v>
      </c>
      <c r="G706" s="18" t="s">
        <v>3123</v>
      </c>
      <c r="H706" s="18"/>
      <c r="I706" s="24">
        <v>8.5330549744E10</v>
      </c>
      <c r="J706" s="18" t="s">
        <v>3124</v>
      </c>
      <c r="K706" s="18"/>
      <c r="L706" s="18" t="s">
        <v>3125</v>
      </c>
    </row>
    <row r="707">
      <c r="A707" s="18" t="s">
        <v>3126</v>
      </c>
      <c r="B707" s="18" t="s">
        <v>791</v>
      </c>
      <c r="C707" s="18" t="s">
        <v>3123</v>
      </c>
      <c r="D707" s="18"/>
      <c r="E707" s="24">
        <v>8.1329434504E10</v>
      </c>
      <c r="F707" s="24">
        <v>1.0</v>
      </c>
      <c r="G707" s="18" t="s">
        <v>3123</v>
      </c>
      <c r="H707" s="18"/>
      <c r="I707" s="24">
        <v>8.1329434504E10</v>
      </c>
      <c r="J707" s="18" t="s">
        <v>3127</v>
      </c>
      <c r="K707" s="18"/>
      <c r="L707" s="18" t="s">
        <v>949</v>
      </c>
    </row>
    <row r="708">
      <c r="A708" s="18" t="s">
        <v>3128</v>
      </c>
      <c r="B708" s="18" t="s">
        <v>791</v>
      </c>
      <c r="C708" s="18" t="s">
        <v>3129</v>
      </c>
      <c r="D708" s="18"/>
      <c r="E708" s="24">
        <v>8.5645477374E10</v>
      </c>
      <c r="F708" s="24">
        <v>1.0</v>
      </c>
      <c r="G708" s="18" t="s">
        <v>3129</v>
      </c>
      <c r="H708" s="18"/>
      <c r="I708" s="24">
        <v>8.5645477374E10</v>
      </c>
      <c r="J708" s="18" t="s">
        <v>3130</v>
      </c>
      <c r="K708" s="18"/>
      <c r="L708" s="18" t="s">
        <v>2584</v>
      </c>
    </row>
    <row r="709">
      <c r="A709" s="18" t="s">
        <v>3131</v>
      </c>
      <c r="B709" s="18" t="s">
        <v>791</v>
      </c>
      <c r="C709" s="18" t="s">
        <v>3132</v>
      </c>
      <c r="D709" s="18"/>
      <c r="E709" s="24">
        <v>8.523694096E10</v>
      </c>
      <c r="F709" s="24">
        <v>1.0</v>
      </c>
      <c r="G709" s="18" t="s">
        <v>3132</v>
      </c>
      <c r="H709" s="18"/>
      <c r="I709" s="24">
        <v>8.523694096E10</v>
      </c>
      <c r="J709" s="18" t="s">
        <v>3133</v>
      </c>
      <c r="K709" s="18"/>
      <c r="L709" s="18" t="s">
        <v>2290</v>
      </c>
    </row>
    <row r="710">
      <c r="A710" s="18" t="s">
        <v>3134</v>
      </c>
      <c r="B710" s="18" t="s">
        <v>791</v>
      </c>
      <c r="C710" s="18" t="s">
        <v>3135</v>
      </c>
      <c r="D710" s="18"/>
      <c r="E710" s="24">
        <v>8.5235961951E10</v>
      </c>
      <c r="F710" s="24">
        <v>1.0</v>
      </c>
      <c r="G710" s="18" t="s">
        <v>3135</v>
      </c>
      <c r="H710" s="18"/>
      <c r="I710" s="24">
        <v>8.5235961951E10</v>
      </c>
      <c r="J710" s="18" t="s">
        <v>3136</v>
      </c>
      <c r="K710" s="18"/>
      <c r="L710" s="18" t="s">
        <v>3137</v>
      </c>
    </row>
    <row r="711">
      <c r="A711" s="18" t="s">
        <v>3138</v>
      </c>
      <c r="B711" s="18" t="s">
        <v>791</v>
      </c>
      <c r="C711" s="18" t="s">
        <v>3139</v>
      </c>
      <c r="D711" s="18" t="s">
        <v>1744</v>
      </c>
      <c r="E711" s="24">
        <v>8.1556628882E10</v>
      </c>
      <c r="F711" s="24">
        <v>1.0</v>
      </c>
      <c r="G711" s="18" t="s">
        <v>3139</v>
      </c>
      <c r="H711" s="18" t="s">
        <v>1744</v>
      </c>
      <c r="I711" s="24">
        <v>8.1556628882E10</v>
      </c>
      <c r="J711" s="18" t="s">
        <v>3140</v>
      </c>
      <c r="K711" s="18" t="s">
        <v>3140</v>
      </c>
      <c r="L711" s="18" t="s">
        <v>3141</v>
      </c>
    </row>
    <row r="712">
      <c r="A712" s="18" t="s">
        <v>3142</v>
      </c>
      <c r="B712" s="18" t="s">
        <v>791</v>
      </c>
      <c r="C712" s="18" t="s">
        <v>3143</v>
      </c>
      <c r="D712" s="18"/>
      <c r="E712" s="24">
        <v>8.2257791825E10</v>
      </c>
      <c r="F712" s="24">
        <v>1.0</v>
      </c>
      <c r="G712" s="18" t="s">
        <v>3143</v>
      </c>
      <c r="H712" s="18"/>
      <c r="I712" s="24">
        <v>8.2257791825E10</v>
      </c>
      <c r="J712" s="18" t="s">
        <v>3144</v>
      </c>
      <c r="K712" s="18"/>
      <c r="L712" s="18" t="s">
        <v>2475</v>
      </c>
    </row>
    <row r="713">
      <c r="A713" s="18" t="s">
        <v>3145</v>
      </c>
      <c r="B713" s="18" t="s">
        <v>791</v>
      </c>
      <c r="C713" s="18" t="s">
        <v>3146</v>
      </c>
      <c r="D713" s="18"/>
      <c r="E713" s="24">
        <v>8.5335474331E10</v>
      </c>
      <c r="F713" s="24">
        <v>1.0</v>
      </c>
      <c r="G713" s="18" t="s">
        <v>3146</v>
      </c>
      <c r="H713" s="18"/>
      <c r="I713" s="24">
        <v>8.5335474331E10</v>
      </c>
      <c r="J713" s="18" t="s">
        <v>3147</v>
      </c>
      <c r="K713" s="18"/>
      <c r="L713" s="18" t="s">
        <v>2269</v>
      </c>
    </row>
    <row r="714">
      <c r="A714" s="18" t="s">
        <v>3148</v>
      </c>
      <c r="B714" s="18" t="s">
        <v>791</v>
      </c>
      <c r="C714" s="18" t="s">
        <v>3149</v>
      </c>
      <c r="D714" s="18"/>
      <c r="E714" s="24">
        <v>8.5235180496E10</v>
      </c>
      <c r="F714" s="24">
        <v>1.0</v>
      </c>
      <c r="G714" s="18" t="s">
        <v>3149</v>
      </c>
      <c r="H714" s="18"/>
      <c r="I714" s="24">
        <v>8.5235180496E10</v>
      </c>
      <c r="J714" s="18" t="s">
        <v>3150</v>
      </c>
      <c r="K714" s="18"/>
      <c r="L714" s="18" t="s">
        <v>1596</v>
      </c>
    </row>
    <row r="715">
      <c r="A715" s="18" t="s">
        <v>3151</v>
      </c>
      <c r="B715" s="18" t="s">
        <v>791</v>
      </c>
      <c r="C715" s="18" t="s">
        <v>3152</v>
      </c>
      <c r="D715" s="18"/>
      <c r="E715" s="24">
        <v>8.5259755878E10</v>
      </c>
      <c r="F715" s="24">
        <v>1.0</v>
      </c>
      <c r="G715" s="18" t="s">
        <v>3152</v>
      </c>
      <c r="H715" s="18"/>
      <c r="I715" s="24">
        <v>8.5259755878E10</v>
      </c>
      <c r="J715" s="18" t="s">
        <v>3153</v>
      </c>
      <c r="K715" s="18"/>
      <c r="L715" s="18" t="s">
        <v>3154</v>
      </c>
    </row>
    <row r="716">
      <c r="A716" s="18" t="s">
        <v>3155</v>
      </c>
      <c r="B716" s="18" t="s">
        <v>791</v>
      </c>
      <c r="C716" s="18" t="s">
        <v>3156</v>
      </c>
      <c r="D716" s="18"/>
      <c r="E716" s="24">
        <v>8.5790570699E10</v>
      </c>
      <c r="F716" s="24">
        <v>1.0</v>
      </c>
      <c r="G716" s="18" t="s">
        <v>3156</v>
      </c>
      <c r="H716" s="18"/>
      <c r="I716" s="24">
        <v>8.5790570699E10</v>
      </c>
      <c r="J716" s="18" t="s">
        <v>3157</v>
      </c>
      <c r="K716" s="18"/>
      <c r="L716" s="18" t="s">
        <v>2423</v>
      </c>
    </row>
    <row r="717">
      <c r="A717" s="18" t="s">
        <v>3158</v>
      </c>
      <c r="B717" s="18" t="s">
        <v>791</v>
      </c>
      <c r="C717" s="18" t="s">
        <v>3159</v>
      </c>
      <c r="D717" s="18"/>
      <c r="E717" s="24">
        <v>8.5729292088E10</v>
      </c>
      <c r="F717" s="24">
        <v>1.0</v>
      </c>
      <c r="G717" s="18" t="s">
        <v>3159</v>
      </c>
      <c r="H717" s="18"/>
      <c r="I717" s="24">
        <v>8.5729292088E10</v>
      </c>
      <c r="J717" s="18" t="s">
        <v>3160</v>
      </c>
      <c r="K717" s="18"/>
      <c r="L717" s="18" t="s">
        <v>3161</v>
      </c>
    </row>
    <row r="718">
      <c r="A718" s="18" t="s">
        <v>3162</v>
      </c>
      <c r="B718" s="18" t="s">
        <v>791</v>
      </c>
      <c r="C718" s="18" t="s">
        <v>3159</v>
      </c>
      <c r="D718" s="18"/>
      <c r="E718" s="24">
        <v>8.5233836052E10</v>
      </c>
      <c r="F718" s="24">
        <v>1.0</v>
      </c>
      <c r="G718" s="18" t="s">
        <v>3159</v>
      </c>
      <c r="H718" s="18"/>
      <c r="I718" s="24">
        <v>8.5233836052E10</v>
      </c>
      <c r="J718" s="18" t="s">
        <v>3163</v>
      </c>
      <c r="K718" s="18"/>
      <c r="L718" s="18" t="s">
        <v>1637</v>
      </c>
    </row>
    <row r="719">
      <c r="A719" s="18" t="s">
        <v>3164</v>
      </c>
      <c r="B719" s="18" t="s">
        <v>791</v>
      </c>
      <c r="C719" s="18" t="s">
        <v>3159</v>
      </c>
      <c r="D719" s="18"/>
      <c r="E719" s="24">
        <v>8.5233711713E10</v>
      </c>
      <c r="F719" s="24">
        <v>1.0</v>
      </c>
      <c r="G719" s="18" t="s">
        <v>3159</v>
      </c>
      <c r="H719" s="18"/>
      <c r="I719" s="24">
        <v>8.5233711713E10</v>
      </c>
      <c r="J719" s="18" t="s">
        <v>3165</v>
      </c>
      <c r="K719" s="18"/>
      <c r="L719" s="18" t="s">
        <v>2471</v>
      </c>
    </row>
    <row r="720">
      <c r="A720" s="18" t="s">
        <v>3166</v>
      </c>
      <c r="B720" s="18" t="s">
        <v>791</v>
      </c>
      <c r="C720" s="18" t="s">
        <v>3167</v>
      </c>
      <c r="D720" s="18"/>
      <c r="E720" s="24">
        <v>8.5730115095E10</v>
      </c>
      <c r="F720" s="24">
        <v>1.0</v>
      </c>
      <c r="G720" s="18" t="s">
        <v>3167</v>
      </c>
      <c r="H720" s="18"/>
      <c r="I720" s="24">
        <v>8.5730115095E10</v>
      </c>
      <c r="J720" s="18" t="s">
        <v>3168</v>
      </c>
      <c r="K720" s="18"/>
      <c r="L720" s="18" t="s">
        <v>2114</v>
      </c>
    </row>
    <row r="721">
      <c r="A721" s="18" t="s">
        <v>3169</v>
      </c>
      <c r="B721" s="18" t="s">
        <v>791</v>
      </c>
      <c r="C721" s="18" t="s">
        <v>3170</v>
      </c>
      <c r="D721" s="18"/>
      <c r="E721" s="24">
        <v>8.1330720631E10</v>
      </c>
      <c r="F721" s="24">
        <v>1.0</v>
      </c>
      <c r="G721" s="18" t="s">
        <v>3170</v>
      </c>
      <c r="H721" s="18"/>
      <c r="I721" s="24">
        <v>8.1330720631E10</v>
      </c>
      <c r="J721" s="18" t="s">
        <v>3171</v>
      </c>
      <c r="K721" s="18"/>
      <c r="L721" s="18" t="s">
        <v>1681</v>
      </c>
    </row>
    <row r="722">
      <c r="A722" s="18" t="s">
        <v>3172</v>
      </c>
      <c r="B722" s="18" t="s">
        <v>791</v>
      </c>
      <c r="C722" s="18" t="s">
        <v>3173</v>
      </c>
      <c r="D722" s="18"/>
      <c r="E722" s="24">
        <v>8.1233982352E10</v>
      </c>
      <c r="F722" s="24">
        <v>1.0</v>
      </c>
      <c r="G722" s="18" t="s">
        <v>3173</v>
      </c>
      <c r="H722" s="18"/>
      <c r="I722" s="24">
        <v>8.1233982352E10</v>
      </c>
      <c r="J722" s="18" t="s">
        <v>3174</v>
      </c>
      <c r="K722" s="18"/>
      <c r="L722" s="18" t="s">
        <v>1665</v>
      </c>
    </row>
    <row r="723">
      <c r="A723" s="18" t="s">
        <v>3175</v>
      </c>
      <c r="B723" s="18" t="s">
        <v>791</v>
      </c>
      <c r="C723" s="18" t="s">
        <v>3176</v>
      </c>
      <c r="D723" s="18"/>
      <c r="E723" s="24">
        <v>8.1554152296E10</v>
      </c>
      <c r="F723" s="24">
        <v>1.0</v>
      </c>
      <c r="G723" s="18" t="s">
        <v>3176</v>
      </c>
      <c r="H723" s="18"/>
      <c r="I723" s="24">
        <v>8.1554152296E10</v>
      </c>
      <c r="J723" s="18" t="s">
        <v>3177</v>
      </c>
      <c r="K723" s="18"/>
      <c r="L723" s="18" t="s">
        <v>3178</v>
      </c>
    </row>
    <row r="724">
      <c r="A724" s="18" t="s">
        <v>3179</v>
      </c>
      <c r="B724" s="18" t="s">
        <v>791</v>
      </c>
      <c r="C724" s="18" t="s">
        <v>3176</v>
      </c>
      <c r="D724" s="18"/>
      <c r="E724" s="24">
        <v>8.158327848E9</v>
      </c>
      <c r="F724" s="24">
        <v>1.0</v>
      </c>
      <c r="G724" s="18" t="s">
        <v>3176</v>
      </c>
      <c r="H724" s="18"/>
      <c r="I724" s="24">
        <v>8.158327848E9</v>
      </c>
      <c r="J724" s="18" t="s">
        <v>3180</v>
      </c>
      <c r="K724" s="18"/>
      <c r="L724" s="18" t="s">
        <v>3181</v>
      </c>
    </row>
    <row r="725">
      <c r="A725" s="18" t="s">
        <v>3182</v>
      </c>
      <c r="B725" s="18" t="s">
        <v>791</v>
      </c>
      <c r="C725" s="18" t="s">
        <v>3183</v>
      </c>
      <c r="D725" s="18"/>
      <c r="E725" s="24">
        <v>8.5334523413E10</v>
      </c>
      <c r="F725" s="24">
        <v>1.0</v>
      </c>
      <c r="G725" s="18" t="s">
        <v>3183</v>
      </c>
      <c r="H725" s="18"/>
      <c r="I725" s="24">
        <v>8.5334523413E10</v>
      </c>
      <c r="J725" s="18" t="s">
        <v>3184</v>
      </c>
      <c r="K725" s="18"/>
      <c r="L725" s="18" t="s">
        <v>197</v>
      </c>
    </row>
    <row r="726">
      <c r="A726" s="18" t="s">
        <v>3185</v>
      </c>
      <c r="B726" s="18" t="s">
        <v>791</v>
      </c>
      <c r="C726" s="18" t="s">
        <v>3186</v>
      </c>
      <c r="D726" s="18"/>
      <c r="E726" s="24">
        <v>8.5141565285E10</v>
      </c>
      <c r="F726" s="24">
        <v>1.0</v>
      </c>
      <c r="G726" s="18" t="s">
        <v>3186</v>
      </c>
      <c r="H726" s="18"/>
      <c r="I726" s="24">
        <v>8.5141565285E10</v>
      </c>
      <c r="J726" s="18" t="s">
        <v>3187</v>
      </c>
      <c r="K726" s="18"/>
      <c r="L726" s="18" t="s">
        <v>3188</v>
      </c>
    </row>
    <row r="727">
      <c r="A727" s="18" t="s">
        <v>3189</v>
      </c>
      <c r="B727" s="18" t="s">
        <v>791</v>
      </c>
      <c r="C727" s="18" t="s">
        <v>3190</v>
      </c>
      <c r="D727" s="18"/>
      <c r="E727" s="24">
        <v>8.1336184177E10</v>
      </c>
      <c r="F727" s="24">
        <v>1.0</v>
      </c>
      <c r="G727" s="18" t="s">
        <v>3190</v>
      </c>
      <c r="H727" s="18"/>
      <c r="I727" s="24">
        <v>8.1336184177E10</v>
      </c>
      <c r="J727" s="18" t="s">
        <v>3191</v>
      </c>
      <c r="K727" s="18"/>
      <c r="L727" s="18" t="s">
        <v>2032</v>
      </c>
    </row>
    <row r="728">
      <c r="A728" s="18" t="s">
        <v>3192</v>
      </c>
      <c r="B728" s="18" t="s">
        <v>791</v>
      </c>
      <c r="C728" s="18" t="s">
        <v>3193</v>
      </c>
      <c r="D728" s="18"/>
      <c r="E728" s="24">
        <v>8.2257791825E10</v>
      </c>
      <c r="F728" s="24">
        <v>1.0</v>
      </c>
      <c r="G728" s="18" t="s">
        <v>3193</v>
      </c>
      <c r="H728" s="18"/>
      <c r="I728" s="24">
        <v>8.2257791825E10</v>
      </c>
      <c r="J728" s="18" t="s">
        <v>3194</v>
      </c>
      <c r="K728" s="18"/>
      <c r="L728" s="18" t="s">
        <v>3195</v>
      </c>
    </row>
    <row r="729">
      <c r="A729" s="18" t="s">
        <v>3196</v>
      </c>
      <c r="B729" s="18" t="s">
        <v>791</v>
      </c>
      <c r="C729" s="18" t="s">
        <v>3197</v>
      </c>
      <c r="D729" s="18"/>
      <c r="E729" s="24">
        <v>8.5326632177E10</v>
      </c>
      <c r="F729" s="24">
        <v>1.0</v>
      </c>
      <c r="G729" s="18" t="s">
        <v>3197</v>
      </c>
      <c r="H729" s="18"/>
      <c r="I729" s="24">
        <v>8.5326632177E10</v>
      </c>
      <c r="J729" s="18" t="s">
        <v>3198</v>
      </c>
      <c r="K729" s="18"/>
      <c r="L729" s="18" t="s">
        <v>2812</v>
      </c>
    </row>
    <row r="730">
      <c r="A730" s="18" t="s">
        <v>3199</v>
      </c>
      <c r="B730" s="18" t="s">
        <v>791</v>
      </c>
      <c r="C730" s="18" t="s">
        <v>3200</v>
      </c>
      <c r="D730" s="18"/>
      <c r="E730" s="24">
        <v>8.2337029948E10</v>
      </c>
      <c r="F730" s="24">
        <v>1.0</v>
      </c>
      <c r="G730" s="18" t="s">
        <v>3200</v>
      </c>
      <c r="H730" s="18"/>
      <c r="I730" s="24">
        <v>8.2337029948E10</v>
      </c>
      <c r="J730" s="18" t="s">
        <v>3201</v>
      </c>
      <c r="K730" s="18"/>
      <c r="L730" s="18" t="s">
        <v>3202</v>
      </c>
    </row>
    <row r="731">
      <c r="A731" s="18" t="s">
        <v>3203</v>
      </c>
      <c r="B731" s="18" t="s">
        <v>791</v>
      </c>
      <c r="C731" s="18" t="s">
        <v>3204</v>
      </c>
      <c r="D731" s="18"/>
      <c r="E731" s="24">
        <v>8.2336841401E10</v>
      </c>
      <c r="F731" s="24">
        <v>1.0</v>
      </c>
      <c r="G731" s="18" t="s">
        <v>3204</v>
      </c>
      <c r="H731" s="18"/>
      <c r="I731" s="24">
        <v>8.2336841401E10</v>
      </c>
      <c r="J731" s="18" t="s">
        <v>3205</v>
      </c>
      <c r="K731" s="18"/>
      <c r="L731" s="18" t="s">
        <v>1896</v>
      </c>
    </row>
    <row r="732">
      <c r="A732" s="18" t="s">
        <v>3206</v>
      </c>
      <c r="B732" s="18" t="s">
        <v>791</v>
      </c>
      <c r="C732" s="18" t="s">
        <v>3204</v>
      </c>
      <c r="D732" s="18"/>
      <c r="E732" s="24">
        <v>8.5235543827E10</v>
      </c>
      <c r="F732" s="24">
        <v>1.0</v>
      </c>
      <c r="G732" s="18" t="s">
        <v>3204</v>
      </c>
      <c r="H732" s="18"/>
      <c r="I732" s="24">
        <v>8.5235543827E10</v>
      </c>
      <c r="J732" s="18" t="s">
        <v>3207</v>
      </c>
      <c r="K732" s="18"/>
      <c r="L732" s="18" t="s">
        <v>2358</v>
      </c>
    </row>
    <row r="733">
      <c r="A733" s="18" t="s">
        <v>3208</v>
      </c>
      <c r="B733" s="18" t="s">
        <v>791</v>
      </c>
      <c r="C733" s="18" t="s">
        <v>3209</v>
      </c>
      <c r="D733" s="18"/>
      <c r="E733" s="24">
        <v>8.133527466E10</v>
      </c>
      <c r="F733" s="24">
        <v>1.0</v>
      </c>
      <c r="G733" s="18" t="s">
        <v>3209</v>
      </c>
      <c r="H733" s="18"/>
      <c r="I733" s="24">
        <v>8.133527466E10</v>
      </c>
      <c r="J733" s="18" t="s">
        <v>3210</v>
      </c>
      <c r="K733" s="18"/>
      <c r="L733" s="18" t="s">
        <v>1777</v>
      </c>
    </row>
    <row r="734">
      <c r="A734" s="18" t="s">
        <v>3211</v>
      </c>
      <c r="B734" s="18" t="s">
        <v>791</v>
      </c>
      <c r="C734" s="18" t="s">
        <v>3212</v>
      </c>
      <c r="D734" s="18"/>
      <c r="E734" s="24">
        <v>8.5335474331E10</v>
      </c>
      <c r="F734" s="24">
        <v>1.0</v>
      </c>
      <c r="G734" s="18" t="s">
        <v>3212</v>
      </c>
      <c r="H734" s="18"/>
      <c r="I734" s="24">
        <v>8.5335474331E10</v>
      </c>
      <c r="J734" s="18" t="s">
        <v>3213</v>
      </c>
      <c r="K734" s="18"/>
      <c r="L734" s="18" t="s">
        <v>2269</v>
      </c>
    </row>
    <row r="735">
      <c r="A735" s="18" t="s">
        <v>3214</v>
      </c>
      <c r="B735" s="18" t="s">
        <v>791</v>
      </c>
      <c r="C735" s="18" t="s">
        <v>3215</v>
      </c>
      <c r="D735" s="18"/>
      <c r="E735" s="24">
        <v>8.2245442422E10</v>
      </c>
      <c r="F735" s="24">
        <v>1.0</v>
      </c>
      <c r="G735" s="18" t="s">
        <v>3215</v>
      </c>
      <c r="H735" s="18"/>
      <c r="I735" s="24">
        <v>8.2245442422E10</v>
      </c>
      <c r="J735" s="18" t="s">
        <v>3216</v>
      </c>
      <c r="K735" s="18"/>
      <c r="L735" s="18" t="s">
        <v>1637</v>
      </c>
    </row>
    <row r="736">
      <c r="A736" s="18" t="s">
        <v>3217</v>
      </c>
      <c r="B736" s="18" t="s">
        <v>791</v>
      </c>
      <c r="C736" s="18" t="s">
        <v>3218</v>
      </c>
      <c r="D736" s="18"/>
      <c r="E736" s="24">
        <v>8.5217801919E10</v>
      </c>
      <c r="F736" s="24">
        <v>1.0</v>
      </c>
      <c r="G736" s="18" t="s">
        <v>3218</v>
      </c>
      <c r="H736" s="18"/>
      <c r="I736" s="24">
        <v>8.5217801919E10</v>
      </c>
      <c r="J736" s="18" t="s">
        <v>3219</v>
      </c>
      <c r="K736" s="18"/>
      <c r="L736" s="18" t="s">
        <v>1681</v>
      </c>
    </row>
    <row r="737">
      <c r="A737" s="18" t="s">
        <v>3220</v>
      </c>
      <c r="B737" s="18" t="s">
        <v>791</v>
      </c>
      <c r="C737" s="18" t="s">
        <v>3221</v>
      </c>
      <c r="D737" s="18"/>
      <c r="E737" s="24">
        <v>8.5235256948E10</v>
      </c>
      <c r="F737" s="24">
        <v>1.0</v>
      </c>
      <c r="G737" s="18" t="s">
        <v>3221</v>
      </c>
      <c r="H737" s="18"/>
      <c r="I737" s="24">
        <v>8.5235256948E10</v>
      </c>
      <c r="J737" s="24">
        <v>3.52112020773E15</v>
      </c>
      <c r="K737" s="18"/>
      <c r="L737" s="18" t="s">
        <v>2689</v>
      </c>
    </row>
    <row r="738">
      <c r="A738" s="18" t="s">
        <v>3222</v>
      </c>
      <c r="B738" s="18" t="s">
        <v>791</v>
      </c>
      <c r="C738" s="18" t="s">
        <v>3223</v>
      </c>
      <c r="D738" s="18"/>
      <c r="E738" s="24">
        <v>8.13285762E10</v>
      </c>
      <c r="F738" s="24">
        <v>1.0</v>
      </c>
      <c r="G738" s="18" t="s">
        <v>3223</v>
      </c>
      <c r="H738" s="18"/>
      <c r="I738" s="24">
        <v>8.13285762E10</v>
      </c>
      <c r="J738" s="18" t="s">
        <v>3224</v>
      </c>
      <c r="K738" s="18"/>
      <c r="L738" s="18" t="s">
        <v>3115</v>
      </c>
    </row>
    <row r="739">
      <c r="A739" s="18" t="s">
        <v>3225</v>
      </c>
      <c r="B739" s="18" t="s">
        <v>791</v>
      </c>
      <c r="C739" s="18" t="s">
        <v>3226</v>
      </c>
      <c r="D739" s="18"/>
      <c r="E739" s="24">
        <v>8.5710322783E10</v>
      </c>
      <c r="F739" s="24">
        <v>1.0</v>
      </c>
      <c r="G739" s="18" t="s">
        <v>3226</v>
      </c>
      <c r="H739" s="18"/>
      <c r="I739" s="24">
        <v>8.5710322783E10</v>
      </c>
      <c r="J739" s="18" t="s">
        <v>3227</v>
      </c>
      <c r="K739" s="18"/>
      <c r="L739" s="18" t="s">
        <v>3228</v>
      </c>
    </row>
    <row r="740">
      <c r="A740" s="18" t="s">
        <v>3229</v>
      </c>
      <c r="B740" s="18" t="s">
        <v>791</v>
      </c>
      <c r="C740" s="18" t="s">
        <v>3223</v>
      </c>
      <c r="D740" s="18"/>
      <c r="E740" s="24">
        <v>8.5235180496E10</v>
      </c>
      <c r="F740" s="24">
        <v>1.0</v>
      </c>
      <c r="G740" s="18" t="s">
        <v>3223</v>
      </c>
      <c r="H740" s="18"/>
      <c r="I740" s="24">
        <v>8.5235180496E10</v>
      </c>
      <c r="J740" s="18" t="s">
        <v>3230</v>
      </c>
      <c r="K740" s="18"/>
      <c r="L740" s="18" t="s">
        <v>1596</v>
      </c>
    </row>
    <row r="741">
      <c r="A741" s="18" t="s">
        <v>3231</v>
      </c>
      <c r="B741" s="18" t="s">
        <v>791</v>
      </c>
      <c r="C741" s="18" t="s">
        <v>3223</v>
      </c>
      <c r="D741" s="18"/>
      <c r="E741" s="24">
        <v>8.1359240487E10</v>
      </c>
      <c r="F741" s="24">
        <v>1.0</v>
      </c>
      <c r="G741" s="18" t="s">
        <v>3223</v>
      </c>
      <c r="H741" s="18"/>
      <c r="I741" s="24">
        <v>8.1359240487E10</v>
      </c>
      <c r="J741" s="18" t="s">
        <v>3232</v>
      </c>
      <c r="K741" s="18"/>
      <c r="L741" s="18" t="s">
        <v>3060</v>
      </c>
    </row>
    <row r="742">
      <c r="A742" s="18" t="s">
        <v>3233</v>
      </c>
      <c r="B742" s="18" t="s">
        <v>791</v>
      </c>
      <c r="C742" s="18" t="s">
        <v>3226</v>
      </c>
      <c r="D742" s="18"/>
      <c r="E742" s="18" t="s">
        <v>3234</v>
      </c>
      <c r="F742" s="24">
        <v>1.0</v>
      </c>
      <c r="G742" s="18" t="s">
        <v>3226</v>
      </c>
      <c r="H742" s="18"/>
      <c r="I742" s="18" t="s">
        <v>3234</v>
      </c>
      <c r="J742" s="18" t="s">
        <v>3234</v>
      </c>
      <c r="K742" s="18"/>
      <c r="L742" s="18" t="s">
        <v>2159</v>
      </c>
    </row>
    <row r="743">
      <c r="A743" s="18" t="s">
        <v>3235</v>
      </c>
      <c r="B743" s="18" t="s">
        <v>791</v>
      </c>
      <c r="C743" s="18" t="s">
        <v>3236</v>
      </c>
      <c r="D743" s="18"/>
      <c r="E743" s="24">
        <v>8.1335706864E10</v>
      </c>
      <c r="F743" s="24">
        <v>1.0</v>
      </c>
      <c r="G743" s="18" t="s">
        <v>3236</v>
      </c>
      <c r="H743" s="18"/>
      <c r="I743" s="24">
        <v>8.1335706864E10</v>
      </c>
      <c r="J743" s="18" t="s">
        <v>3237</v>
      </c>
      <c r="K743" s="18"/>
      <c r="L743" s="18" t="s">
        <v>2346</v>
      </c>
    </row>
    <row r="744">
      <c r="A744" s="18" t="s">
        <v>3238</v>
      </c>
      <c r="B744" s="18" t="s">
        <v>791</v>
      </c>
      <c r="C744" s="18" t="s">
        <v>3239</v>
      </c>
      <c r="D744" s="18"/>
      <c r="E744" s="24">
        <v>8.2312388907E10</v>
      </c>
      <c r="F744" s="24">
        <v>1.0</v>
      </c>
      <c r="G744" s="18" t="s">
        <v>3239</v>
      </c>
      <c r="H744" s="18"/>
      <c r="I744" s="24">
        <v>8.2312388907E10</v>
      </c>
      <c r="J744" s="18" t="s">
        <v>3240</v>
      </c>
      <c r="K744" s="18"/>
      <c r="L744" s="18" t="s">
        <v>1914</v>
      </c>
    </row>
    <row r="745">
      <c r="A745" s="18" t="s">
        <v>3241</v>
      </c>
      <c r="B745" s="18" t="s">
        <v>791</v>
      </c>
      <c r="C745" s="18" t="s">
        <v>3242</v>
      </c>
      <c r="D745" s="18"/>
      <c r="E745" s="24">
        <v>8.2336770777E10</v>
      </c>
      <c r="F745" s="24">
        <v>1.0</v>
      </c>
      <c r="G745" s="18" t="s">
        <v>3242</v>
      </c>
      <c r="H745" s="18"/>
      <c r="I745" s="24">
        <v>8.2336770777E10</v>
      </c>
      <c r="J745" s="18" t="s">
        <v>3243</v>
      </c>
      <c r="K745" s="18"/>
      <c r="L745" s="18" t="s">
        <v>1850</v>
      </c>
    </row>
    <row r="746">
      <c r="A746" s="18" t="s">
        <v>3244</v>
      </c>
      <c r="B746" s="18" t="s">
        <v>791</v>
      </c>
      <c r="C746" s="18" t="s">
        <v>3242</v>
      </c>
      <c r="D746" s="18"/>
      <c r="E746" s="24">
        <v>8.133076679E10</v>
      </c>
      <c r="F746" s="24">
        <v>1.0</v>
      </c>
      <c r="G746" s="18" t="s">
        <v>3242</v>
      </c>
      <c r="H746" s="18"/>
      <c r="I746" s="24">
        <v>8.133076679E10</v>
      </c>
      <c r="J746" s="18" t="s">
        <v>3245</v>
      </c>
      <c r="K746" s="18"/>
      <c r="L746" s="18" t="s">
        <v>2013</v>
      </c>
    </row>
    <row r="747">
      <c r="A747" s="18" t="s">
        <v>3246</v>
      </c>
      <c r="B747" s="18" t="s">
        <v>791</v>
      </c>
      <c r="C747" s="18" t="s">
        <v>3247</v>
      </c>
      <c r="D747" s="18"/>
      <c r="E747" s="24">
        <v>8.1359240487E10</v>
      </c>
      <c r="F747" s="24">
        <v>1.0</v>
      </c>
      <c r="G747" s="18" t="s">
        <v>3247</v>
      </c>
      <c r="H747" s="18"/>
      <c r="I747" s="24">
        <v>8.1359240487E10</v>
      </c>
      <c r="J747" s="18" t="s">
        <v>3248</v>
      </c>
      <c r="K747" s="18"/>
      <c r="L747" s="18" t="s">
        <v>3060</v>
      </c>
    </row>
    <row r="748">
      <c r="A748" s="18" t="s">
        <v>3249</v>
      </c>
      <c r="B748" s="18" t="s">
        <v>791</v>
      </c>
      <c r="C748" s="18" t="s">
        <v>3242</v>
      </c>
      <c r="D748" s="18"/>
      <c r="E748" s="24">
        <v>8.1359544001E10</v>
      </c>
      <c r="F748" s="24">
        <v>1.0</v>
      </c>
      <c r="G748" s="18" t="s">
        <v>3242</v>
      </c>
      <c r="H748" s="18"/>
      <c r="I748" s="24">
        <v>8.1359544001E10</v>
      </c>
      <c r="J748" s="18" t="s">
        <v>3250</v>
      </c>
      <c r="K748" s="18"/>
      <c r="L748" s="18" t="s">
        <v>2159</v>
      </c>
    </row>
    <row r="749">
      <c r="A749" s="18" t="s">
        <v>3251</v>
      </c>
      <c r="B749" s="18" t="s">
        <v>791</v>
      </c>
      <c r="C749" s="18" t="s">
        <v>3247</v>
      </c>
      <c r="D749" s="18"/>
      <c r="E749" s="24">
        <v>8.5230636009E10</v>
      </c>
      <c r="F749" s="24">
        <v>1.0</v>
      </c>
      <c r="G749" s="18" t="s">
        <v>3247</v>
      </c>
      <c r="H749" s="18"/>
      <c r="I749" s="24">
        <v>8.5230636009E10</v>
      </c>
      <c r="J749" s="18" t="s">
        <v>3252</v>
      </c>
      <c r="K749" s="18"/>
      <c r="L749" s="18" t="s">
        <v>3253</v>
      </c>
    </row>
    <row r="750">
      <c r="A750" s="18" t="s">
        <v>3254</v>
      </c>
      <c r="B750" s="18" t="s">
        <v>791</v>
      </c>
      <c r="C750" s="18" t="s">
        <v>3255</v>
      </c>
      <c r="D750" s="18"/>
      <c r="E750" s="24">
        <v>8.5869227476E10</v>
      </c>
      <c r="F750" s="24">
        <v>1.0</v>
      </c>
      <c r="G750" s="18" t="s">
        <v>3255</v>
      </c>
      <c r="H750" s="18"/>
      <c r="I750" s="24">
        <v>8.5869227476E10</v>
      </c>
      <c r="J750" s="18" t="s">
        <v>3256</v>
      </c>
      <c r="K750" s="18"/>
      <c r="L750" s="18" t="s">
        <v>2945</v>
      </c>
    </row>
    <row r="751">
      <c r="A751" s="18" t="s">
        <v>3257</v>
      </c>
      <c r="B751" s="18" t="s">
        <v>791</v>
      </c>
      <c r="C751" s="18" t="s">
        <v>3258</v>
      </c>
      <c r="D751" s="18"/>
      <c r="E751" s="24">
        <v>8.5645477374E10</v>
      </c>
      <c r="F751" s="24">
        <v>1.0</v>
      </c>
      <c r="G751" s="18" t="s">
        <v>3258</v>
      </c>
      <c r="H751" s="18"/>
      <c r="I751" s="24">
        <v>8.5645477374E10</v>
      </c>
      <c r="J751" s="18" t="s">
        <v>3259</v>
      </c>
      <c r="K751" s="18"/>
      <c r="L751" s="18" t="s">
        <v>1830</v>
      </c>
    </row>
    <row r="752">
      <c r="A752" s="18" t="s">
        <v>3260</v>
      </c>
      <c r="B752" s="18" t="s">
        <v>791</v>
      </c>
      <c r="C752" s="18" t="s">
        <v>3261</v>
      </c>
      <c r="D752" s="18"/>
      <c r="E752" s="24">
        <v>8.121633354E10</v>
      </c>
      <c r="F752" s="24">
        <v>1.0</v>
      </c>
      <c r="G752" s="18" t="s">
        <v>3261</v>
      </c>
      <c r="H752" s="18"/>
      <c r="I752" s="24">
        <v>8.121633354E10</v>
      </c>
      <c r="J752" s="18" t="s">
        <v>3262</v>
      </c>
      <c r="K752" s="18"/>
      <c r="L752" s="18" t="s">
        <v>3263</v>
      </c>
    </row>
    <row r="753">
      <c r="A753" s="18" t="s">
        <v>3264</v>
      </c>
      <c r="B753" s="18" t="s">
        <v>791</v>
      </c>
      <c r="C753" s="18" t="s">
        <v>3265</v>
      </c>
      <c r="D753" s="18"/>
      <c r="E753" s="24">
        <v>8.2335355254E10</v>
      </c>
      <c r="F753" s="24">
        <v>1.0</v>
      </c>
      <c r="G753" s="18" t="s">
        <v>3265</v>
      </c>
      <c r="H753" s="18"/>
      <c r="I753" s="24">
        <v>8.2335355254E10</v>
      </c>
      <c r="J753" s="18" t="s">
        <v>3266</v>
      </c>
      <c r="K753" s="18"/>
      <c r="L753" s="18" t="s">
        <v>2022</v>
      </c>
    </row>
    <row r="754">
      <c r="A754" s="18" t="s">
        <v>3267</v>
      </c>
      <c r="B754" s="18" t="s">
        <v>791</v>
      </c>
      <c r="C754" s="18" t="s">
        <v>3268</v>
      </c>
      <c r="D754" s="18"/>
      <c r="E754" s="24">
        <v>8.5708105999E10</v>
      </c>
      <c r="F754" s="24">
        <v>1.0</v>
      </c>
      <c r="G754" s="18" t="s">
        <v>3268</v>
      </c>
      <c r="H754" s="18"/>
      <c r="I754" s="24">
        <v>8.5708105999E10</v>
      </c>
      <c r="J754" s="18" t="s">
        <v>3269</v>
      </c>
      <c r="K754" s="18"/>
      <c r="L754" s="18" t="s">
        <v>2523</v>
      </c>
    </row>
    <row r="755">
      <c r="A755" s="18" t="s">
        <v>3270</v>
      </c>
      <c r="B755" s="18" t="s">
        <v>791</v>
      </c>
      <c r="C755" s="18" t="s">
        <v>3271</v>
      </c>
      <c r="D755" s="18"/>
      <c r="E755" s="24">
        <v>8.5649010902E10</v>
      </c>
      <c r="F755" s="24">
        <v>1.0</v>
      </c>
      <c r="G755" s="18" t="s">
        <v>3271</v>
      </c>
      <c r="H755" s="18"/>
      <c r="I755" s="24">
        <v>8.5649010902E10</v>
      </c>
      <c r="J755" s="18" t="s">
        <v>3272</v>
      </c>
      <c r="K755" s="18"/>
      <c r="L755" s="18" t="s">
        <v>3273</v>
      </c>
    </row>
    <row r="756">
      <c r="A756" s="18" t="s">
        <v>3274</v>
      </c>
      <c r="B756" s="18" t="s">
        <v>791</v>
      </c>
      <c r="C756" s="18" t="s">
        <v>3275</v>
      </c>
      <c r="D756" s="18"/>
      <c r="E756" s="24">
        <v>8.523694096E10</v>
      </c>
      <c r="F756" s="24">
        <v>1.0</v>
      </c>
      <c r="G756" s="18" t="s">
        <v>3275</v>
      </c>
      <c r="H756" s="18"/>
      <c r="I756" s="24">
        <v>8.523694096E10</v>
      </c>
      <c r="J756" s="18" t="s">
        <v>3276</v>
      </c>
      <c r="K756" s="18"/>
      <c r="L756" s="18" t="s">
        <v>2290</v>
      </c>
    </row>
    <row r="757">
      <c r="A757" s="18" t="s">
        <v>3277</v>
      </c>
      <c r="B757" s="18" t="s">
        <v>791</v>
      </c>
      <c r="C757" s="18" t="s">
        <v>3278</v>
      </c>
      <c r="D757" s="18"/>
      <c r="E757" s="24">
        <v>8.5235543827E10</v>
      </c>
      <c r="F757" s="24">
        <v>1.0</v>
      </c>
      <c r="G757" s="18" t="s">
        <v>3278</v>
      </c>
      <c r="H757" s="18"/>
      <c r="I757" s="24">
        <v>8.5235543827E10</v>
      </c>
      <c r="J757" s="18" t="s">
        <v>3279</v>
      </c>
      <c r="K757" s="18"/>
      <c r="L757" s="18" t="s">
        <v>2358</v>
      </c>
    </row>
    <row r="758">
      <c r="A758" s="18" t="s">
        <v>3280</v>
      </c>
      <c r="B758" s="18" t="s">
        <v>791</v>
      </c>
      <c r="C758" s="18" t="s">
        <v>3281</v>
      </c>
      <c r="D758" s="18"/>
      <c r="E758" s="18"/>
      <c r="F758" s="24">
        <v>1.0</v>
      </c>
      <c r="G758" s="18" t="s">
        <v>3281</v>
      </c>
      <c r="H758" s="18"/>
      <c r="I758" s="18"/>
      <c r="J758" s="18" t="s">
        <v>3282</v>
      </c>
      <c r="K758" s="18"/>
      <c r="L758" s="18"/>
    </row>
    <row r="759">
      <c r="A759" s="18" t="s">
        <v>3283</v>
      </c>
      <c r="B759" s="18" t="s">
        <v>791</v>
      </c>
      <c r="C759" s="18" t="s">
        <v>3284</v>
      </c>
      <c r="D759" s="18"/>
      <c r="E759" s="24">
        <v>8.5235782242E10</v>
      </c>
      <c r="F759" s="24">
        <v>1.0</v>
      </c>
      <c r="G759" s="18" t="s">
        <v>3284</v>
      </c>
      <c r="H759" s="18"/>
      <c r="I759" s="24">
        <v>8.5235782242E10</v>
      </c>
      <c r="J759" s="18" t="s">
        <v>3285</v>
      </c>
      <c r="K759" s="18"/>
      <c r="L759" s="18" t="s">
        <v>3286</v>
      </c>
    </row>
    <row r="760">
      <c r="A760" s="18" t="s">
        <v>3287</v>
      </c>
      <c r="B760" s="18" t="s">
        <v>791</v>
      </c>
      <c r="C760" s="18" t="s">
        <v>3288</v>
      </c>
      <c r="D760" s="18"/>
      <c r="E760" s="24">
        <v>8.5336550367E10</v>
      </c>
      <c r="F760" s="24">
        <v>1.0</v>
      </c>
      <c r="G760" s="18" t="s">
        <v>3288</v>
      </c>
      <c r="H760" s="18"/>
      <c r="I760" s="24">
        <v>8.5336550367E10</v>
      </c>
      <c r="J760" s="18" t="s">
        <v>3289</v>
      </c>
      <c r="K760" s="18"/>
      <c r="L760" s="18" t="s">
        <v>1515</v>
      </c>
    </row>
    <row r="761">
      <c r="A761" s="18" t="s">
        <v>3290</v>
      </c>
      <c r="B761" s="18" t="s">
        <v>791</v>
      </c>
      <c r="C761" s="18" t="s">
        <v>3291</v>
      </c>
      <c r="D761" s="18"/>
      <c r="E761" s="24">
        <v>8.5334523413E10</v>
      </c>
      <c r="F761" s="24">
        <v>1.0</v>
      </c>
      <c r="G761" s="18" t="s">
        <v>3291</v>
      </c>
      <c r="H761" s="18"/>
      <c r="I761" s="24">
        <v>8.5334523413E10</v>
      </c>
      <c r="J761" s="18" t="s">
        <v>3292</v>
      </c>
      <c r="K761" s="18"/>
      <c r="L761" s="18" t="s">
        <v>3293</v>
      </c>
    </row>
    <row r="762">
      <c r="A762" s="18" t="s">
        <v>3294</v>
      </c>
      <c r="B762" s="18" t="s">
        <v>791</v>
      </c>
      <c r="C762" s="18" t="s">
        <v>3295</v>
      </c>
      <c r="D762" s="18"/>
      <c r="E762" s="24">
        <v>8.1335810666E10</v>
      </c>
      <c r="F762" s="24">
        <v>1.0</v>
      </c>
      <c r="G762" s="18" t="s">
        <v>3295</v>
      </c>
      <c r="H762" s="18"/>
      <c r="I762" s="24">
        <v>8.1335810666E10</v>
      </c>
      <c r="J762" s="18" t="s">
        <v>3296</v>
      </c>
      <c r="K762" s="18"/>
      <c r="L762" s="18" t="s">
        <v>2003</v>
      </c>
    </row>
    <row r="763">
      <c r="A763" s="18" t="s">
        <v>3297</v>
      </c>
      <c r="B763" s="18" t="s">
        <v>791</v>
      </c>
      <c r="C763" s="18" t="s">
        <v>3298</v>
      </c>
      <c r="D763" s="18"/>
      <c r="E763" s="24">
        <v>8.1233982352E10</v>
      </c>
      <c r="F763" s="24">
        <v>1.0</v>
      </c>
      <c r="G763" s="18" t="s">
        <v>3298</v>
      </c>
      <c r="H763" s="18"/>
      <c r="I763" s="24">
        <v>8.1233982352E10</v>
      </c>
      <c r="J763" s="18" t="s">
        <v>3299</v>
      </c>
      <c r="K763" s="18"/>
      <c r="L763" s="18" t="s">
        <v>1665</v>
      </c>
    </row>
    <row r="764">
      <c r="A764" s="18" t="s">
        <v>3300</v>
      </c>
      <c r="B764" s="18" t="s">
        <v>791</v>
      </c>
      <c r="C764" s="18" t="s">
        <v>3301</v>
      </c>
      <c r="D764" s="18"/>
      <c r="E764" s="24">
        <v>8.5233711713E10</v>
      </c>
      <c r="F764" s="24">
        <v>1.0</v>
      </c>
      <c r="G764" s="18" t="s">
        <v>3301</v>
      </c>
      <c r="H764" s="18"/>
      <c r="I764" s="24">
        <v>8.5233711713E10</v>
      </c>
      <c r="J764" s="18" t="s">
        <v>3302</v>
      </c>
      <c r="K764" s="18"/>
      <c r="L764" s="18" t="s">
        <v>2471</v>
      </c>
    </row>
    <row r="765">
      <c r="A765" s="18" t="s">
        <v>3303</v>
      </c>
      <c r="B765" s="18" t="s">
        <v>791</v>
      </c>
      <c r="C765" s="18" t="s">
        <v>3304</v>
      </c>
      <c r="D765" s="18"/>
      <c r="E765" s="18"/>
      <c r="F765" s="24">
        <v>1.0</v>
      </c>
      <c r="G765" s="18" t="s">
        <v>3304</v>
      </c>
      <c r="H765" s="18"/>
      <c r="I765" s="18"/>
      <c r="J765" s="18" t="s">
        <v>3305</v>
      </c>
      <c r="K765" s="18"/>
      <c r="L765" s="18"/>
    </row>
    <row r="766">
      <c r="A766" s="18" t="s">
        <v>3306</v>
      </c>
      <c r="B766" s="18" t="s">
        <v>791</v>
      </c>
      <c r="C766" s="18" t="s">
        <v>3307</v>
      </c>
      <c r="D766" s="18"/>
      <c r="E766" s="24">
        <v>8.2141569707E10</v>
      </c>
      <c r="F766" s="24">
        <v>1.0</v>
      </c>
      <c r="G766" s="18" t="s">
        <v>3307</v>
      </c>
      <c r="H766" s="18"/>
      <c r="I766" s="24">
        <v>8.2141569707E10</v>
      </c>
      <c r="J766" s="18" t="s">
        <v>3308</v>
      </c>
      <c r="K766" s="18"/>
      <c r="L766" s="18" t="s">
        <v>3309</v>
      </c>
    </row>
    <row r="767">
      <c r="A767" s="18" t="s">
        <v>3310</v>
      </c>
      <c r="B767" s="18" t="s">
        <v>791</v>
      </c>
      <c r="C767" s="18" t="s">
        <v>3311</v>
      </c>
      <c r="D767" s="18"/>
      <c r="E767" s="24">
        <v>8.1359240487E10</v>
      </c>
      <c r="F767" s="24">
        <v>1.0</v>
      </c>
      <c r="G767" s="18" t="s">
        <v>3311</v>
      </c>
      <c r="H767" s="18"/>
      <c r="I767" s="24">
        <v>8.1359240487E10</v>
      </c>
      <c r="J767" s="18" t="s">
        <v>3312</v>
      </c>
      <c r="K767" s="18"/>
      <c r="L767" s="18" t="s">
        <v>3060</v>
      </c>
    </row>
    <row r="768">
      <c r="A768" s="18" t="s">
        <v>3313</v>
      </c>
      <c r="B768" s="18" t="s">
        <v>791</v>
      </c>
      <c r="C768" s="18" t="s">
        <v>3314</v>
      </c>
      <c r="D768" s="18"/>
      <c r="E768" s="24">
        <v>8.1252779695E10</v>
      </c>
      <c r="F768" s="24">
        <v>1.0</v>
      </c>
      <c r="G768" s="18" t="s">
        <v>3314</v>
      </c>
      <c r="H768" s="18"/>
      <c r="I768" s="24">
        <v>8.1252779695E10</v>
      </c>
      <c r="J768" s="18" t="s">
        <v>3315</v>
      </c>
      <c r="K768" s="18"/>
      <c r="L768" s="18" t="s">
        <v>1850</v>
      </c>
    </row>
    <row r="769">
      <c r="A769" s="18" t="s">
        <v>3316</v>
      </c>
      <c r="B769" s="18" t="s">
        <v>791</v>
      </c>
      <c r="C769" s="18" t="s">
        <v>3317</v>
      </c>
      <c r="D769" s="18"/>
      <c r="E769" s="24">
        <v>8.5229094349E10</v>
      </c>
      <c r="F769" s="24">
        <v>1.0</v>
      </c>
      <c r="G769" s="18" t="s">
        <v>3317</v>
      </c>
      <c r="H769" s="18"/>
      <c r="I769" s="24">
        <v>8.5229094349E10</v>
      </c>
      <c r="J769" s="18" t="s">
        <v>3318</v>
      </c>
      <c r="K769" s="18"/>
      <c r="L769" s="18" t="s">
        <v>3319</v>
      </c>
    </row>
    <row r="770">
      <c r="A770" s="18" t="s">
        <v>3320</v>
      </c>
      <c r="B770" s="18" t="s">
        <v>791</v>
      </c>
      <c r="C770" s="18" t="s">
        <v>3321</v>
      </c>
      <c r="D770" s="18"/>
      <c r="E770" s="24">
        <v>8.5604388255E10</v>
      </c>
      <c r="F770" s="24">
        <v>1.0</v>
      </c>
      <c r="G770" s="18" t="s">
        <v>3321</v>
      </c>
      <c r="H770" s="18"/>
      <c r="I770" s="24">
        <v>8.5604388255E10</v>
      </c>
      <c r="J770" s="18" t="s">
        <v>3322</v>
      </c>
      <c r="K770" s="18"/>
      <c r="L770" s="18" t="s">
        <v>2778</v>
      </c>
    </row>
    <row r="771">
      <c r="A771" s="18" t="s">
        <v>3323</v>
      </c>
      <c r="B771" s="18" t="s">
        <v>791</v>
      </c>
      <c r="C771" s="18" t="s">
        <v>3324</v>
      </c>
      <c r="D771" s="18"/>
      <c r="E771" s="24">
        <v>8.1359240487E10</v>
      </c>
      <c r="F771" s="24">
        <v>1.0</v>
      </c>
      <c r="G771" s="18" t="s">
        <v>3324</v>
      </c>
      <c r="H771" s="18"/>
      <c r="I771" s="24">
        <v>8.1359240487E10</v>
      </c>
      <c r="J771" s="18" t="s">
        <v>3325</v>
      </c>
      <c r="K771" s="18"/>
      <c r="L771" s="18" t="s">
        <v>3060</v>
      </c>
    </row>
    <row r="772">
      <c r="A772" s="18" t="s">
        <v>3326</v>
      </c>
      <c r="B772" s="18" t="s">
        <v>791</v>
      </c>
      <c r="C772" s="18" t="s">
        <v>3327</v>
      </c>
      <c r="D772" s="18"/>
      <c r="E772" s="24">
        <v>8.5217801919E10</v>
      </c>
      <c r="F772" s="24">
        <v>1.0</v>
      </c>
      <c r="G772" s="18" t="s">
        <v>3327</v>
      </c>
      <c r="H772" s="18"/>
      <c r="I772" s="24">
        <v>8.5217801919E10</v>
      </c>
      <c r="J772" s="18" t="s">
        <v>3328</v>
      </c>
      <c r="K772" s="18"/>
      <c r="L772" s="18" t="s">
        <v>1681</v>
      </c>
    </row>
    <row r="773">
      <c r="A773" s="18" t="s">
        <v>3329</v>
      </c>
      <c r="B773" s="18" t="s">
        <v>791</v>
      </c>
      <c r="C773" s="18" t="s">
        <v>3330</v>
      </c>
      <c r="D773" s="18"/>
      <c r="E773" s="24">
        <v>8.1330880115E10</v>
      </c>
      <c r="F773" s="24">
        <v>1.0</v>
      </c>
      <c r="G773" s="18" t="s">
        <v>3330</v>
      </c>
      <c r="H773" s="18"/>
      <c r="I773" s="24">
        <v>8.1330880115E10</v>
      </c>
      <c r="J773" s="18" t="s">
        <v>3331</v>
      </c>
      <c r="K773" s="18"/>
      <c r="L773" s="18" t="s">
        <v>2739</v>
      </c>
    </row>
    <row r="774">
      <c r="A774" s="18" t="s">
        <v>3332</v>
      </c>
      <c r="B774" s="18" t="s">
        <v>791</v>
      </c>
      <c r="C774" s="18" t="s">
        <v>3333</v>
      </c>
      <c r="D774" s="18"/>
      <c r="E774" s="24">
        <v>8.125936923E9</v>
      </c>
      <c r="F774" s="24">
        <v>1.0</v>
      </c>
      <c r="G774" s="18" t="s">
        <v>3333</v>
      </c>
      <c r="H774" s="18"/>
      <c r="I774" s="24">
        <v>8.125936923E9</v>
      </c>
      <c r="J774" s="18" t="s">
        <v>3334</v>
      </c>
      <c r="K774" s="18"/>
      <c r="L774" s="18" t="s">
        <v>3335</v>
      </c>
    </row>
    <row r="775">
      <c r="A775" s="18" t="s">
        <v>3336</v>
      </c>
      <c r="B775" s="18" t="s">
        <v>791</v>
      </c>
      <c r="C775" s="18" t="s">
        <v>3337</v>
      </c>
      <c r="D775" s="18"/>
      <c r="E775" s="24">
        <v>8.2332880388E10</v>
      </c>
      <c r="F775" s="24">
        <v>1.0</v>
      </c>
      <c r="G775" s="18" t="s">
        <v>3337</v>
      </c>
      <c r="H775" s="18"/>
      <c r="I775" s="24">
        <v>8.2332880388E10</v>
      </c>
      <c r="J775" s="18" t="s">
        <v>3338</v>
      </c>
      <c r="K775" s="18"/>
      <c r="L775" s="18" t="s">
        <v>2843</v>
      </c>
    </row>
    <row r="776">
      <c r="A776" s="18" t="s">
        <v>3339</v>
      </c>
      <c r="B776" s="18" t="s">
        <v>791</v>
      </c>
      <c r="C776" s="18" t="s">
        <v>3340</v>
      </c>
      <c r="D776" s="18"/>
      <c r="E776" s="24">
        <v>8.1230515354E10</v>
      </c>
      <c r="F776" s="24">
        <v>1.0</v>
      </c>
      <c r="G776" s="18" t="s">
        <v>3340</v>
      </c>
      <c r="H776" s="18"/>
      <c r="I776" s="24">
        <v>8.1230515354E10</v>
      </c>
      <c r="J776" s="18" t="s">
        <v>3341</v>
      </c>
      <c r="K776" s="18"/>
      <c r="L776" s="18" t="s">
        <v>3342</v>
      </c>
    </row>
    <row r="777">
      <c r="A777" s="18" t="s">
        <v>3343</v>
      </c>
      <c r="B777" s="18" t="s">
        <v>791</v>
      </c>
      <c r="C777" s="18" t="s">
        <v>3344</v>
      </c>
      <c r="D777" s="18"/>
      <c r="E777" s="24">
        <v>8.16520391E8</v>
      </c>
      <c r="F777" s="24">
        <v>1.0</v>
      </c>
      <c r="G777" s="18" t="s">
        <v>3344</v>
      </c>
      <c r="H777" s="18"/>
      <c r="I777" s="24">
        <v>8.16520391E8</v>
      </c>
      <c r="J777" s="18" t="s">
        <v>3345</v>
      </c>
      <c r="K777" s="18"/>
      <c r="L777" s="18" t="s">
        <v>3346</v>
      </c>
    </row>
    <row r="778">
      <c r="A778" s="18" t="s">
        <v>3347</v>
      </c>
      <c r="B778" s="18" t="s">
        <v>791</v>
      </c>
      <c r="C778" s="18" t="s">
        <v>3348</v>
      </c>
      <c r="D778" s="18"/>
      <c r="E778" s="24">
        <v>8.535143317E9</v>
      </c>
      <c r="F778" s="24">
        <v>1.0</v>
      </c>
      <c r="G778" s="18" t="s">
        <v>3348</v>
      </c>
      <c r="H778" s="18"/>
      <c r="I778" s="24">
        <v>8.535143317E9</v>
      </c>
      <c r="J778" s="18" t="s">
        <v>3349</v>
      </c>
      <c r="K778" s="18"/>
      <c r="L778" s="18" t="s">
        <v>3350</v>
      </c>
    </row>
    <row r="779">
      <c r="A779" s="18" t="s">
        <v>3351</v>
      </c>
      <c r="B779" s="18" t="s">
        <v>791</v>
      </c>
      <c r="C779" s="18" t="s">
        <v>3352</v>
      </c>
      <c r="D779" s="18"/>
      <c r="E779" s="24">
        <v>8.523694096E10</v>
      </c>
      <c r="F779" s="24">
        <v>1.0</v>
      </c>
      <c r="G779" s="18" t="s">
        <v>3352</v>
      </c>
      <c r="H779" s="18"/>
      <c r="I779" s="24">
        <v>8.523694096E10</v>
      </c>
      <c r="J779" s="18" t="s">
        <v>3353</v>
      </c>
      <c r="K779" s="18"/>
      <c r="L779" s="18" t="s">
        <v>2290</v>
      </c>
    </row>
    <row r="780">
      <c r="A780" s="18" t="s">
        <v>3354</v>
      </c>
      <c r="B780" s="18" t="s">
        <v>791</v>
      </c>
      <c r="C780" s="18" t="s">
        <v>3352</v>
      </c>
      <c r="D780" s="18"/>
      <c r="E780" s="24">
        <v>8.1233982352E10</v>
      </c>
      <c r="F780" s="24">
        <v>1.0</v>
      </c>
      <c r="G780" s="18" t="s">
        <v>3352</v>
      </c>
      <c r="H780" s="18"/>
      <c r="I780" s="24">
        <v>8.1233982352E10</v>
      </c>
      <c r="J780" s="18" t="s">
        <v>3355</v>
      </c>
      <c r="K780" s="18"/>
      <c r="L780" s="18" t="s">
        <v>3356</v>
      </c>
    </row>
    <row r="781">
      <c r="A781" s="18" t="s">
        <v>3357</v>
      </c>
      <c r="B781" s="18" t="s">
        <v>791</v>
      </c>
      <c r="C781" s="18" t="s">
        <v>3358</v>
      </c>
      <c r="D781" s="18"/>
      <c r="E781" s="24">
        <v>8.1335663129E10</v>
      </c>
      <c r="F781" s="24">
        <v>1.0</v>
      </c>
      <c r="G781" s="18" t="s">
        <v>3358</v>
      </c>
      <c r="H781" s="18"/>
      <c r="I781" s="24">
        <v>8.1335663129E10</v>
      </c>
      <c r="J781" s="18" t="s">
        <v>3359</v>
      </c>
      <c r="K781" s="18"/>
      <c r="L781" s="18" t="s">
        <v>1549</v>
      </c>
    </row>
    <row r="782">
      <c r="A782" s="18" t="s">
        <v>3360</v>
      </c>
      <c r="B782" s="18" t="s">
        <v>791</v>
      </c>
      <c r="C782" s="18" t="s">
        <v>3361</v>
      </c>
      <c r="D782" s="18"/>
      <c r="E782" s="24">
        <v>8.2142973516E10</v>
      </c>
      <c r="F782" s="24">
        <v>1.0</v>
      </c>
      <c r="G782" s="18" t="s">
        <v>3361</v>
      </c>
      <c r="H782" s="18"/>
      <c r="I782" s="24">
        <v>8.2142973516E10</v>
      </c>
      <c r="J782" s="18" t="s">
        <v>3362</v>
      </c>
      <c r="K782" s="18"/>
      <c r="L782" s="18" t="s">
        <v>3363</v>
      </c>
    </row>
    <row r="783">
      <c r="A783" s="18" t="s">
        <v>3364</v>
      </c>
      <c r="B783" s="18" t="s">
        <v>791</v>
      </c>
      <c r="C783" s="18" t="s">
        <v>3365</v>
      </c>
      <c r="D783" s="18"/>
      <c r="E783" s="24">
        <v>8.226476711E10</v>
      </c>
      <c r="F783" s="24">
        <v>1.0</v>
      </c>
      <c r="G783" s="18" t="s">
        <v>3365</v>
      </c>
      <c r="H783" s="18"/>
      <c r="I783" s="24">
        <v>8.226476711E10</v>
      </c>
      <c r="J783" s="18" t="s">
        <v>3366</v>
      </c>
      <c r="K783" s="18"/>
      <c r="L783" s="18" t="s">
        <v>3367</v>
      </c>
    </row>
    <row r="784">
      <c r="A784" s="18" t="s">
        <v>3368</v>
      </c>
      <c r="B784" s="18" t="s">
        <v>791</v>
      </c>
      <c r="C784" s="18" t="s">
        <v>3369</v>
      </c>
      <c r="D784" s="18"/>
      <c r="E784" s="24">
        <v>8.5645773199E10</v>
      </c>
      <c r="F784" s="24">
        <v>1.0</v>
      </c>
      <c r="G784" s="18" t="s">
        <v>3369</v>
      </c>
      <c r="H784" s="18"/>
      <c r="I784" s="24">
        <v>8.5645773199E10</v>
      </c>
      <c r="J784" s="18" t="s">
        <v>3370</v>
      </c>
      <c r="K784" s="18"/>
      <c r="L784" s="18" t="s">
        <v>3371</v>
      </c>
    </row>
    <row r="785">
      <c r="A785" s="18" t="s">
        <v>3372</v>
      </c>
      <c r="B785" s="18" t="s">
        <v>791</v>
      </c>
      <c r="C785" s="18" t="s">
        <v>3373</v>
      </c>
      <c r="D785" s="18"/>
      <c r="E785" s="24">
        <v>8.5718396634E10</v>
      </c>
      <c r="F785" s="24">
        <v>1.0</v>
      </c>
      <c r="G785" s="18" t="s">
        <v>3373</v>
      </c>
      <c r="H785" s="18"/>
      <c r="I785" s="24">
        <v>8.5718396634E10</v>
      </c>
      <c r="J785" s="18" t="s">
        <v>3374</v>
      </c>
      <c r="K785" s="18"/>
      <c r="L785" s="18" t="s">
        <v>3375</v>
      </c>
    </row>
    <row r="786">
      <c r="A786" s="18" t="s">
        <v>3376</v>
      </c>
      <c r="B786" s="18" t="s">
        <v>791</v>
      </c>
      <c r="C786" s="18" t="s">
        <v>3377</v>
      </c>
      <c r="D786" s="18"/>
      <c r="E786" s="24">
        <v>8.5233878924E10</v>
      </c>
      <c r="F786" s="24">
        <v>1.0</v>
      </c>
      <c r="G786" s="18" t="s">
        <v>3377</v>
      </c>
      <c r="H786" s="18"/>
      <c r="I786" s="24">
        <v>8.5233878924E10</v>
      </c>
      <c r="J786" s="18" t="s">
        <v>3378</v>
      </c>
      <c r="K786" s="18"/>
      <c r="L786" s="18" t="s">
        <v>1637</v>
      </c>
    </row>
    <row r="787">
      <c r="A787" s="18" t="s">
        <v>3379</v>
      </c>
      <c r="B787" s="18" t="s">
        <v>791</v>
      </c>
      <c r="C787" s="18" t="s">
        <v>3380</v>
      </c>
      <c r="D787" s="18"/>
      <c r="E787" s="18"/>
      <c r="F787" s="24">
        <v>1.0</v>
      </c>
      <c r="G787" s="18" t="s">
        <v>3380</v>
      </c>
      <c r="H787" s="18"/>
      <c r="I787" s="18"/>
      <c r="J787" s="18" t="s">
        <v>3381</v>
      </c>
      <c r="K787" s="18"/>
      <c r="L787" s="18"/>
    </row>
    <row r="788">
      <c r="A788" s="18" t="s">
        <v>3382</v>
      </c>
      <c r="B788" s="18" t="s">
        <v>791</v>
      </c>
      <c r="C788" s="18" t="s">
        <v>3383</v>
      </c>
      <c r="D788" s="18"/>
      <c r="E788" s="24">
        <v>8.5235256948E10</v>
      </c>
      <c r="F788" s="24">
        <v>1.0</v>
      </c>
      <c r="G788" s="18" t="s">
        <v>3383</v>
      </c>
      <c r="H788" s="18"/>
      <c r="I788" s="24">
        <v>8.5235256948E10</v>
      </c>
      <c r="J788" s="18" t="s">
        <v>3384</v>
      </c>
      <c r="K788" s="18"/>
      <c r="L788" s="18" t="s">
        <v>2689</v>
      </c>
    </row>
    <row r="789">
      <c r="A789" s="18" t="s">
        <v>3385</v>
      </c>
      <c r="B789" s="18" t="s">
        <v>791</v>
      </c>
      <c r="C789" s="18" t="s">
        <v>3386</v>
      </c>
      <c r="D789" s="18"/>
      <c r="E789" s="24">
        <v>8.9631436646E10</v>
      </c>
      <c r="F789" s="24">
        <v>1.0</v>
      </c>
      <c r="G789" s="18" t="s">
        <v>3386</v>
      </c>
      <c r="H789" s="18"/>
      <c r="I789" s="24">
        <v>8.9631436646E10</v>
      </c>
      <c r="J789" s="18" t="s">
        <v>3387</v>
      </c>
      <c r="K789" s="18"/>
      <c r="L789" s="18" t="s">
        <v>1637</v>
      </c>
    </row>
    <row r="790">
      <c r="A790" s="18" t="s">
        <v>3388</v>
      </c>
      <c r="B790" s="18" t="s">
        <v>791</v>
      </c>
      <c r="C790" s="18" t="s">
        <v>3389</v>
      </c>
      <c r="D790" s="18"/>
      <c r="E790" s="24">
        <v>8.5604575111E10</v>
      </c>
      <c r="F790" s="24">
        <v>1.0</v>
      </c>
      <c r="G790" s="18" t="s">
        <v>3389</v>
      </c>
      <c r="H790" s="18"/>
      <c r="I790" s="24">
        <v>8.5604575111E10</v>
      </c>
      <c r="J790" s="18" t="s">
        <v>3390</v>
      </c>
      <c r="K790" s="18"/>
      <c r="L790" s="18" t="s">
        <v>2458</v>
      </c>
    </row>
    <row r="791">
      <c r="A791" s="18" t="s">
        <v>3391</v>
      </c>
      <c r="B791" s="18" t="s">
        <v>791</v>
      </c>
      <c r="C791" s="18" t="s">
        <v>3392</v>
      </c>
      <c r="D791" s="18"/>
      <c r="E791" s="24">
        <v>8.5708105999E10</v>
      </c>
      <c r="F791" s="24">
        <v>1.0</v>
      </c>
      <c r="G791" s="18" t="s">
        <v>3392</v>
      </c>
      <c r="H791" s="18"/>
      <c r="I791" s="24">
        <v>8.5708105999E10</v>
      </c>
      <c r="J791" s="18" t="s">
        <v>3393</v>
      </c>
      <c r="K791" s="18"/>
      <c r="L791" s="18" t="s">
        <v>2523</v>
      </c>
    </row>
    <row r="792">
      <c r="A792" s="18" t="s">
        <v>3394</v>
      </c>
      <c r="B792" s="18" t="s">
        <v>791</v>
      </c>
      <c r="C792" s="18" t="s">
        <v>3395</v>
      </c>
      <c r="D792" s="18"/>
      <c r="E792" s="24">
        <v>8.5235256948E10</v>
      </c>
      <c r="F792" s="24">
        <v>1.0</v>
      </c>
      <c r="G792" s="18" t="s">
        <v>3395</v>
      </c>
      <c r="H792" s="18"/>
      <c r="I792" s="24">
        <v>8.5235256948E10</v>
      </c>
      <c r="J792" s="24">
        <v>3.52112311261001E15</v>
      </c>
      <c r="K792" s="18"/>
      <c r="L792" s="18" t="s">
        <v>2689</v>
      </c>
    </row>
    <row r="793">
      <c r="A793" s="18" t="s">
        <v>3396</v>
      </c>
      <c r="B793" s="18" t="s">
        <v>791</v>
      </c>
      <c r="C793" s="18" t="s">
        <v>3397</v>
      </c>
      <c r="D793" s="18"/>
      <c r="E793" s="24">
        <v>8.5704095477E10</v>
      </c>
      <c r="F793" s="24">
        <v>1.0</v>
      </c>
      <c r="G793" s="18" t="s">
        <v>3397</v>
      </c>
      <c r="H793" s="18"/>
      <c r="I793" s="24">
        <v>8.5704095477E10</v>
      </c>
      <c r="J793" s="18" t="s">
        <v>3398</v>
      </c>
      <c r="K793" s="18"/>
      <c r="L793" s="18" t="s">
        <v>2574</v>
      </c>
    </row>
    <row r="794">
      <c r="A794" s="18" t="s">
        <v>3399</v>
      </c>
      <c r="B794" s="18" t="s">
        <v>791</v>
      </c>
      <c r="C794" s="18" t="s">
        <v>3400</v>
      </c>
      <c r="D794" s="18"/>
      <c r="E794" s="24">
        <v>8.1252779695E10</v>
      </c>
      <c r="F794" s="24">
        <v>1.0</v>
      </c>
      <c r="G794" s="18" t="s">
        <v>3400</v>
      </c>
      <c r="H794" s="18"/>
      <c r="I794" s="24">
        <v>8.1252779695E10</v>
      </c>
      <c r="J794" s="18" t="s">
        <v>3401</v>
      </c>
      <c r="K794" s="18"/>
      <c r="L794" s="18" t="s">
        <v>1850</v>
      </c>
    </row>
    <row r="795">
      <c r="A795" s="18" t="s">
        <v>3402</v>
      </c>
      <c r="B795" s="18" t="s">
        <v>791</v>
      </c>
      <c r="C795" s="18" t="s">
        <v>3403</v>
      </c>
      <c r="D795" s="18"/>
      <c r="E795" s="24">
        <v>8.9631436646E10</v>
      </c>
      <c r="F795" s="24">
        <v>1.0</v>
      </c>
      <c r="G795" s="18" t="s">
        <v>3403</v>
      </c>
      <c r="H795" s="18"/>
      <c r="I795" s="24">
        <v>8.9631436646E10</v>
      </c>
      <c r="J795" s="24">
        <v>3.52102300650003E15</v>
      </c>
      <c r="K795" s="18"/>
      <c r="L795" s="18" t="s">
        <v>1637</v>
      </c>
    </row>
    <row r="796">
      <c r="A796" s="18" t="s">
        <v>3404</v>
      </c>
      <c r="B796" s="18" t="s">
        <v>791</v>
      </c>
      <c r="C796" s="18" t="s">
        <v>3405</v>
      </c>
      <c r="D796" s="18"/>
      <c r="E796" s="24">
        <v>8.563660184E9</v>
      </c>
      <c r="F796" s="24">
        <v>1.0</v>
      </c>
      <c r="G796" s="18" t="s">
        <v>3405</v>
      </c>
      <c r="H796" s="18"/>
      <c r="I796" s="24">
        <v>8.563660184E9</v>
      </c>
      <c r="J796" s="18" t="s">
        <v>3406</v>
      </c>
      <c r="K796" s="18"/>
      <c r="L796" s="18" t="s">
        <v>3407</v>
      </c>
    </row>
    <row r="797">
      <c r="A797" s="18" t="s">
        <v>3408</v>
      </c>
      <c r="B797" s="18" t="s">
        <v>791</v>
      </c>
      <c r="C797" s="18" t="s">
        <v>3409</v>
      </c>
      <c r="D797" s="18"/>
      <c r="E797" s="24">
        <v>8.2312388907E10</v>
      </c>
      <c r="F797" s="24">
        <v>1.0</v>
      </c>
      <c r="G797" s="18" t="s">
        <v>3409</v>
      </c>
      <c r="H797" s="18"/>
      <c r="I797" s="24">
        <v>8.2312388907E10</v>
      </c>
      <c r="J797" s="18" t="s">
        <v>3410</v>
      </c>
      <c r="K797" s="18"/>
      <c r="L797" s="18" t="s">
        <v>1914</v>
      </c>
    </row>
    <row r="798">
      <c r="A798" s="18" t="s">
        <v>3411</v>
      </c>
      <c r="B798" s="18" t="s">
        <v>791</v>
      </c>
      <c r="C798" s="18" t="s">
        <v>3412</v>
      </c>
      <c r="D798" s="18"/>
      <c r="E798" s="24">
        <v>8.5336837352E10</v>
      </c>
      <c r="F798" s="24">
        <v>1.0</v>
      </c>
      <c r="G798" s="18" t="s">
        <v>3412</v>
      </c>
      <c r="H798" s="18"/>
      <c r="I798" s="24">
        <v>8.5336837352E10</v>
      </c>
      <c r="J798" s="18" t="s">
        <v>3413</v>
      </c>
      <c r="K798" s="18"/>
      <c r="L798" s="18" t="s">
        <v>1482</v>
      </c>
    </row>
    <row r="799">
      <c r="A799" s="18" t="s">
        <v>3414</v>
      </c>
      <c r="B799" s="18" t="s">
        <v>791</v>
      </c>
      <c r="C799" s="18" t="s">
        <v>3415</v>
      </c>
      <c r="D799" s="18"/>
      <c r="E799" s="24">
        <v>8.2245442422E10</v>
      </c>
      <c r="F799" s="24">
        <v>1.0</v>
      </c>
      <c r="G799" s="18" t="s">
        <v>3415</v>
      </c>
      <c r="H799" s="18"/>
      <c r="I799" s="24">
        <v>8.2245442422E10</v>
      </c>
      <c r="J799" s="18" t="s">
        <v>3416</v>
      </c>
      <c r="K799" s="18"/>
      <c r="L799" s="18" t="s">
        <v>1637</v>
      </c>
    </row>
    <row r="800">
      <c r="A800" s="18" t="s">
        <v>3417</v>
      </c>
      <c r="B800" s="18" t="s">
        <v>791</v>
      </c>
      <c r="C800" s="18" t="s">
        <v>3418</v>
      </c>
      <c r="D800" s="18"/>
      <c r="E800" s="24">
        <v>8.1336184177E10</v>
      </c>
      <c r="F800" s="24">
        <v>1.0</v>
      </c>
      <c r="G800" s="18" t="s">
        <v>3418</v>
      </c>
      <c r="H800" s="18"/>
      <c r="I800" s="24">
        <v>8.1336184177E10</v>
      </c>
      <c r="J800" s="18" t="s">
        <v>3419</v>
      </c>
      <c r="K800" s="18"/>
      <c r="L800" s="18" t="s">
        <v>2032</v>
      </c>
    </row>
    <row r="801">
      <c r="A801" s="18" t="s">
        <v>3420</v>
      </c>
      <c r="B801" s="18" t="s">
        <v>791</v>
      </c>
      <c r="C801" s="18" t="s">
        <v>3421</v>
      </c>
      <c r="D801" s="18"/>
      <c r="E801" s="24">
        <v>8.134690852E9</v>
      </c>
      <c r="F801" s="24">
        <v>1.0</v>
      </c>
      <c r="G801" s="18" t="s">
        <v>3421</v>
      </c>
      <c r="H801" s="18"/>
      <c r="I801" s="24">
        <v>8.134690852E9</v>
      </c>
      <c r="J801" s="18" t="s">
        <v>3422</v>
      </c>
      <c r="K801" s="18"/>
      <c r="L801" s="18" t="s">
        <v>3423</v>
      </c>
    </row>
    <row r="802">
      <c r="A802" s="18" t="s">
        <v>3424</v>
      </c>
      <c r="B802" s="18" t="s">
        <v>791</v>
      </c>
      <c r="C802" s="18" t="s">
        <v>3425</v>
      </c>
      <c r="D802" s="18"/>
      <c r="E802" s="24">
        <v>8.1335441183E10</v>
      </c>
      <c r="F802" s="24">
        <v>1.0</v>
      </c>
      <c r="G802" s="18" t="s">
        <v>3425</v>
      </c>
      <c r="H802" s="18"/>
      <c r="I802" s="24">
        <v>8.1335441183E10</v>
      </c>
      <c r="J802" s="18" t="s">
        <v>3426</v>
      </c>
      <c r="K802" s="18"/>
      <c r="L802" s="18" t="s">
        <v>2146</v>
      </c>
    </row>
    <row r="803">
      <c r="A803" s="18" t="s">
        <v>3427</v>
      </c>
      <c r="B803" s="18" t="s">
        <v>791</v>
      </c>
      <c r="C803" s="18" t="s">
        <v>3428</v>
      </c>
      <c r="D803" s="18"/>
      <c r="E803" s="24">
        <v>8.2335355254E10</v>
      </c>
      <c r="F803" s="24">
        <v>1.0</v>
      </c>
      <c r="G803" s="18" t="s">
        <v>3428</v>
      </c>
      <c r="H803" s="18"/>
      <c r="I803" s="24">
        <v>8.2335355254E10</v>
      </c>
      <c r="J803" s="18" t="s">
        <v>3429</v>
      </c>
      <c r="K803" s="18"/>
      <c r="L803" s="18" t="s">
        <v>2022</v>
      </c>
    </row>
    <row r="804">
      <c r="A804" s="18" t="s">
        <v>3430</v>
      </c>
      <c r="B804" s="18" t="s">
        <v>791</v>
      </c>
      <c r="C804" s="18" t="s">
        <v>3431</v>
      </c>
      <c r="D804" s="18"/>
      <c r="E804" s="24">
        <v>8.2220299966E10</v>
      </c>
      <c r="F804" s="24">
        <v>1.0</v>
      </c>
      <c r="G804" s="18" t="s">
        <v>3431</v>
      </c>
      <c r="H804" s="18"/>
      <c r="I804" s="24">
        <v>8.2220299966E10</v>
      </c>
      <c r="J804" s="18" t="s">
        <v>3432</v>
      </c>
      <c r="K804" s="18"/>
      <c r="L804" s="18" t="s">
        <v>3433</v>
      </c>
    </row>
    <row r="805">
      <c r="A805" s="18" t="s">
        <v>3434</v>
      </c>
      <c r="B805" s="18" t="s">
        <v>791</v>
      </c>
      <c r="C805" s="18" t="s">
        <v>3435</v>
      </c>
      <c r="D805" s="18"/>
      <c r="E805" s="24">
        <v>8.5334523413E10</v>
      </c>
      <c r="F805" s="24">
        <v>1.0</v>
      </c>
      <c r="G805" s="18" t="s">
        <v>3435</v>
      </c>
      <c r="H805" s="18"/>
      <c r="I805" s="24">
        <v>8.5334523413E10</v>
      </c>
      <c r="J805" s="18" t="s">
        <v>3436</v>
      </c>
      <c r="K805" s="18"/>
      <c r="L805" s="18" t="s">
        <v>197</v>
      </c>
    </row>
    <row r="806">
      <c r="A806" s="18" t="s">
        <v>3437</v>
      </c>
      <c r="B806" s="18" t="s">
        <v>791</v>
      </c>
      <c r="C806" s="18" t="s">
        <v>3438</v>
      </c>
      <c r="D806" s="18"/>
      <c r="E806" s="24">
        <v>8.3845138563E10</v>
      </c>
      <c r="F806" s="24">
        <v>1.0</v>
      </c>
      <c r="G806" s="18" t="s">
        <v>3438</v>
      </c>
      <c r="H806" s="18"/>
      <c r="I806" s="24">
        <v>8.3845138563E10</v>
      </c>
      <c r="J806" s="18" t="s">
        <v>3439</v>
      </c>
      <c r="K806" s="18"/>
      <c r="L806" s="18" t="s">
        <v>3440</v>
      </c>
    </row>
    <row r="807">
      <c r="A807" s="18" t="s">
        <v>3441</v>
      </c>
      <c r="B807" s="18" t="s">
        <v>791</v>
      </c>
      <c r="C807" s="18" t="s">
        <v>3442</v>
      </c>
      <c r="D807" s="18"/>
      <c r="E807" s="24">
        <v>8.1527046505E10</v>
      </c>
      <c r="F807" s="24">
        <v>1.0</v>
      </c>
      <c r="G807" s="18" t="s">
        <v>3442</v>
      </c>
      <c r="H807" s="18"/>
      <c r="I807" s="24">
        <v>8.1527046505E10</v>
      </c>
      <c r="J807" s="24">
        <v>3.52109011050001E15</v>
      </c>
      <c r="K807" s="18"/>
      <c r="L807" s="18" t="s">
        <v>1817</v>
      </c>
    </row>
    <row r="808">
      <c r="A808" s="18" t="s">
        <v>3443</v>
      </c>
      <c r="B808" s="18" t="s">
        <v>791</v>
      </c>
      <c r="C808" s="18" t="s">
        <v>3444</v>
      </c>
      <c r="D808" s="18"/>
      <c r="E808" s="24">
        <v>8.1330720631E10</v>
      </c>
      <c r="F808" s="24">
        <v>1.0</v>
      </c>
      <c r="G808" s="18" t="s">
        <v>3444</v>
      </c>
      <c r="H808" s="18"/>
      <c r="I808" s="24">
        <v>8.1330720631E10</v>
      </c>
      <c r="J808" s="18" t="s">
        <v>3445</v>
      </c>
      <c r="K808" s="18"/>
      <c r="L808" s="18" t="s">
        <v>1681</v>
      </c>
    </row>
    <row r="809">
      <c r="A809" s="18" t="s">
        <v>3446</v>
      </c>
      <c r="B809" s="18" t="s">
        <v>791</v>
      </c>
      <c r="C809" s="18" t="s">
        <v>3447</v>
      </c>
      <c r="D809" s="18"/>
      <c r="E809" s="24">
        <v>8.1330720631E10</v>
      </c>
      <c r="F809" s="24">
        <v>1.0</v>
      </c>
      <c r="G809" s="18" t="s">
        <v>3447</v>
      </c>
      <c r="H809" s="18"/>
      <c r="I809" s="24">
        <v>8.1330720631E10</v>
      </c>
      <c r="J809" s="18" t="s">
        <v>3448</v>
      </c>
      <c r="K809" s="18"/>
      <c r="L809" s="18" t="s">
        <v>1681</v>
      </c>
    </row>
    <row r="810">
      <c r="A810" s="18" t="s">
        <v>3449</v>
      </c>
      <c r="B810" s="18" t="s">
        <v>791</v>
      </c>
      <c r="C810" s="18" t="s">
        <v>3450</v>
      </c>
      <c r="D810" s="18"/>
      <c r="E810" s="24">
        <v>8.5229882642E10</v>
      </c>
      <c r="F810" s="24">
        <v>1.0</v>
      </c>
      <c r="G810" s="18" t="s">
        <v>3450</v>
      </c>
      <c r="H810" s="18"/>
      <c r="I810" s="24">
        <v>8.5229882642E10</v>
      </c>
      <c r="J810" s="18" t="s">
        <v>3451</v>
      </c>
      <c r="K810" s="18"/>
      <c r="L810" s="18" t="s">
        <v>3452</v>
      </c>
    </row>
    <row r="811">
      <c r="A811" s="18" t="s">
        <v>3453</v>
      </c>
      <c r="B811" s="18" t="s">
        <v>791</v>
      </c>
      <c r="C811" s="18" t="s">
        <v>3454</v>
      </c>
      <c r="D811" s="18"/>
      <c r="E811" s="24">
        <v>8.2225917415E10</v>
      </c>
      <c r="F811" s="24">
        <v>1.0</v>
      </c>
      <c r="G811" s="18" t="s">
        <v>3454</v>
      </c>
      <c r="H811" s="18"/>
      <c r="I811" s="24">
        <v>8.2225917415E10</v>
      </c>
      <c r="J811" s="18" t="s">
        <v>3455</v>
      </c>
      <c r="K811" s="18"/>
      <c r="L811" s="18" t="s">
        <v>3456</v>
      </c>
    </row>
    <row r="812">
      <c r="A812" s="18" t="s">
        <v>3457</v>
      </c>
      <c r="B812" s="18" t="s">
        <v>791</v>
      </c>
      <c r="C812" s="18" t="s">
        <v>3458</v>
      </c>
      <c r="D812" s="18"/>
      <c r="E812" s="24">
        <v>8.1359544001E10</v>
      </c>
      <c r="F812" s="24">
        <v>1.0</v>
      </c>
      <c r="G812" s="18" t="s">
        <v>3458</v>
      </c>
      <c r="H812" s="18"/>
      <c r="I812" s="24">
        <v>8.1359544001E10</v>
      </c>
      <c r="J812" s="18" t="s">
        <v>3459</v>
      </c>
      <c r="K812" s="18"/>
      <c r="L812" s="18" t="s">
        <v>2159</v>
      </c>
    </row>
    <row r="813">
      <c r="A813" s="18" t="s">
        <v>3460</v>
      </c>
      <c r="B813" s="18" t="s">
        <v>791</v>
      </c>
      <c r="C813" s="18" t="s">
        <v>3461</v>
      </c>
      <c r="D813" s="18"/>
      <c r="E813" s="24">
        <v>8.5334523413E10</v>
      </c>
      <c r="F813" s="24">
        <v>1.0</v>
      </c>
      <c r="G813" s="18" t="s">
        <v>3461</v>
      </c>
      <c r="H813" s="18"/>
      <c r="I813" s="24">
        <v>8.5334523413E10</v>
      </c>
      <c r="J813" s="18" t="s">
        <v>3462</v>
      </c>
      <c r="K813" s="18"/>
      <c r="L813" s="18" t="s">
        <v>197</v>
      </c>
    </row>
    <row r="814">
      <c r="A814" s="18" t="s">
        <v>3463</v>
      </c>
      <c r="B814" s="18" t="s">
        <v>791</v>
      </c>
      <c r="C814" s="18" t="s">
        <v>3464</v>
      </c>
      <c r="D814" s="18"/>
      <c r="E814" s="24">
        <v>8.2337029948E10</v>
      </c>
      <c r="F814" s="24">
        <v>1.0</v>
      </c>
      <c r="G814" s="18" t="s">
        <v>3464</v>
      </c>
      <c r="H814" s="18"/>
      <c r="I814" s="24">
        <v>8.2337029948E10</v>
      </c>
      <c r="J814" s="18" t="s">
        <v>3465</v>
      </c>
      <c r="K814" s="18"/>
      <c r="L814" s="18" t="s">
        <v>3202</v>
      </c>
    </row>
    <row r="815">
      <c r="A815" s="18" t="s">
        <v>3466</v>
      </c>
      <c r="B815" s="18" t="s">
        <v>791</v>
      </c>
      <c r="C815" s="18" t="s">
        <v>3467</v>
      </c>
      <c r="D815" s="18"/>
      <c r="E815" s="24">
        <v>8.5748519088E10</v>
      </c>
      <c r="F815" s="24">
        <v>1.0</v>
      </c>
      <c r="G815" s="18" t="s">
        <v>3467</v>
      </c>
      <c r="H815" s="18"/>
      <c r="I815" s="24">
        <v>8.5748519088E10</v>
      </c>
      <c r="J815" s="18" t="s">
        <v>3468</v>
      </c>
      <c r="K815" s="18"/>
      <c r="L815" s="18" t="s">
        <v>1881</v>
      </c>
    </row>
    <row r="816">
      <c r="A816" s="18" t="s">
        <v>3469</v>
      </c>
      <c r="B816" s="18" t="s">
        <v>791</v>
      </c>
      <c r="C816" s="18" t="s">
        <v>3470</v>
      </c>
      <c r="D816" s="18"/>
      <c r="E816" s="24">
        <v>8.230185852E10</v>
      </c>
      <c r="F816" s="24">
        <v>1.0</v>
      </c>
      <c r="G816" s="18" t="s">
        <v>3470</v>
      </c>
      <c r="H816" s="18"/>
      <c r="I816" s="24">
        <v>8.230185852E10</v>
      </c>
      <c r="J816" s="18" t="s">
        <v>3471</v>
      </c>
      <c r="K816" s="18"/>
      <c r="L816" s="18" t="s">
        <v>1854</v>
      </c>
    </row>
    <row r="817">
      <c r="A817" s="18" t="s">
        <v>3472</v>
      </c>
      <c r="B817" s="18" t="s">
        <v>791</v>
      </c>
      <c r="C817" s="18" t="s">
        <v>3470</v>
      </c>
      <c r="D817" s="18"/>
      <c r="E817" s="24">
        <v>8.5232745388E10</v>
      </c>
      <c r="F817" s="24">
        <v>1.0</v>
      </c>
      <c r="G817" s="18" t="s">
        <v>3470</v>
      </c>
      <c r="H817" s="18"/>
      <c r="I817" s="24">
        <v>8.5232745388E10</v>
      </c>
      <c r="J817" s="18" t="s">
        <v>3473</v>
      </c>
      <c r="K817" s="18"/>
      <c r="L817" s="18" t="s">
        <v>3115</v>
      </c>
    </row>
    <row r="818">
      <c r="A818" s="18" t="s">
        <v>3474</v>
      </c>
      <c r="B818" s="18" t="s">
        <v>791</v>
      </c>
      <c r="C818" s="18" t="s">
        <v>3475</v>
      </c>
      <c r="D818" s="18"/>
      <c r="E818" s="24">
        <v>8.5102849114E10</v>
      </c>
      <c r="F818" s="24">
        <v>1.0</v>
      </c>
      <c r="G818" s="18" t="s">
        <v>3475</v>
      </c>
      <c r="H818" s="18"/>
      <c r="I818" s="24">
        <v>8.5102849114E10</v>
      </c>
      <c r="J818" s="18" t="s">
        <v>3476</v>
      </c>
      <c r="K818" s="18"/>
      <c r="L818" s="18" t="s">
        <v>1474</v>
      </c>
    </row>
    <row r="819">
      <c r="A819" s="18" t="s">
        <v>3477</v>
      </c>
      <c r="B819" s="18" t="s">
        <v>791</v>
      </c>
      <c r="C819" s="18" t="s">
        <v>3478</v>
      </c>
      <c r="D819" s="18"/>
      <c r="E819" s="24">
        <v>8.5790608277E10</v>
      </c>
      <c r="F819" s="24">
        <v>1.0</v>
      </c>
      <c r="G819" s="18" t="s">
        <v>3478</v>
      </c>
      <c r="H819" s="18"/>
      <c r="I819" s="24">
        <v>8.5790608277E10</v>
      </c>
      <c r="J819" s="18" t="s">
        <v>3479</v>
      </c>
      <c r="K819" s="18"/>
      <c r="L819" s="18" t="s">
        <v>3480</v>
      </c>
    </row>
    <row r="820">
      <c r="A820" s="18" t="s">
        <v>3481</v>
      </c>
      <c r="B820" s="18" t="s">
        <v>791</v>
      </c>
      <c r="C820" s="18" t="s">
        <v>3482</v>
      </c>
      <c r="D820" s="18"/>
      <c r="E820" s="24">
        <v>8.5708105999E10</v>
      </c>
      <c r="F820" s="24">
        <v>1.0</v>
      </c>
      <c r="G820" s="18" t="s">
        <v>3482</v>
      </c>
      <c r="H820" s="18"/>
      <c r="I820" s="24">
        <v>8.5708105999E10</v>
      </c>
      <c r="J820" s="18" t="s">
        <v>3483</v>
      </c>
      <c r="K820" s="18"/>
      <c r="L820" s="18" t="s">
        <v>2523</v>
      </c>
    </row>
    <row r="821">
      <c r="A821" s="18" t="s">
        <v>3484</v>
      </c>
      <c r="B821" s="18" t="s">
        <v>791</v>
      </c>
      <c r="C821" s="18" t="s">
        <v>3485</v>
      </c>
      <c r="D821" s="18"/>
      <c r="E821" s="24">
        <v>8.5235647267E10</v>
      </c>
      <c r="F821" s="24">
        <v>1.0</v>
      </c>
      <c r="G821" s="18" t="s">
        <v>3485</v>
      </c>
      <c r="H821" s="18"/>
      <c r="I821" s="24">
        <v>8.5235647267E10</v>
      </c>
      <c r="J821" s="18" t="s">
        <v>3486</v>
      </c>
      <c r="K821" s="18"/>
      <c r="L821" s="18" t="s">
        <v>2036</v>
      </c>
    </row>
    <row r="822">
      <c r="A822" s="18" t="s">
        <v>3487</v>
      </c>
      <c r="B822" s="18" t="s">
        <v>791</v>
      </c>
      <c r="C822" s="18" t="s">
        <v>3488</v>
      </c>
      <c r="D822" s="18"/>
      <c r="E822" s="24">
        <v>8.5290198439E10</v>
      </c>
      <c r="F822" s="24">
        <v>1.0</v>
      </c>
      <c r="G822" s="18" t="s">
        <v>3488</v>
      </c>
      <c r="H822" s="18"/>
      <c r="I822" s="24">
        <v>8.5290198439E10</v>
      </c>
      <c r="J822" s="18" t="s">
        <v>3489</v>
      </c>
      <c r="K822" s="18"/>
      <c r="L822" s="18" t="s">
        <v>3346</v>
      </c>
    </row>
    <row r="823">
      <c r="A823" s="18" t="s">
        <v>3490</v>
      </c>
      <c r="B823" s="18" t="s">
        <v>791</v>
      </c>
      <c r="C823" s="18" t="s">
        <v>3491</v>
      </c>
      <c r="D823" s="18"/>
      <c r="E823" s="24">
        <v>8.5784518176E10</v>
      </c>
      <c r="F823" s="24">
        <v>1.0</v>
      </c>
      <c r="G823" s="18" t="s">
        <v>3491</v>
      </c>
      <c r="H823" s="18"/>
      <c r="I823" s="24">
        <v>8.5784518176E10</v>
      </c>
      <c r="J823" s="18" t="s">
        <v>3492</v>
      </c>
      <c r="K823" s="18"/>
      <c r="L823" s="18" t="s">
        <v>3493</v>
      </c>
    </row>
    <row r="824">
      <c r="A824" s="18" t="s">
        <v>3494</v>
      </c>
      <c r="B824" s="18" t="s">
        <v>791</v>
      </c>
      <c r="C824" s="18" t="s">
        <v>3491</v>
      </c>
      <c r="D824" s="18"/>
      <c r="E824" s="24">
        <v>8.1359598141E10</v>
      </c>
      <c r="F824" s="24">
        <v>1.0</v>
      </c>
      <c r="G824" s="18" t="s">
        <v>3491</v>
      </c>
      <c r="H824" s="18"/>
      <c r="I824" s="24">
        <v>8.1359598141E10</v>
      </c>
      <c r="J824" s="18" t="s">
        <v>3495</v>
      </c>
      <c r="K824" s="18"/>
      <c r="L824" s="18" t="s">
        <v>129</v>
      </c>
    </row>
    <row r="825">
      <c r="A825" s="18" t="s">
        <v>3496</v>
      </c>
      <c r="B825" s="18" t="s">
        <v>791</v>
      </c>
      <c r="C825" s="18" t="s">
        <v>3497</v>
      </c>
      <c r="D825" s="18"/>
      <c r="E825" s="24">
        <v>8.1359544001E10</v>
      </c>
      <c r="F825" s="24">
        <v>1.0</v>
      </c>
      <c r="G825" s="18" t="s">
        <v>3497</v>
      </c>
      <c r="H825" s="18"/>
      <c r="I825" s="24">
        <v>8.1359544001E10</v>
      </c>
      <c r="J825" s="18" t="s">
        <v>3498</v>
      </c>
      <c r="K825" s="18"/>
      <c r="L825" s="18" t="s">
        <v>2159</v>
      </c>
    </row>
    <row r="826">
      <c r="A826" s="18" t="s">
        <v>3499</v>
      </c>
      <c r="B826" s="18" t="s">
        <v>791</v>
      </c>
      <c r="C826" s="18" t="s">
        <v>3500</v>
      </c>
      <c r="D826" s="18"/>
      <c r="E826" s="24">
        <v>8.5649010902E10</v>
      </c>
      <c r="F826" s="24">
        <v>1.0</v>
      </c>
      <c r="G826" s="18" t="s">
        <v>3500</v>
      </c>
      <c r="H826" s="18"/>
      <c r="I826" s="24">
        <v>8.5649010902E10</v>
      </c>
      <c r="J826" s="18" t="s">
        <v>3501</v>
      </c>
      <c r="K826" s="18"/>
      <c r="L826" s="18" t="s">
        <v>3273</v>
      </c>
    </row>
    <row r="827">
      <c r="A827" s="18" t="s">
        <v>3502</v>
      </c>
      <c r="B827" s="18" t="s">
        <v>791</v>
      </c>
      <c r="C827" s="18" t="s">
        <v>3503</v>
      </c>
      <c r="D827" s="18"/>
      <c r="E827" s="24">
        <v>8.2245442422E10</v>
      </c>
      <c r="F827" s="24">
        <v>1.0</v>
      </c>
      <c r="G827" s="18" t="s">
        <v>3503</v>
      </c>
      <c r="H827" s="18"/>
      <c r="I827" s="24">
        <v>8.2245442422E10</v>
      </c>
      <c r="J827" s="18" t="s">
        <v>3504</v>
      </c>
      <c r="K827" s="18"/>
      <c r="L827" s="18" t="s">
        <v>1637</v>
      </c>
    </row>
    <row r="828">
      <c r="A828" s="18" t="s">
        <v>3505</v>
      </c>
      <c r="B828" s="18" t="s">
        <v>791</v>
      </c>
      <c r="C828" s="18" t="s">
        <v>3506</v>
      </c>
      <c r="D828" s="18"/>
      <c r="E828" s="24">
        <v>8.5748519088E10</v>
      </c>
      <c r="F828" s="24">
        <v>1.0</v>
      </c>
      <c r="G828" s="18" t="s">
        <v>3506</v>
      </c>
      <c r="H828" s="18"/>
      <c r="I828" s="24">
        <v>8.5748519088E10</v>
      </c>
      <c r="J828" s="18" t="s">
        <v>3507</v>
      </c>
      <c r="K828" s="18"/>
      <c r="L828" s="18" t="s">
        <v>1881</v>
      </c>
    </row>
    <row r="829">
      <c r="A829" s="18" t="s">
        <v>3508</v>
      </c>
      <c r="B829" s="18" t="s">
        <v>791</v>
      </c>
      <c r="C829" s="18" t="s">
        <v>3509</v>
      </c>
      <c r="D829" s="18"/>
      <c r="E829" s="24">
        <v>8.2140637531E10</v>
      </c>
      <c r="F829" s="24">
        <v>1.0</v>
      </c>
      <c r="G829" s="18" t="s">
        <v>3509</v>
      </c>
      <c r="H829" s="18"/>
      <c r="I829" s="24">
        <v>8.2140637531E10</v>
      </c>
      <c r="J829" s="18" t="s">
        <v>3510</v>
      </c>
      <c r="K829" s="18"/>
      <c r="L829" s="18" t="s">
        <v>3511</v>
      </c>
    </row>
    <row r="830">
      <c r="A830" s="18" t="s">
        <v>1134</v>
      </c>
      <c r="B830" s="18" t="s">
        <v>791</v>
      </c>
      <c r="C830" s="18" t="s">
        <v>1136</v>
      </c>
      <c r="D830" s="18" t="s">
        <v>1137</v>
      </c>
      <c r="E830" s="24">
        <v>8.5236136662E10</v>
      </c>
      <c r="F830" s="24">
        <v>1.0</v>
      </c>
      <c r="G830" s="18" t="s">
        <v>1136</v>
      </c>
      <c r="H830" s="18" t="s">
        <v>1137</v>
      </c>
      <c r="I830" s="24">
        <v>8.5236136662E10</v>
      </c>
      <c r="J830" s="18" t="s">
        <v>1135</v>
      </c>
      <c r="K830" s="18" t="s">
        <v>1135</v>
      </c>
      <c r="L830" s="18" t="s">
        <v>1138</v>
      </c>
    </row>
    <row r="831">
      <c r="A831" s="18" t="s">
        <v>3512</v>
      </c>
      <c r="B831" s="18" t="s">
        <v>791</v>
      </c>
      <c r="C831" s="18" t="s">
        <v>3513</v>
      </c>
      <c r="D831" s="18"/>
      <c r="E831" s="24">
        <v>8.2269791231E10</v>
      </c>
      <c r="F831" s="24">
        <v>1.0</v>
      </c>
      <c r="G831" s="18" t="s">
        <v>3513</v>
      </c>
      <c r="H831" s="18"/>
      <c r="I831" s="24">
        <v>8.2269791231E10</v>
      </c>
      <c r="J831" s="18" t="s">
        <v>3514</v>
      </c>
      <c r="K831" s="18"/>
      <c r="L831" s="18" t="s">
        <v>3515</v>
      </c>
    </row>
    <row r="832">
      <c r="A832" s="18" t="s">
        <v>3516</v>
      </c>
      <c r="B832" s="18" t="s">
        <v>791</v>
      </c>
      <c r="C832" s="18" t="s">
        <v>3517</v>
      </c>
      <c r="D832" s="18"/>
      <c r="E832" s="24">
        <v>8.5645477374E10</v>
      </c>
      <c r="F832" s="24">
        <v>1.0</v>
      </c>
      <c r="G832" s="18" t="s">
        <v>3517</v>
      </c>
      <c r="H832" s="18"/>
      <c r="I832" s="24">
        <v>8.5645477374E10</v>
      </c>
      <c r="J832" s="18" t="s">
        <v>3518</v>
      </c>
      <c r="K832" s="18"/>
      <c r="L832" s="18" t="s">
        <v>1830</v>
      </c>
    </row>
    <row r="833">
      <c r="A833" s="18" t="s">
        <v>3519</v>
      </c>
      <c r="B833" s="18" t="s">
        <v>791</v>
      </c>
      <c r="C833" s="18" t="s">
        <v>3520</v>
      </c>
      <c r="D833" s="18"/>
      <c r="E833" s="18"/>
      <c r="F833" s="24">
        <v>1.0</v>
      </c>
      <c r="G833" s="18" t="s">
        <v>3520</v>
      </c>
      <c r="H833" s="18"/>
      <c r="I833" s="18"/>
      <c r="J833" s="18" t="s">
        <v>3521</v>
      </c>
      <c r="K833" s="18"/>
      <c r="L833" s="18"/>
    </row>
    <row r="834">
      <c r="A834" s="18" t="s">
        <v>3522</v>
      </c>
      <c r="B834" s="18" t="s">
        <v>791</v>
      </c>
      <c r="C834" s="18" t="s">
        <v>3523</v>
      </c>
      <c r="D834" s="18"/>
      <c r="E834" s="18"/>
      <c r="F834" s="24">
        <v>1.0</v>
      </c>
      <c r="G834" s="18" t="s">
        <v>3523</v>
      </c>
      <c r="H834" s="18"/>
      <c r="I834" s="18"/>
      <c r="J834" s="18" t="s">
        <v>3524</v>
      </c>
      <c r="K834" s="18"/>
      <c r="L834" s="18"/>
    </row>
    <row r="835">
      <c r="A835" s="18" t="s">
        <v>3525</v>
      </c>
      <c r="B835" s="18" t="s">
        <v>791</v>
      </c>
      <c r="C835" s="18" t="s">
        <v>3526</v>
      </c>
      <c r="D835" s="18"/>
      <c r="E835" s="24">
        <v>8.5708015999E10</v>
      </c>
      <c r="F835" s="24">
        <v>1.0</v>
      </c>
      <c r="G835" s="18" t="s">
        <v>3526</v>
      </c>
      <c r="H835" s="18"/>
      <c r="I835" s="24">
        <v>8.5708015999E10</v>
      </c>
      <c r="J835" s="18" t="s">
        <v>3527</v>
      </c>
      <c r="K835" s="18"/>
      <c r="L835" s="18" t="s">
        <v>2430</v>
      </c>
    </row>
    <row r="836">
      <c r="A836" s="18" t="s">
        <v>3528</v>
      </c>
      <c r="B836" s="18" t="s">
        <v>791</v>
      </c>
      <c r="C836" s="18" t="s">
        <v>3529</v>
      </c>
      <c r="D836" s="18"/>
      <c r="E836" s="24">
        <v>8.5645477374E10</v>
      </c>
      <c r="F836" s="24">
        <v>1.0</v>
      </c>
      <c r="G836" s="18" t="s">
        <v>3529</v>
      </c>
      <c r="H836" s="18"/>
      <c r="I836" s="24">
        <v>8.5645477374E10</v>
      </c>
      <c r="J836" s="18" t="s">
        <v>3530</v>
      </c>
      <c r="K836" s="18"/>
      <c r="L836" s="18" t="s">
        <v>2584</v>
      </c>
    </row>
    <row r="837">
      <c r="A837" s="18" t="s">
        <v>3531</v>
      </c>
      <c r="B837" s="18" t="s">
        <v>791</v>
      </c>
      <c r="C837" s="18" t="s">
        <v>3532</v>
      </c>
      <c r="D837" s="18"/>
      <c r="E837" s="24">
        <v>8.5755015044E10</v>
      </c>
      <c r="F837" s="24">
        <v>1.0</v>
      </c>
      <c r="G837" s="18" t="s">
        <v>3532</v>
      </c>
      <c r="H837" s="18"/>
      <c r="I837" s="24">
        <v>8.5755015044E10</v>
      </c>
      <c r="J837" s="18" t="s">
        <v>3533</v>
      </c>
      <c r="K837" s="18"/>
      <c r="L837" s="18" t="s">
        <v>3534</v>
      </c>
    </row>
    <row r="838">
      <c r="A838" s="18" t="s">
        <v>3535</v>
      </c>
      <c r="B838" s="18" t="s">
        <v>791</v>
      </c>
      <c r="C838" s="18" t="s">
        <v>3536</v>
      </c>
      <c r="D838" s="18"/>
      <c r="E838" s="24">
        <v>8.525920211E10</v>
      </c>
      <c r="F838" s="24">
        <v>1.0</v>
      </c>
      <c r="G838" s="18" t="s">
        <v>3536</v>
      </c>
      <c r="H838" s="18"/>
      <c r="I838" s="24">
        <v>8.525920211E10</v>
      </c>
      <c r="J838" s="18" t="s">
        <v>3538</v>
      </c>
      <c r="K838" s="18"/>
      <c r="L838" s="18" t="s">
        <v>2398</v>
      </c>
    </row>
    <row r="839">
      <c r="A839" s="18" t="s">
        <v>3539</v>
      </c>
      <c r="B839" s="18" t="s">
        <v>791</v>
      </c>
      <c r="C839" s="18" t="s">
        <v>3540</v>
      </c>
      <c r="D839" s="18"/>
      <c r="E839" s="24">
        <v>8.5730115095E10</v>
      </c>
      <c r="F839" s="24">
        <v>1.0</v>
      </c>
      <c r="G839" s="18" t="s">
        <v>3540</v>
      </c>
      <c r="H839" s="18"/>
      <c r="I839" s="24">
        <v>8.5730115095E10</v>
      </c>
      <c r="J839" s="18" t="s">
        <v>3541</v>
      </c>
      <c r="K839" s="18"/>
      <c r="L839" s="18" t="s">
        <v>2114</v>
      </c>
    </row>
    <row r="840">
      <c r="A840" s="18" t="s">
        <v>3542</v>
      </c>
      <c r="B840" s="18" t="s">
        <v>791</v>
      </c>
      <c r="C840" s="18" t="s">
        <v>3543</v>
      </c>
      <c r="D840" s="18"/>
      <c r="E840" s="24">
        <v>8.5235647267E10</v>
      </c>
      <c r="F840" s="24">
        <v>1.0</v>
      </c>
      <c r="G840" s="18" t="s">
        <v>3543</v>
      </c>
      <c r="H840" s="18"/>
      <c r="I840" s="24">
        <v>8.5235647267E10</v>
      </c>
      <c r="J840" s="18" t="s">
        <v>3545</v>
      </c>
      <c r="K840" s="18"/>
      <c r="L840" s="18" t="s">
        <v>2036</v>
      </c>
    </row>
    <row r="841">
      <c r="A841" s="18" t="s">
        <v>3546</v>
      </c>
      <c r="B841" s="18" t="s">
        <v>791</v>
      </c>
      <c r="C841" s="18" t="s">
        <v>3547</v>
      </c>
      <c r="D841" s="18"/>
      <c r="E841" s="24">
        <v>8.5735593528E10</v>
      </c>
      <c r="F841" s="24">
        <v>1.0</v>
      </c>
      <c r="G841" s="18" t="s">
        <v>3547</v>
      </c>
      <c r="H841" s="18"/>
      <c r="I841" s="24">
        <v>8.5735593528E10</v>
      </c>
      <c r="J841" s="18" t="s">
        <v>3548</v>
      </c>
      <c r="K841" s="18"/>
      <c r="L841" s="18" t="s">
        <v>1503</v>
      </c>
    </row>
    <row r="842">
      <c r="A842" s="18" t="s">
        <v>3549</v>
      </c>
      <c r="B842" s="18" t="s">
        <v>791</v>
      </c>
      <c r="C842" s="18" t="s">
        <v>3550</v>
      </c>
      <c r="D842" s="18"/>
      <c r="E842" s="24">
        <v>8.5235672001E10</v>
      </c>
      <c r="F842" s="24">
        <v>1.0</v>
      </c>
      <c r="G842" s="18" t="s">
        <v>3550</v>
      </c>
      <c r="H842" s="18"/>
      <c r="I842" s="24">
        <v>8.5235672001E10</v>
      </c>
      <c r="J842" s="18" t="s">
        <v>3551</v>
      </c>
      <c r="K842" s="18"/>
      <c r="L842" s="18" t="s">
        <v>3552</v>
      </c>
    </row>
    <row r="843">
      <c r="A843" s="18" t="s">
        <v>3553</v>
      </c>
      <c r="B843" s="18" t="s">
        <v>791</v>
      </c>
      <c r="C843" s="18" t="s">
        <v>3554</v>
      </c>
      <c r="D843" s="18"/>
      <c r="E843" s="24">
        <v>8.5731087592E10</v>
      </c>
      <c r="F843" s="24">
        <v>1.0</v>
      </c>
      <c r="G843" s="18" t="s">
        <v>3554</v>
      </c>
      <c r="H843" s="18"/>
      <c r="I843" s="24">
        <v>8.5731087592E10</v>
      </c>
      <c r="J843" s="18" t="s">
        <v>3555</v>
      </c>
      <c r="K843" s="18"/>
      <c r="L843" s="18" t="s">
        <v>3556</v>
      </c>
    </row>
    <row r="844">
      <c r="A844" s="18" t="s">
        <v>3557</v>
      </c>
      <c r="B844" s="18" t="s">
        <v>791</v>
      </c>
      <c r="C844" s="18" t="s">
        <v>3558</v>
      </c>
      <c r="D844" s="18"/>
      <c r="E844" s="24">
        <v>8.5235919085E10</v>
      </c>
      <c r="F844" s="24">
        <v>1.0</v>
      </c>
      <c r="G844" s="18" t="s">
        <v>3558</v>
      </c>
      <c r="H844" s="18"/>
      <c r="I844" s="24">
        <v>8.5235919085E10</v>
      </c>
      <c r="J844" s="18" t="s">
        <v>3559</v>
      </c>
      <c r="K844" s="18"/>
      <c r="L844" s="18" t="s">
        <v>3560</v>
      </c>
    </row>
    <row r="845">
      <c r="A845" s="18" t="s">
        <v>3561</v>
      </c>
      <c r="B845" s="18" t="s">
        <v>791</v>
      </c>
      <c r="C845" s="18" t="s">
        <v>3562</v>
      </c>
      <c r="D845" s="18"/>
      <c r="E845" s="24">
        <v>8.135975241E10</v>
      </c>
      <c r="F845" s="24">
        <v>1.0</v>
      </c>
      <c r="G845" s="18" t="s">
        <v>3562</v>
      </c>
      <c r="H845" s="18"/>
      <c r="I845" s="24">
        <v>8.135975241E10</v>
      </c>
      <c r="J845" s="18" t="s">
        <v>3563</v>
      </c>
      <c r="K845" s="18"/>
      <c r="L845" s="18" t="s">
        <v>1914</v>
      </c>
    </row>
    <row r="846">
      <c r="A846" s="18" t="s">
        <v>3564</v>
      </c>
      <c r="B846" s="18" t="s">
        <v>791</v>
      </c>
      <c r="C846" s="18" t="s">
        <v>3565</v>
      </c>
      <c r="D846" s="18"/>
      <c r="E846" s="24">
        <v>8.5235647267E10</v>
      </c>
      <c r="F846" s="24">
        <v>1.0</v>
      </c>
      <c r="G846" s="18" t="s">
        <v>3565</v>
      </c>
      <c r="H846" s="18"/>
      <c r="I846" s="24">
        <v>8.5235647267E10</v>
      </c>
      <c r="J846" s="18" t="s">
        <v>3566</v>
      </c>
      <c r="K846" s="18"/>
      <c r="L846" s="18" t="s">
        <v>2036</v>
      </c>
    </row>
    <row r="847">
      <c r="A847" s="18" t="s">
        <v>3567</v>
      </c>
      <c r="B847" s="18" t="s">
        <v>791</v>
      </c>
      <c r="C847" s="18" t="s">
        <v>3568</v>
      </c>
      <c r="D847" s="18"/>
      <c r="E847" s="24">
        <v>8.5330778688E10</v>
      </c>
      <c r="F847" s="24">
        <v>1.0</v>
      </c>
      <c r="G847" s="18" t="s">
        <v>3568</v>
      </c>
      <c r="H847" s="18"/>
      <c r="I847" s="24">
        <v>8.5330778688E10</v>
      </c>
      <c r="J847" s="18" t="s">
        <v>3569</v>
      </c>
      <c r="K847" s="18"/>
      <c r="L847" s="18" t="s">
        <v>1493</v>
      </c>
    </row>
    <row r="848">
      <c r="A848" s="18" t="s">
        <v>3570</v>
      </c>
      <c r="B848" s="18" t="s">
        <v>791</v>
      </c>
      <c r="C848" s="18" t="s">
        <v>3571</v>
      </c>
      <c r="D848" s="18"/>
      <c r="E848" s="24">
        <v>8.5233711713E10</v>
      </c>
      <c r="F848" s="24">
        <v>1.0</v>
      </c>
      <c r="G848" s="18" t="s">
        <v>3571</v>
      </c>
      <c r="H848" s="18"/>
      <c r="I848" s="24">
        <v>8.5233711713E10</v>
      </c>
      <c r="J848" s="18" t="s">
        <v>3572</v>
      </c>
      <c r="K848" s="18"/>
      <c r="L848" s="18" t="s">
        <v>2471</v>
      </c>
    </row>
    <row r="849">
      <c r="A849" s="18" t="s">
        <v>3573</v>
      </c>
      <c r="B849" s="18" t="s">
        <v>791</v>
      </c>
      <c r="C849" s="18" t="s">
        <v>3574</v>
      </c>
      <c r="D849" s="18"/>
      <c r="E849" s="24">
        <v>8.223252301E10</v>
      </c>
      <c r="F849" s="24">
        <v>1.0</v>
      </c>
      <c r="G849" s="18" t="s">
        <v>3574</v>
      </c>
      <c r="H849" s="18"/>
      <c r="I849" s="24">
        <v>8.223252301E10</v>
      </c>
      <c r="J849" s="18" t="s">
        <v>3575</v>
      </c>
      <c r="K849" s="18"/>
      <c r="L849" s="18" t="s">
        <v>3576</v>
      </c>
    </row>
    <row r="850">
      <c r="A850" s="18" t="s">
        <v>3577</v>
      </c>
      <c r="B850" s="18" t="s">
        <v>791</v>
      </c>
      <c r="C850" s="18" t="s">
        <v>3578</v>
      </c>
      <c r="D850" s="18"/>
      <c r="E850" s="24">
        <v>8.5735674088E10</v>
      </c>
      <c r="F850" s="24">
        <v>1.0</v>
      </c>
      <c r="G850" s="18" t="s">
        <v>3578</v>
      </c>
      <c r="H850" s="18"/>
      <c r="I850" s="24">
        <v>8.5735674088E10</v>
      </c>
      <c r="J850" s="18" t="s">
        <v>3579</v>
      </c>
      <c r="K850" s="18"/>
      <c r="L850" s="18" t="s">
        <v>2332</v>
      </c>
    </row>
    <row r="851">
      <c r="A851" s="18" t="s">
        <v>3580</v>
      </c>
      <c r="B851" s="18" t="s">
        <v>791</v>
      </c>
      <c r="C851" s="18" t="s">
        <v>3581</v>
      </c>
      <c r="D851" s="18"/>
      <c r="E851" s="24">
        <v>8.5729292088E10</v>
      </c>
      <c r="F851" s="24">
        <v>1.0</v>
      </c>
      <c r="G851" s="18" t="s">
        <v>3581</v>
      </c>
      <c r="H851" s="18"/>
      <c r="I851" s="24">
        <v>8.5729292088E10</v>
      </c>
      <c r="J851" s="18" t="s">
        <v>3582</v>
      </c>
      <c r="K851" s="18"/>
      <c r="L851" s="18" t="s">
        <v>3583</v>
      </c>
    </row>
    <row r="852">
      <c r="A852" s="18" t="s">
        <v>3584</v>
      </c>
      <c r="B852" s="18" t="s">
        <v>791</v>
      </c>
      <c r="C852" s="18" t="s">
        <v>3585</v>
      </c>
      <c r="D852" s="18"/>
      <c r="E852" s="24">
        <v>8.5259906195E10</v>
      </c>
      <c r="F852" s="24">
        <v>1.0</v>
      </c>
      <c r="G852" s="18" t="s">
        <v>3585</v>
      </c>
      <c r="H852" s="18"/>
      <c r="I852" s="24">
        <v>8.5259906195E10</v>
      </c>
      <c r="J852" s="18" t="s">
        <v>3586</v>
      </c>
      <c r="K852" s="18"/>
      <c r="L852" s="18" t="s">
        <v>3587</v>
      </c>
    </row>
    <row r="853">
      <c r="A853" s="18" t="s">
        <v>3588</v>
      </c>
      <c r="B853" s="18" t="s">
        <v>791</v>
      </c>
      <c r="C853" s="18" t="s">
        <v>3589</v>
      </c>
      <c r="D853" s="18"/>
      <c r="E853" s="24">
        <v>8.1558889985E10</v>
      </c>
      <c r="F853" s="24">
        <v>1.0</v>
      </c>
      <c r="G853" s="18" t="s">
        <v>3589</v>
      </c>
      <c r="H853" s="18"/>
      <c r="I853" s="24">
        <v>8.1558889985E10</v>
      </c>
      <c r="J853" s="18" t="s">
        <v>3590</v>
      </c>
      <c r="K853" s="18"/>
      <c r="L853" s="18" t="s">
        <v>3591</v>
      </c>
    </row>
    <row r="854">
      <c r="A854" s="18" t="s">
        <v>3592</v>
      </c>
      <c r="B854" s="18" t="s">
        <v>791</v>
      </c>
      <c r="C854" s="18" t="s">
        <v>3593</v>
      </c>
      <c r="D854" s="18"/>
      <c r="E854" s="24">
        <v>8.1527046505E10</v>
      </c>
      <c r="F854" s="24">
        <v>1.0</v>
      </c>
      <c r="G854" s="18" t="s">
        <v>3593</v>
      </c>
      <c r="H854" s="18"/>
      <c r="I854" s="24">
        <v>8.1527046505E10</v>
      </c>
      <c r="J854" s="18" t="s">
        <v>3594</v>
      </c>
      <c r="K854" s="18"/>
      <c r="L854" s="18" t="s">
        <v>1935</v>
      </c>
    </row>
    <row r="855">
      <c r="A855" s="18" t="s">
        <v>3595</v>
      </c>
      <c r="B855" s="18" t="s">
        <v>791</v>
      </c>
      <c r="C855" s="18" t="s">
        <v>3596</v>
      </c>
      <c r="D855" s="18"/>
      <c r="E855" s="18"/>
      <c r="F855" s="24">
        <v>1.0</v>
      </c>
      <c r="G855" s="18" t="s">
        <v>3596</v>
      </c>
      <c r="H855" s="18"/>
      <c r="I855" s="18"/>
      <c r="J855" s="18" t="s">
        <v>3597</v>
      </c>
      <c r="K855" s="18"/>
      <c r="L855" s="18"/>
    </row>
    <row r="856">
      <c r="A856" s="18" t="s">
        <v>3598</v>
      </c>
      <c r="B856" s="18" t="s">
        <v>791</v>
      </c>
      <c r="C856" s="18" t="s">
        <v>3599</v>
      </c>
      <c r="D856" s="18"/>
      <c r="E856" s="18"/>
      <c r="F856" s="24">
        <v>1.0</v>
      </c>
      <c r="G856" s="18" t="s">
        <v>3599</v>
      </c>
      <c r="H856" s="18"/>
      <c r="I856" s="18"/>
      <c r="J856" s="18" t="s">
        <v>3600</v>
      </c>
      <c r="K856" s="18"/>
      <c r="L856" s="18"/>
    </row>
    <row r="857">
      <c r="A857" s="18" t="s">
        <v>3601</v>
      </c>
      <c r="B857" s="18" t="s">
        <v>791</v>
      </c>
      <c r="C857" s="18" t="s">
        <v>3602</v>
      </c>
      <c r="D857" s="18"/>
      <c r="E857" s="24">
        <v>8.1336184177E10</v>
      </c>
      <c r="F857" s="24">
        <v>1.0</v>
      </c>
      <c r="G857" s="18" t="s">
        <v>3602</v>
      </c>
      <c r="H857" s="18"/>
      <c r="I857" s="24">
        <v>8.1336184177E10</v>
      </c>
      <c r="J857" s="18" t="s">
        <v>3603</v>
      </c>
      <c r="K857" s="18"/>
      <c r="L857" s="18" t="s">
        <v>2032</v>
      </c>
    </row>
    <row r="858">
      <c r="A858" s="18" t="s">
        <v>3604</v>
      </c>
      <c r="B858" s="18" t="s">
        <v>791</v>
      </c>
      <c r="C858" s="18" t="s">
        <v>3605</v>
      </c>
      <c r="D858" s="18"/>
      <c r="E858" s="24">
        <v>8.1330239379E10</v>
      </c>
      <c r="F858" s="24">
        <v>1.0</v>
      </c>
      <c r="G858" s="18" t="s">
        <v>3605</v>
      </c>
      <c r="H858" s="18"/>
      <c r="I858" s="24">
        <v>8.1330239379E10</v>
      </c>
      <c r="J858" s="18" t="s">
        <v>3606</v>
      </c>
      <c r="K858" s="18"/>
      <c r="L858" s="18" t="s">
        <v>2103</v>
      </c>
    </row>
    <row r="859">
      <c r="A859" s="18" t="s">
        <v>1294</v>
      </c>
      <c r="B859" s="18" t="s">
        <v>791</v>
      </c>
      <c r="C859" s="18" t="s">
        <v>1298</v>
      </c>
      <c r="D859" s="18"/>
      <c r="E859" s="24">
        <v>8.1336304421E10</v>
      </c>
      <c r="F859" s="24">
        <v>1.0</v>
      </c>
      <c r="G859" s="18" t="s">
        <v>1298</v>
      </c>
      <c r="H859" s="18"/>
      <c r="I859" s="24">
        <v>8.1336304421E10</v>
      </c>
      <c r="J859" s="18" t="s">
        <v>1296</v>
      </c>
      <c r="K859" s="18"/>
      <c r="L859" s="18" t="s">
        <v>1278</v>
      </c>
    </row>
    <row r="860">
      <c r="A860" s="18" t="s">
        <v>3607</v>
      </c>
      <c r="B860" s="18" t="s">
        <v>791</v>
      </c>
      <c r="C860" s="18" t="s">
        <v>3608</v>
      </c>
      <c r="D860" s="18"/>
      <c r="E860" s="24">
        <v>8.571270839E10</v>
      </c>
      <c r="F860" s="24">
        <v>1.0</v>
      </c>
      <c r="G860" s="18" t="s">
        <v>3608</v>
      </c>
      <c r="H860" s="18"/>
      <c r="I860" s="24">
        <v>8.571270839E10</v>
      </c>
      <c r="J860" s="18" t="s">
        <v>3609</v>
      </c>
      <c r="K860" s="18"/>
      <c r="L860" s="18" t="s">
        <v>3610</v>
      </c>
    </row>
    <row r="861">
      <c r="A861" s="18" t="s">
        <v>3611</v>
      </c>
      <c r="B861" s="18" t="s">
        <v>791</v>
      </c>
      <c r="C861" s="18" t="s">
        <v>3612</v>
      </c>
      <c r="D861" s="18"/>
      <c r="E861" s="24">
        <v>8.5231216124E10</v>
      </c>
      <c r="F861" s="24">
        <v>1.0</v>
      </c>
      <c r="G861" s="18" t="s">
        <v>3612</v>
      </c>
      <c r="H861" s="18"/>
      <c r="I861" s="24">
        <v>8.5231216124E10</v>
      </c>
      <c r="J861" s="18" t="s">
        <v>3613</v>
      </c>
      <c r="K861" s="18"/>
      <c r="L861" s="18" t="s">
        <v>3614</v>
      </c>
    </row>
    <row r="862">
      <c r="A862" s="18" t="s">
        <v>3615</v>
      </c>
      <c r="B862" s="18" t="s">
        <v>791</v>
      </c>
      <c r="C862" s="18" t="s">
        <v>3616</v>
      </c>
      <c r="D862" s="18"/>
      <c r="E862" s="24">
        <v>8.1359962888E10</v>
      </c>
      <c r="F862" s="24">
        <v>1.0</v>
      </c>
      <c r="G862" s="18" t="s">
        <v>3616</v>
      </c>
      <c r="H862" s="18"/>
      <c r="I862" s="24">
        <v>8.1359962888E10</v>
      </c>
      <c r="J862" s="18" t="s">
        <v>3617</v>
      </c>
      <c r="K862" s="18"/>
      <c r="L862" s="18" t="s">
        <v>1677</v>
      </c>
    </row>
    <row r="863">
      <c r="A863" s="18" t="s">
        <v>3618</v>
      </c>
      <c r="B863" s="18" t="s">
        <v>791</v>
      </c>
      <c r="C863" s="18" t="s">
        <v>3619</v>
      </c>
      <c r="D863" s="18"/>
      <c r="E863" s="24">
        <v>8.5708015999E10</v>
      </c>
      <c r="F863" s="24">
        <v>1.0</v>
      </c>
      <c r="G863" s="18" t="s">
        <v>3619</v>
      </c>
      <c r="H863" s="18"/>
      <c r="I863" s="24">
        <v>8.5708015999E10</v>
      </c>
      <c r="J863" s="18" t="s">
        <v>3620</v>
      </c>
      <c r="K863" s="18"/>
      <c r="L863" s="18" t="s">
        <v>2430</v>
      </c>
    </row>
    <row r="864">
      <c r="A864" s="18" t="s">
        <v>3621</v>
      </c>
      <c r="B864" s="18" t="s">
        <v>791</v>
      </c>
      <c r="C864" s="18" t="s">
        <v>3622</v>
      </c>
      <c r="D864" s="18"/>
      <c r="E864" s="24">
        <v>8.5646256243E10</v>
      </c>
      <c r="F864" s="24">
        <v>1.0</v>
      </c>
      <c r="G864" s="18" t="s">
        <v>3622</v>
      </c>
      <c r="H864" s="18"/>
      <c r="I864" s="24">
        <v>8.5646256243E10</v>
      </c>
      <c r="J864" s="24">
        <v>3.52101290983E15</v>
      </c>
      <c r="K864" s="18"/>
      <c r="L864" s="18" t="s">
        <v>3623</v>
      </c>
    </row>
    <row r="865">
      <c r="A865" s="18" t="s">
        <v>3624</v>
      </c>
      <c r="B865" s="18" t="s">
        <v>791</v>
      </c>
      <c r="C865" s="18" t="s">
        <v>3625</v>
      </c>
      <c r="D865" s="18"/>
      <c r="E865" s="24">
        <v>8.2140637531E10</v>
      </c>
      <c r="F865" s="24">
        <v>1.0</v>
      </c>
      <c r="G865" s="18" t="s">
        <v>3625</v>
      </c>
      <c r="H865" s="18"/>
      <c r="I865" s="24">
        <v>8.2140637531E10</v>
      </c>
      <c r="J865" s="18" t="s">
        <v>3626</v>
      </c>
      <c r="K865" s="18"/>
      <c r="L865" s="18" t="s">
        <v>3511</v>
      </c>
    </row>
    <row r="866">
      <c r="A866" s="18" t="s">
        <v>3627</v>
      </c>
      <c r="B866" s="18" t="s">
        <v>791</v>
      </c>
      <c r="C866" s="18" t="s">
        <v>3628</v>
      </c>
      <c r="D866" s="18"/>
      <c r="E866" s="24">
        <v>8.5231194243E10</v>
      </c>
      <c r="F866" s="24">
        <v>1.0</v>
      </c>
      <c r="G866" s="18" t="s">
        <v>3628</v>
      </c>
      <c r="H866" s="18"/>
      <c r="I866" s="24">
        <v>8.5231194243E10</v>
      </c>
      <c r="J866" s="18" t="s">
        <v>3629</v>
      </c>
      <c r="K866" s="18"/>
      <c r="L866" s="18" t="s">
        <v>2584</v>
      </c>
    </row>
    <row r="867">
      <c r="A867" s="18" t="s">
        <v>3630</v>
      </c>
      <c r="B867" s="18" t="s">
        <v>791</v>
      </c>
      <c r="C867" s="18" t="s">
        <v>3631</v>
      </c>
      <c r="D867" s="18"/>
      <c r="E867" s="24">
        <v>8.5331754948E10</v>
      </c>
      <c r="F867" s="24">
        <v>1.0</v>
      </c>
      <c r="G867" s="18" t="s">
        <v>3631</v>
      </c>
      <c r="H867" s="18"/>
      <c r="I867" s="24">
        <v>8.5331754948E10</v>
      </c>
      <c r="J867" s="18" t="s">
        <v>3632</v>
      </c>
      <c r="K867" s="18"/>
      <c r="L867" s="18" t="s">
        <v>2354</v>
      </c>
    </row>
    <row r="868">
      <c r="A868" s="18" t="s">
        <v>3633</v>
      </c>
      <c r="B868" s="18" t="s">
        <v>791</v>
      </c>
      <c r="C868" s="18" t="s">
        <v>3634</v>
      </c>
      <c r="D868" s="18"/>
      <c r="E868" s="24">
        <v>8.5235672001E10</v>
      </c>
      <c r="F868" s="24">
        <v>1.0</v>
      </c>
      <c r="G868" s="18" t="s">
        <v>3634</v>
      </c>
      <c r="H868" s="18"/>
      <c r="I868" s="24">
        <v>8.5235672001E10</v>
      </c>
      <c r="J868" s="18" t="s">
        <v>3635</v>
      </c>
      <c r="K868" s="18"/>
      <c r="L868" s="18" t="s">
        <v>3552</v>
      </c>
    </row>
    <row r="869">
      <c r="A869" s="18" t="s">
        <v>3636</v>
      </c>
      <c r="B869" s="18" t="s">
        <v>791</v>
      </c>
      <c r="C869" s="18" t="s">
        <v>3637</v>
      </c>
      <c r="D869" s="18"/>
      <c r="E869" s="24">
        <v>8.564584087E10</v>
      </c>
      <c r="F869" s="24">
        <v>1.0</v>
      </c>
      <c r="G869" s="18" t="s">
        <v>3637</v>
      </c>
      <c r="H869" s="18"/>
      <c r="I869" s="24">
        <v>8.564584087E10</v>
      </c>
      <c r="J869" s="18" t="s">
        <v>3638</v>
      </c>
      <c r="K869" s="18"/>
      <c r="L869" s="18" t="s">
        <v>2994</v>
      </c>
    </row>
    <row r="870">
      <c r="A870" s="18" t="s">
        <v>3639</v>
      </c>
      <c r="B870" s="18" t="s">
        <v>791</v>
      </c>
      <c r="C870" s="18" t="s">
        <v>3640</v>
      </c>
      <c r="D870" s="18"/>
      <c r="E870" s="24">
        <v>8.1459114506E10</v>
      </c>
      <c r="F870" s="24">
        <v>1.0</v>
      </c>
      <c r="G870" s="18" t="s">
        <v>3640</v>
      </c>
      <c r="H870" s="18"/>
      <c r="I870" s="24">
        <v>8.1459114506E10</v>
      </c>
      <c r="J870" s="18" t="s">
        <v>3641</v>
      </c>
      <c r="K870" s="18"/>
      <c r="L870" s="18" t="s">
        <v>3642</v>
      </c>
    </row>
    <row r="871">
      <c r="A871" s="18" t="s">
        <v>3643</v>
      </c>
      <c r="B871" s="18" t="s">
        <v>791</v>
      </c>
      <c r="C871" s="18" t="s">
        <v>3644</v>
      </c>
      <c r="D871" s="18"/>
      <c r="E871" s="24">
        <v>8.2142973516E10</v>
      </c>
      <c r="F871" s="24">
        <v>1.0</v>
      </c>
      <c r="G871" s="18" t="s">
        <v>3644</v>
      </c>
      <c r="H871" s="18"/>
      <c r="I871" s="24">
        <v>8.2142973516E10</v>
      </c>
      <c r="J871" s="18" t="s">
        <v>3645</v>
      </c>
      <c r="K871" s="18"/>
      <c r="L871" s="18" t="s">
        <v>3646</v>
      </c>
    </row>
    <row r="872">
      <c r="A872" s="18" t="s">
        <v>3647</v>
      </c>
      <c r="B872" s="18" t="s">
        <v>791</v>
      </c>
      <c r="C872" s="18" t="s">
        <v>3648</v>
      </c>
      <c r="D872" s="18"/>
      <c r="E872" s="24">
        <v>8.5856444889E10</v>
      </c>
      <c r="F872" s="24">
        <v>1.0</v>
      </c>
      <c r="G872" s="18" t="s">
        <v>3648</v>
      </c>
      <c r="H872" s="18"/>
      <c r="I872" s="24">
        <v>8.5856444889E10</v>
      </c>
      <c r="J872" s="18" t="s">
        <v>3649</v>
      </c>
      <c r="K872" s="18"/>
      <c r="L872" s="18" t="s">
        <v>3650</v>
      </c>
    </row>
    <row r="873">
      <c r="A873" s="18" t="s">
        <v>3651</v>
      </c>
      <c r="B873" s="18" t="s">
        <v>791</v>
      </c>
      <c r="C873" s="18" t="s">
        <v>3652</v>
      </c>
      <c r="D873" s="18"/>
      <c r="E873" s="24">
        <v>8.2257791825E10</v>
      </c>
      <c r="F873" s="24">
        <v>1.0</v>
      </c>
      <c r="G873" s="18" t="s">
        <v>3652</v>
      </c>
      <c r="H873" s="18"/>
      <c r="I873" s="24">
        <v>8.2257791825E10</v>
      </c>
      <c r="J873" s="18" t="s">
        <v>3653</v>
      </c>
      <c r="K873" s="18"/>
      <c r="L873" s="18" t="s">
        <v>1846</v>
      </c>
    </row>
    <row r="874">
      <c r="A874" s="18" t="s">
        <v>3654</v>
      </c>
      <c r="B874" s="18" t="s">
        <v>791</v>
      </c>
      <c r="C874" s="18" t="s">
        <v>3655</v>
      </c>
      <c r="D874" s="18"/>
      <c r="E874" s="24">
        <v>8.5233711713E10</v>
      </c>
      <c r="F874" s="24">
        <v>1.0</v>
      </c>
      <c r="G874" s="18" t="s">
        <v>3655</v>
      </c>
      <c r="H874" s="18"/>
      <c r="I874" s="24">
        <v>8.5233711713E10</v>
      </c>
      <c r="J874" s="18" t="s">
        <v>3656</v>
      </c>
      <c r="K874" s="18"/>
      <c r="L874" s="18" t="s">
        <v>2471</v>
      </c>
    </row>
    <row r="875">
      <c r="A875" s="18" t="s">
        <v>3657</v>
      </c>
      <c r="B875" s="18" t="s">
        <v>791</v>
      </c>
      <c r="C875" s="18" t="s">
        <v>3658</v>
      </c>
      <c r="D875" s="18"/>
      <c r="E875" s="24">
        <v>8.5710322783E10</v>
      </c>
      <c r="F875" s="24">
        <v>1.0</v>
      </c>
      <c r="G875" s="18" t="s">
        <v>3658</v>
      </c>
      <c r="H875" s="18"/>
      <c r="I875" s="24">
        <v>8.5710322783E10</v>
      </c>
      <c r="J875" s="18" t="s">
        <v>3659</v>
      </c>
      <c r="K875" s="18"/>
      <c r="L875" s="18" t="s">
        <v>3660</v>
      </c>
    </row>
    <row r="876">
      <c r="A876" s="18" t="s">
        <v>3661</v>
      </c>
      <c r="B876" s="18" t="s">
        <v>791</v>
      </c>
      <c r="C876" s="18" t="s">
        <v>3662</v>
      </c>
      <c r="D876" s="18"/>
      <c r="E876" s="24">
        <v>8.580690695E10</v>
      </c>
      <c r="F876" s="24">
        <v>1.0</v>
      </c>
      <c r="G876" s="18" t="s">
        <v>3662</v>
      </c>
      <c r="H876" s="18"/>
      <c r="I876" s="24">
        <v>8.580690695E10</v>
      </c>
      <c r="J876" s="18" t="s">
        <v>3663</v>
      </c>
      <c r="K876" s="18"/>
      <c r="L876" s="18" t="s">
        <v>3664</v>
      </c>
    </row>
    <row r="877">
      <c r="A877" s="18" t="s">
        <v>3665</v>
      </c>
      <c r="B877" s="18" t="s">
        <v>791</v>
      </c>
      <c r="C877" s="18" t="s">
        <v>3666</v>
      </c>
      <c r="D877" s="18"/>
      <c r="E877" s="24">
        <v>8.1249434026E10</v>
      </c>
      <c r="F877" s="24">
        <v>1.0</v>
      </c>
      <c r="G877" s="18" t="s">
        <v>3666</v>
      </c>
      <c r="H877" s="18"/>
      <c r="I877" s="24">
        <v>8.1249434026E10</v>
      </c>
      <c r="J877" s="18" t="s">
        <v>3667</v>
      </c>
      <c r="K877" s="18"/>
      <c r="L877" s="18" t="s">
        <v>1806</v>
      </c>
    </row>
    <row r="878">
      <c r="A878" s="18" t="s">
        <v>1093</v>
      </c>
      <c r="B878" s="18" t="s">
        <v>791</v>
      </c>
      <c r="C878" s="18" t="s">
        <v>1095</v>
      </c>
      <c r="D878" s="18" t="s">
        <v>1096</v>
      </c>
      <c r="E878" s="24">
        <v>8.1235730137E10</v>
      </c>
      <c r="F878" s="24">
        <v>1.0</v>
      </c>
      <c r="G878" s="18" t="s">
        <v>1095</v>
      </c>
      <c r="H878" s="18" t="s">
        <v>1096</v>
      </c>
      <c r="I878" s="24">
        <v>8.1235730137E10</v>
      </c>
      <c r="J878" s="18" t="s">
        <v>1094</v>
      </c>
      <c r="K878" s="18" t="s">
        <v>1094</v>
      </c>
      <c r="L878" s="18" t="s">
        <v>1097</v>
      </c>
    </row>
    <row r="879">
      <c r="A879" s="18" t="s">
        <v>3668</v>
      </c>
      <c r="B879" s="18" t="s">
        <v>791</v>
      </c>
      <c r="C879" s="18" t="s">
        <v>3669</v>
      </c>
      <c r="D879" s="18"/>
      <c r="E879" s="24">
        <v>8.1335208487E10</v>
      </c>
      <c r="F879" s="24">
        <v>1.0</v>
      </c>
      <c r="G879" s="18" t="s">
        <v>3669</v>
      </c>
      <c r="H879" s="18"/>
      <c r="I879" s="24">
        <v>8.1335208487E10</v>
      </c>
      <c r="J879" s="18" t="s">
        <v>3670</v>
      </c>
      <c r="K879" s="18"/>
      <c r="L879" s="18" t="s">
        <v>1850</v>
      </c>
    </row>
    <row r="880">
      <c r="A880" s="18" t="s">
        <v>3671</v>
      </c>
      <c r="B880" s="18" t="s">
        <v>791</v>
      </c>
      <c r="C880" s="18" t="s">
        <v>3672</v>
      </c>
      <c r="D880" s="18"/>
      <c r="E880" s="24">
        <v>8.5233836052E10</v>
      </c>
      <c r="F880" s="24">
        <v>1.0</v>
      </c>
      <c r="G880" s="18" t="s">
        <v>3672</v>
      </c>
      <c r="H880" s="18"/>
      <c r="I880" s="24">
        <v>8.5233836052E10</v>
      </c>
      <c r="J880" s="18" t="s">
        <v>3673</v>
      </c>
      <c r="K880" s="18"/>
      <c r="L880" s="18" t="s">
        <v>1637</v>
      </c>
    </row>
    <row r="881">
      <c r="A881" s="18" t="s">
        <v>3674</v>
      </c>
      <c r="B881" s="18" t="s">
        <v>791</v>
      </c>
      <c r="C881" s="18" t="s">
        <v>3675</v>
      </c>
      <c r="D881" s="18"/>
      <c r="E881" s="18"/>
      <c r="F881" s="24">
        <v>1.0</v>
      </c>
      <c r="G881" s="18" t="s">
        <v>3675</v>
      </c>
      <c r="H881" s="18"/>
      <c r="I881" s="18"/>
      <c r="J881" s="18" t="s">
        <v>3676</v>
      </c>
      <c r="K881" s="18"/>
      <c r="L881" s="18"/>
    </row>
    <row r="882">
      <c r="A882" s="18" t="s">
        <v>3677</v>
      </c>
      <c r="B882" s="18" t="s">
        <v>791</v>
      </c>
      <c r="C882" s="18" t="s">
        <v>3678</v>
      </c>
      <c r="D882" s="18"/>
      <c r="E882" s="24">
        <v>8.5233711713E10</v>
      </c>
      <c r="F882" s="24">
        <v>1.0</v>
      </c>
      <c r="G882" s="18" t="s">
        <v>3678</v>
      </c>
      <c r="H882" s="18"/>
      <c r="I882" s="24">
        <v>8.5233711713E10</v>
      </c>
      <c r="J882" s="18" t="s">
        <v>3679</v>
      </c>
      <c r="K882" s="18"/>
      <c r="L882" s="18" t="s">
        <v>2471</v>
      </c>
    </row>
    <row r="883">
      <c r="A883" s="18" t="s">
        <v>3680</v>
      </c>
      <c r="B883" s="18" t="s">
        <v>791</v>
      </c>
      <c r="C883" s="18" t="s">
        <v>3681</v>
      </c>
      <c r="D883" s="18"/>
      <c r="E883" s="18"/>
      <c r="F883" s="24">
        <v>1.0</v>
      </c>
      <c r="G883" s="18" t="s">
        <v>3681</v>
      </c>
      <c r="H883" s="18"/>
      <c r="I883" s="18"/>
      <c r="J883" s="18" t="s">
        <v>3682</v>
      </c>
      <c r="K883" s="18"/>
      <c r="L883" s="18"/>
    </row>
    <row r="884">
      <c r="A884" s="18" t="s">
        <v>3683</v>
      </c>
      <c r="B884" s="18" t="s">
        <v>791</v>
      </c>
      <c r="C884" s="18" t="s">
        <v>3684</v>
      </c>
      <c r="D884" s="18"/>
      <c r="E884" s="24">
        <v>8.5334523413E10</v>
      </c>
      <c r="F884" s="24">
        <v>1.0</v>
      </c>
      <c r="G884" s="18" t="s">
        <v>3684</v>
      </c>
      <c r="H884" s="18"/>
      <c r="I884" s="24">
        <v>8.5334523413E10</v>
      </c>
      <c r="J884" s="18" t="s">
        <v>3685</v>
      </c>
      <c r="K884" s="18"/>
      <c r="L884" s="18" t="s">
        <v>197</v>
      </c>
    </row>
    <row r="885">
      <c r="A885" s="18" t="s">
        <v>3686</v>
      </c>
      <c r="B885" s="18" t="s">
        <v>791</v>
      </c>
      <c r="C885" s="18" t="s">
        <v>3687</v>
      </c>
      <c r="D885" s="18"/>
      <c r="E885" s="24">
        <v>8.5735428448E10</v>
      </c>
      <c r="F885" s="24">
        <v>1.0</v>
      </c>
      <c r="G885" s="18" t="s">
        <v>3687</v>
      </c>
      <c r="H885" s="18"/>
      <c r="I885" s="24">
        <v>8.5735428448E10</v>
      </c>
      <c r="J885" s="18" t="s">
        <v>3688</v>
      </c>
      <c r="K885" s="18"/>
      <c r="L885" s="18" t="s">
        <v>3689</v>
      </c>
    </row>
    <row r="886">
      <c r="A886" s="18" t="s">
        <v>3690</v>
      </c>
      <c r="B886" s="18" t="s">
        <v>791</v>
      </c>
      <c r="C886" s="18" t="s">
        <v>3691</v>
      </c>
      <c r="D886" s="18"/>
      <c r="E886" s="24">
        <v>8.1335208367E10</v>
      </c>
      <c r="F886" s="24">
        <v>1.0</v>
      </c>
      <c r="G886" s="18" t="s">
        <v>3691</v>
      </c>
      <c r="H886" s="18"/>
      <c r="I886" s="24">
        <v>8.1335208367E10</v>
      </c>
      <c r="J886" s="18" t="s">
        <v>3692</v>
      </c>
      <c r="K886" s="18"/>
      <c r="L886" s="18" t="s">
        <v>1914</v>
      </c>
    </row>
    <row r="887">
      <c r="A887" s="18" t="s">
        <v>3693</v>
      </c>
      <c r="B887" s="18" t="s">
        <v>791</v>
      </c>
      <c r="C887" s="18" t="s">
        <v>3694</v>
      </c>
      <c r="D887" s="18"/>
      <c r="E887" s="18"/>
      <c r="F887" s="24">
        <v>1.0</v>
      </c>
      <c r="G887" s="18" t="s">
        <v>3694</v>
      </c>
      <c r="H887" s="18"/>
      <c r="I887" s="18"/>
      <c r="J887" s="18" t="s">
        <v>3695</v>
      </c>
      <c r="K887" s="18"/>
      <c r="L887" s="18"/>
    </row>
    <row r="888">
      <c r="A888" s="18" t="s">
        <v>3696</v>
      </c>
      <c r="B888" s="18" t="s">
        <v>791</v>
      </c>
      <c r="C888" s="18" t="s">
        <v>3697</v>
      </c>
      <c r="D888" s="18"/>
      <c r="E888" s="24">
        <v>8.1335208487E10</v>
      </c>
      <c r="F888" s="24">
        <v>1.0</v>
      </c>
      <c r="G888" s="18" t="s">
        <v>3697</v>
      </c>
      <c r="H888" s="18"/>
      <c r="I888" s="24">
        <v>8.1335208487E10</v>
      </c>
      <c r="J888" s="18" t="s">
        <v>3698</v>
      </c>
      <c r="K888" s="18"/>
      <c r="L888" s="18" t="s">
        <v>1850</v>
      </c>
    </row>
    <row r="889">
      <c r="A889" s="18" t="s">
        <v>3699</v>
      </c>
      <c r="B889" s="18" t="s">
        <v>791</v>
      </c>
      <c r="C889" s="18" t="s">
        <v>3700</v>
      </c>
      <c r="D889" s="18"/>
      <c r="E889" s="24">
        <v>8.1335706864E10</v>
      </c>
      <c r="F889" s="24">
        <v>1.0</v>
      </c>
      <c r="G889" s="18" t="s">
        <v>3700</v>
      </c>
      <c r="H889" s="18"/>
      <c r="I889" s="24">
        <v>8.1335706864E10</v>
      </c>
      <c r="J889" s="18" t="s">
        <v>3701</v>
      </c>
      <c r="K889" s="18"/>
      <c r="L889" s="18" t="s">
        <v>1850</v>
      </c>
    </row>
    <row r="890">
      <c r="A890" s="18" t="s">
        <v>3702</v>
      </c>
      <c r="B890" s="18" t="s">
        <v>791</v>
      </c>
      <c r="C890" s="18" t="s">
        <v>3703</v>
      </c>
      <c r="D890" s="18"/>
      <c r="E890" s="24">
        <v>8.5233836052E10</v>
      </c>
      <c r="F890" s="24">
        <v>1.0</v>
      </c>
      <c r="G890" s="18" t="s">
        <v>3703</v>
      </c>
      <c r="H890" s="18"/>
      <c r="I890" s="24">
        <v>8.5233836052E10</v>
      </c>
      <c r="J890" s="18" t="s">
        <v>3704</v>
      </c>
      <c r="K890" s="18"/>
      <c r="L890" s="18" t="s">
        <v>1637</v>
      </c>
    </row>
    <row r="891">
      <c r="A891" s="18" t="s">
        <v>3705</v>
      </c>
      <c r="B891" s="18" t="s">
        <v>791</v>
      </c>
      <c r="C891" s="18" t="s">
        <v>3706</v>
      </c>
      <c r="D891" s="18"/>
      <c r="E891" s="24">
        <v>8.128172531E10</v>
      </c>
      <c r="F891" s="24">
        <v>1.0</v>
      </c>
      <c r="G891" s="18" t="s">
        <v>3706</v>
      </c>
      <c r="H891" s="18"/>
      <c r="I891" s="24">
        <v>8.128172531E10</v>
      </c>
      <c r="J891" s="18" t="s">
        <v>3707</v>
      </c>
      <c r="K891" s="18"/>
      <c r="L891" s="18" t="s">
        <v>3708</v>
      </c>
    </row>
    <row r="892">
      <c r="A892" s="18" t="s">
        <v>3709</v>
      </c>
      <c r="B892" s="18" t="s">
        <v>791</v>
      </c>
      <c r="C892" s="18" t="s">
        <v>3710</v>
      </c>
      <c r="D892" s="18"/>
      <c r="E892" s="24">
        <v>8.133527466E10</v>
      </c>
      <c r="F892" s="24">
        <v>1.0</v>
      </c>
      <c r="G892" s="18" t="s">
        <v>3710</v>
      </c>
      <c r="H892" s="18"/>
      <c r="I892" s="24">
        <v>8.133527466E10</v>
      </c>
      <c r="J892" s="18" t="s">
        <v>3711</v>
      </c>
      <c r="K892" s="18"/>
      <c r="L892" s="18" t="s">
        <v>1777</v>
      </c>
    </row>
    <row r="893">
      <c r="A893" s="18" t="s">
        <v>3712</v>
      </c>
      <c r="B893" s="18" t="s">
        <v>791</v>
      </c>
      <c r="C893" s="18" t="s">
        <v>3713</v>
      </c>
      <c r="D893" s="18"/>
      <c r="E893" s="24">
        <v>8.5812490094E10</v>
      </c>
      <c r="F893" s="24">
        <v>1.0</v>
      </c>
      <c r="G893" s="18" t="s">
        <v>3713</v>
      </c>
      <c r="H893" s="18"/>
      <c r="I893" s="24">
        <v>8.5812490094E10</v>
      </c>
      <c r="J893" s="24">
        <v>3.52106607000001E14</v>
      </c>
      <c r="K893" s="18"/>
      <c r="L893" s="18" t="s">
        <v>3714</v>
      </c>
    </row>
    <row r="894">
      <c r="A894" s="18" t="s">
        <v>3715</v>
      </c>
      <c r="B894" s="18" t="s">
        <v>791</v>
      </c>
      <c r="C894" s="18" t="s">
        <v>3716</v>
      </c>
      <c r="D894" s="18"/>
      <c r="E894" s="24">
        <v>8.1335760149E10</v>
      </c>
      <c r="F894" s="24">
        <v>1.0</v>
      </c>
      <c r="G894" s="18" t="s">
        <v>3716</v>
      </c>
      <c r="H894" s="18"/>
      <c r="I894" s="24">
        <v>8.1335760149E10</v>
      </c>
      <c r="J894" s="18" t="s">
        <v>3717</v>
      </c>
      <c r="K894" s="18"/>
      <c r="L894" s="18" t="s">
        <v>2458</v>
      </c>
    </row>
    <row r="895">
      <c r="A895" s="18" t="s">
        <v>3718</v>
      </c>
      <c r="B895" s="18" t="s">
        <v>791</v>
      </c>
      <c r="C895" s="18" t="s">
        <v>3719</v>
      </c>
      <c r="D895" s="18"/>
      <c r="E895" s="24">
        <v>8.5233627039E10</v>
      </c>
      <c r="F895" s="24">
        <v>1.0</v>
      </c>
      <c r="G895" s="18" t="s">
        <v>3719</v>
      </c>
      <c r="H895" s="18"/>
      <c r="I895" s="24">
        <v>8.5233627039E10</v>
      </c>
      <c r="J895" s="18" t="s">
        <v>3720</v>
      </c>
      <c r="K895" s="18"/>
      <c r="L895" s="18" t="s">
        <v>3721</v>
      </c>
    </row>
    <row r="896">
      <c r="A896" s="18" t="s">
        <v>3722</v>
      </c>
      <c r="B896" s="18" t="s">
        <v>791</v>
      </c>
      <c r="C896" s="18" t="s">
        <v>3723</v>
      </c>
      <c r="D896" s="18"/>
      <c r="E896" s="24">
        <v>8.2257791825E10</v>
      </c>
      <c r="F896" s="24">
        <v>1.0</v>
      </c>
      <c r="G896" s="18" t="s">
        <v>3723</v>
      </c>
      <c r="H896" s="18"/>
      <c r="I896" s="24">
        <v>8.2257791825E10</v>
      </c>
      <c r="J896" s="18" t="s">
        <v>3724</v>
      </c>
      <c r="K896" s="18"/>
      <c r="L896" s="18" t="s">
        <v>2475</v>
      </c>
    </row>
    <row r="897">
      <c r="A897" s="18" t="s">
        <v>3725</v>
      </c>
      <c r="B897" s="18" t="s">
        <v>791</v>
      </c>
      <c r="C897" s="18" t="s">
        <v>3726</v>
      </c>
      <c r="D897" s="18"/>
      <c r="E897" s="18"/>
      <c r="F897" s="24">
        <v>1.0</v>
      </c>
      <c r="G897" s="18" t="s">
        <v>3726</v>
      </c>
      <c r="H897" s="18"/>
      <c r="I897" s="18"/>
      <c r="J897" s="18" t="s">
        <v>3727</v>
      </c>
      <c r="K897" s="18"/>
      <c r="L897" s="18"/>
    </row>
    <row r="898">
      <c r="A898" s="18" t="s">
        <v>3728</v>
      </c>
      <c r="B898" s="18" t="s">
        <v>791</v>
      </c>
      <c r="C898" s="18" t="s">
        <v>3729</v>
      </c>
      <c r="D898" s="18"/>
      <c r="E898" s="24">
        <v>8.2140637531E10</v>
      </c>
      <c r="F898" s="24">
        <v>1.0</v>
      </c>
      <c r="G898" s="18" t="s">
        <v>3729</v>
      </c>
      <c r="H898" s="18"/>
      <c r="I898" s="24">
        <v>8.2140637531E10</v>
      </c>
      <c r="J898" s="18" t="s">
        <v>3730</v>
      </c>
      <c r="K898" s="18"/>
      <c r="L898" s="18" t="s">
        <v>3511</v>
      </c>
    </row>
    <row r="899">
      <c r="A899" s="18" t="s">
        <v>1063</v>
      </c>
      <c r="B899" s="18" t="s">
        <v>791</v>
      </c>
      <c r="C899" s="18" t="s">
        <v>1065</v>
      </c>
      <c r="D899" s="18" t="s">
        <v>1066</v>
      </c>
      <c r="E899" s="24">
        <v>8.2232319484E10</v>
      </c>
      <c r="F899" s="24">
        <v>1.0</v>
      </c>
      <c r="G899" s="18" t="s">
        <v>1065</v>
      </c>
      <c r="H899" s="18" t="s">
        <v>1066</v>
      </c>
      <c r="I899" s="24">
        <v>8.2232319484E10</v>
      </c>
      <c r="J899" s="18" t="s">
        <v>1064</v>
      </c>
      <c r="K899" s="18" t="s">
        <v>1064</v>
      </c>
      <c r="L899" s="18" t="s">
        <v>1067</v>
      </c>
    </row>
    <row r="900">
      <c r="A900" s="18" t="s">
        <v>1068</v>
      </c>
      <c r="B900" s="18" t="s">
        <v>791</v>
      </c>
      <c r="C900" s="18" t="s">
        <v>1070</v>
      </c>
      <c r="D900" s="18" t="s">
        <v>1071</v>
      </c>
      <c r="E900" s="24">
        <v>8.2232319485E10</v>
      </c>
      <c r="F900" s="24">
        <v>1.0</v>
      </c>
      <c r="G900" s="18" t="s">
        <v>1070</v>
      </c>
      <c r="H900" s="18" t="s">
        <v>1071</v>
      </c>
      <c r="I900" s="24">
        <v>8.2232319485E10</v>
      </c>
      <c r="J900" s="18" t="s">
        <v>1069</v>
      </c>
      <c r="K900" s="18" t="s">
        <v>1069</v>
      </c>
      <c r="L900" s="18" t="s">
        <v>1072</v>
      </c>
    </row>
    <row r="901">
      <c r="A901" s="18" t="s">
        <v>1299</v>
      </c>
      <c r="B901" s="18" t="s">
        <v>791</v>
      </c>
      <c r="C901" s="18" t="s">
        <v>1302</v>
      </c>
      <c r="D901" s="18"/>
      <c r="E901" s="24">
        <v>8.1336304421E10</v>
      </c>
      <c r="F901" s="24">
        <v>1.0</v>
      </c>
      <c r="G901" s="18" t="s">
        <v>1302</v>
      </c>
      <c r="H901" s="18"/>
      <c r="I901" s="24">
        <v>8.1336304421E10</v>
      </c>
      <c r="J901" s="18" t="s">
        <v>1300</v>
      </c>
      <c r="K901" s="18"/>
      <c r="L901" s="18" t="s">
        <v>1289</v>
      </c>
    </row>
    <row r="902">
      <c r="A902" s="18" t="s">
        <v>3731</v>
      </c>
      <c r="B902" s="18" t="s">
        <v>791</v>
      </c>
      <c r="C902" s="18" t="s">
        <v>3732</v>
      </c>
      <c r="D902" s="18"/>
      <c r="E902" s="24">
        <v>8.214156551E10</v>
      </c>
      <c r="F902" s="24">
        <v>1.0</v>
      </c>
      <c r="G902" s="18" t="s">
        <v>3732</v>
      </c>
      <c r="H902" s="18"/>
      <c r="I902" s="24">
        <v>8.214156551E10</v>
      </c>
      <c r="J902" s="18" t="s">
        <v>3733</v>
      </c>
      <c r="K902" s="18"/>
      <c r="L902" s="18" t="s">
        <v>2498</v>
      </c>
    </row>
    <row r="903">
      <c r="A903" s="18" t="s">
        <v>3734</v>
      </c>
      <c r="B903" s="18" t="s">
        <v>791</v>
      </c>
      <c r="C903" s="18" t="s">
        <v>3735</v>
      </c>
      <c r="D903" s="18"/>
      <c r="E903" s="18"/>
      <c r="F903" s="24">
        <v>1.0</v>
      </c>
      <c r="G903" s="18" t="s">
        <v>3735</v>
      </c>
      <c r="H903" s="18"/>
      <c r="I903" s="18"/>
      <c r="J903" s="18" t="s">
        <v>3736</v>
      </c>
      <c r="K903" s="18"/>
      <c r="L903" s="18"/>
    </row>
    <row r="904">
      <c r="A904" s="18" t="s">
        <v>3737</v>
      </c>
      <c r="B904" s="18" t="s">
        <v>791</v>
      </c>
      <c r="C904" s="18" t="s">
        <v>3738</v>
      </c>
      <c r="D904" s="18"/>
      <c r="E904" s="24">
        <v>8.5792219598E10</v>
      </c>
      <c r="F904" s="24">
        <v>1.0</v>
      </c>
      <c r="G904" s="18" t="s">
        <v>3738</v>
      </c>
      <c r="H904" s="18"/>
      <c r="I904" s="24">
        <v>8.5792219598E10</v>
      </c>
      <c r="J904" s="18" t="s">
        <v>3739</v>
      </c>
      <c r="K904" s="18"/>
      <c r="L904" s="18" t="s">
        <v>3740</v>
      </c>
    </row>
    <row r="905">
      <c r="A905" s="18" t="s">
        <v>3741</v>
      </c>
      <c r="B905" s="18" t="s">
        <v>791</v>
      </c>
      <c r="C905" s="18" t="s">
        <v>3742</v>
      </c>
      <c r="D905" s="18"/>
      <c r="E905" s="24">
        <v>8.124986945E10</v>
      </c>
      <c r="F905" s="24">
        <v>1.0</v>
      </c>
      <c r="G905" s="18" t="s">
        <v>3742</v>
      </c>
      <c r="H905" s="18"/>
      <c r="I905" s="24">
        <v>8.124986945E10</v>
      </c>
      <c r="J905" s="18" t="s">
        <v>3743</v>
      </c>
      <c r="K905" s="18"/>
      <c r="L905" s="18" t="s">
        <v>3714</v>
      </c>
    </row>
    <row r="906">
      <c r="A906" s="18" t="s">
        <v>3744</v>
      </c>
      <c r="B906" s="18" t="s">
        <v>791</v>
      </c>
      <c r="C906" s="18" t="s">
        <v>3745</v>
      </c>
      <c r="D906" s="18" t="s">
        <v>1780</v>
      </c>
      <c r="E906" s="24">
        <v>8.573391622E10</v>
      </c>
      <c r="F906" s="24">
        <v>1.0</v>
      </c>
      <c r="G906" s="18" t="s">
        <v>3745</v>
      </c>
      <c r="H906" s="18" t="s">
        <v>1780</v>
      </c>
      <c r="I906" s="24">
        <v>8.573391622E10</v>
      </c>
      <c r="J906" s="18" t="s">
        <v>3746</v>
      </c>
      <c r="K906" s="18" t="s">
        <v>3746</v>
      </c>
      <c r="L906" s="18" t="s">
        <v>3747</v>
      </c>
    </row>
    <row r="907">
      <c r="A907" s="18" t="s">
        <v>3748</v>
      </c>
      <c r="B907" s="18" t="s">
        <v>791</v>
      </c>
      <c r="C907" s="18" t="s">
        <v>3749</v>
      </c>
      <c r="D907" s="18"/>
      <c r="E907" s="24">
        <v>8.5337321217E10</v>
      </c>
      <c r="F907" s="24">
        <v>1.0</v>
      </c>
      <c r="G907" s="18" t="s">
        <v>3749</v>
      </c>
      <c r="H907" s="18"/>
      <c r="I907" s="24">
        <v>8.5337321217E10</v>
      </c>
      <c r="J907" s="18" t="s">
        <v>3750</v>
      </c>
      <c r="K907" s="18"/>
      <c r="L907" s="18" t="s">
        <v>3751</v>
      </c>
    </row>
    <row r="908">
      <c r="A908" s="18" t="s">
        <v>3752</v>
      </c>
      <c r="B908" s="18" t="s">
        <v>791</v>
      </c>
      <c r="C908" s="18" t="s">
        <v>3753</v>
      </c>
      <c r="D908" s="18"/>
      <c r="E908" s="24">
        <v>8.5799111901E10</v>
      </c>
      <c r="F908" s="24">
        <v>1.0</v>
      </c>
      <c r="G908" s="18" t="s">
        <v>3753</v>
      </c>
      <c r="H908" s="18"/>
      <c r="I908" s="24">
        <v>8.5799111901E10</v>
      </c>
      <c r="J908" s="18" t="s">
        <v>3754</v>
      </c>
      <c r="K908" s="18"/>
      <c r="L908" s="18" t="s">
        <v>2903</v>
      </c>
    </row>
    <row r="909">
      <c r="A909" s="18" t="s">
        <v>3755</v>
      </c>
      <c r="B909" s="18" t="s">
        <v>791</v>
      </c>
      <c r="C909" s="18" t="s">
        <v>3756</v>
      </c>
      <c r="D909" s="18"/>
      <c r="E909" s="24">
        <v>8.2333458543E10</v>
      </c>
      <c r="F909" s="24">
        <v>1.0</v>
      </c>
      <c r="G909" s="18" t="s">
        <v>3756</v>
      </c>
      <c r="H909" s="18"/>
      <c r="I909" s="24">
        <v>8.2333458543E10</v>
      </c>
      <c r="J909" s="18" t="s">
        <v>3757</v>
      </c>
      <c r="K909" s="18"/>
      <c r="L909" s="18" t="s">
        <v>2652</v>
      </c>
    </row>
    <row r="910">
      <c r="A910" s="18" t="s">
        <v>3758</v>
      </c>
      <c r="B910" s="18" t="s">
        <v>791</v>
      </c>
      <c r="C910" s="18" t="s">
        <v>3759</v>
      </c>
      <c r="D910" s="18"/>
      <c r="E910" s="24">
        <v>8.1329326467E10</v>
      </c>
      <c r="F910" s="24">
        <v>1.0</v>
      </c>
      <c r="G910" s="18" t="s">
        <v>3759</v>
      </c>
      <c r="H910" s="18"/>
      <c r="I910" s="24">
        <v>8.1329326467E10</v>
      </c>
      <c r="J910" s="18" t="s">
        <v>3760</v>
      </c>
      <c r="K910" s="18"/>
      <c r="L910" s="18" t="s">
        <v>2903</v>
      </c>
    </row>
    <row r="911">
      <c r="A911" s="18" t="s">
        <v>3761</v>
      </c>
      <c r="B911" s="18" t="s">
        <v>791</v>
      </c>
      <c r="C911" s="18" t="s">
        <v>3762</v>
      </c>
      <c r="D911" s="18"/>
      <c r="E911" s="24">
        <v>8.2142967226E10</v>
      </c>
      <c r="F911" s="24">
        <v>1.0</v>
      </c>
      <c r="G911" s="18" t="s">
        <v>3762</v>
      </c>
      <c r="H911" s="18"/>
      <c r="I911" s="24">
        <v>8.2142967226E10</v>
      </c>
      <c r="J911" s="18" t="s">
        <v>3763</v>
      </c>
      <c r="K911" s="18"/>
      <c r="L911" s="18" t="s">
        <v>1971</v>
      </c>
    </row>
    <row r="912">
      <c r="A912" s="18" t="s">
        <v>3764</v>
      </c>
      <c r="B912" s="18" t="s">
        <v>791</v>
      </c>
      <c r="C912" s="18" t="s">
        <v>3765</v>
      </c>
      <c r="D912" s="18"/>
      <c r="E912" s="24">
        <v>8.5335960089E10</v>
      </c>
      <c r="F912" s="24">
        <v>1.0</v>
      </c>
      <c r="G912" s="18" t="s">
        <v>3765</v>
      </c>
      <c r="H912" s="18"/>
      <c r="I912" s="24">
        <v>8.5335960089E10</v>
      </c>
      <c r="J912" s="18" t="s">
        <v>3766</v>
      </c>
      <c r="K912" s="18"/>
      <c r="L912" s="18" t="s">
        <v>2110</v>
      </c>
    </row>
    <row r="913">
      <c r="A913" s="18" t="s">
        <v>3767</v>
      </c>
      <c r="B913" s="18" t="s">
        <v>791</v>
      </c>
      <c r="C913" s="18" t="s">
        <v>3768</v>
      </c>
      <c r="D913" s="18"/>
      <c r="E913" s="18"/>
      <c r="F913" s="24">
        <v>1.0</v>
      </c>
      <c r="G913" s="18" t="s">
        <v>3768</v>
      </c>
      <c r="H913" s="18"/>
      <c r="I913" s="18"/>
      <c r="J913" s="18" t="s">
        <v>3769</v>
      </c>
      <c r="K913" s="18"/>
      <c r="L913" s="18"/>
    </row>
    <row r="914">
      <c r="A914" s="18" t="s">
        <v>3770</v>
      </c>
      <c r="B914" s="18" t="s">
        <v>791</v>
      </c>
      <c r="C914" s="18" t="s">
        <v>3771</v>
      </c>
      <c r="D914" s="18"/>
      <c r="E914" s="24">
        <v>8.5730115095E10</v>
      </c>
      <c r="F914" s="24">
        <v>1.0</v>
      </c>
      <c r="G914" s="18" t="s">
        <v>3771</v>
      </c>
      <c r="H914" s="18"/>
      <c r="I914" s="24">
        <v>8.5730115095E10</v>
      </c>
      <c r="J914" s="18" t="s">
        <v>3772</v>
      </c>
      <c r="K914" s="18"/>
      <c r="L914" s="18" t="s">
        <v>2114</v>
      </c>
    </row>
    <row r="915">
      <c r="A915" s="18" t="s">
        <v>3773</v>
      </c>
      <c r="B915" s="18" t="s">
        <v>791</v>
      </c>
      <c r="C915" s="18" t="s">
        <v>3774</v>
      </c>
      <c r="D915" s="18"/>
      <c r="E915" s="24">
        <v>8.5655633834E10</v>
      </c>
      <c r="F915" s="24">
        <v>1.0</v>
      </c>
      <c r="G915" s="18" t="s">
        <v>3774</v>
      </c>
      <c r="H915" s="18"/>
      <c r="I915" s="24">
        <v>8.5655633834E10</v>
      </c>
      <c r="J915" s="18" t="s">
        <v>3775</v>
      </c>
      <c r="K915" s="18"/>
      <c r="L915" s="18" t="s">
        <v>3776</v>
      </c>
    </row>
    <row r="916">
      <c r="A916" s="18" t="s">
        <v>3777</v>
      </c>
      <c r="B916" s="18" t="s">
        <v>791</v>
      </c>
      <c r="C916" s="18" t="s">
        <v>3778</v>
      </c>
      <c r="D916" s="18"/>
      <c r="E916" s="24">
        <v>8.5100414727E10</v>
      </c>
      <c r="F916" s="24">
        <v>1.0</v>
      </c>
      <c r="G916" s="18" t="s">
        <v>3778</v>
      </c>
      <c r="H916" s="18"/>
      <c r="I916" s="24">
        <v>8.5100414727E10</v>
      </c>
      <c r="J916" s="18" t="s">
        <v>3779</v>
      </c>
      <c r="K916" s="18"/>
      <c r="L916" s="18" t="s">
        <v>2698</v>
      </c>
    </row>
    <row r="917">
      <c r="A917" s="18" t="s">
        <v>3780</v>
      </c>
      <c r="B917" s="18" t="s">
        <v>791</v>
      </c>
      <c r="C917" s="18" t="s">
        <v>3781</v>
      </c>
      <c r="D917" s="18"/>
      <c r="E917" s="24">
        <v>8.5770427416E10</v>
      </c>
      <c r="F917" s="24">
        <v>1.0</v>
      </c>
      <c r="G917" s="18" t="s">
        <v>3781</v>
      </c>
      <c r="H917" s="18"/>
      <c r="I917" s="24">
        <v>8.5770427416E10</v>
      </c>
      <c r="J917" s="18" t="s">
        <v>3782</v>
      </c>
      <c r="K917" s="18"/>
      <c r="L917" s="18" t="s">
        <v>3783</v>
      </c>
    </row>
    <row r="918">
      <c r="A918" s="18" t="s">
        <v>3784</v>
      </c>
      <c r="B918" s="18" t="s">
        <v>791</v>
      </c>
      <c r="C918" s="18" t="s">
        <v>3785</v>
      </c>
      <c r="D918" s="18"/>
      <c r="E918" s="24">
        <v>8.522981918E10</v>
      </c>
      <c r="F918" s="24">
        <v>1.0</v>
      </c>
      <c r="G918" s="18" t="s">
        <v>3785</v>
      </c>
      <c r="H918" s="18"/>
      <c r="I918" s="24">
        <v>8.522981918E10</v>
      </c>
      <c r="J918" s="18" t="s">
        <v>3786</v>
      </c>
      <c r="K918" s="18"/>
      <c r="L918" s="18" t="s">
        <v>2339</v>
      </c>
    </row>
    <row r="919">
      <c r="A919" s="18" t="s">
        <v>3787</v>
      </c>
      <c r="B919" s="18" t="s">
        <v>791</v>
      </c>
      <c r="C919" s="18" t="s">
        <v>3788</v>
      </c>
      <c r="D919" s="18"/>
      <c r="E919" s="18"/>
      <c r="F919" s="24">
        <v>1.0</v>
      </c>
      <c r="G919" s="18" t="s">
        <v>3788</v>
      </c>
      <c r="H919" s="18"/>
      <c r="I919" s="18"/>
      <c r="J919" s="24">
        <v>3.5210920850003E13</v>
      </c>
      <c r="K919" s="18"/>
      <c r="L919" s="18"/>
    </row>
    <row r="920">
      <c r="A920" s="18" t="s">
        <v>3789</v>
      </c>
      <c r="B920" s="18" t="s">
        <v>791</v>
      </c>
      <c r="C920" s="18" t="s">
        <v>3790</v>
      </c>
      <c r="D920" s="18"/>
      <c r="E920" s="24">
        <v>8.123427221E9</v>
      </c>
      <c r="F920" s="24">
        <v>1.0</v>
      </c>
      <c r="G920" s="18" t="s">
        <v>3790</v>
      </c>
      <c r="H920" s="18"/>
      <c r="I920" s="24">
        <v>8.123427221E9</v>
      </c>
      <c r="J920" s="18" t="s">
        <v>3791</v>
      </c>
      <c r="K920" s="18"/>
      <c r="L920" s="18" t="s">
        <v>3792</v>
      </c>
    </row>
    <row r="921">
      <c r="A921" s="18" t="s">
        <v>3793</v>
      </c>
      <c r="B921" s="18" t="s">
        <v>791</v>
      </c>
      <c r="C921" s="18" t="s">
        <v>3794</v>
      </c>
      <c r="D921" s="18"/>
      <c r="E921" s="24">
        <v>8.5303510261E10</v>
      </c>
      <c r="F921" s="24">
        <v>1.0</v>
      </c>
      <c r="G921" s="18" t="s">
        <v>3794</v>
      </c>
      <c r="H921" s="18"/>
      <c r="I921" s="24">
        <v>8.5303510261E10</v>
      </c>
      <c r="J921" s="18" t="s">
        <v>3795</v>
      </c>
      <c r="K921" s="18"/>
      <c r="L921" s="18" t="s">
        <v>1493</v>
      </c>
    </row>
    <row r="922">
      <c r="A922" s="18" t="s">
        <v>3796</v>
      </c>
      <c r="B922" s="18" t="s">
        <v>791</v>
      </c>
      <c r="C922" s="18" t="s">
        <v>3797</v>
      </c>
      <c r="D922" s="18"/>
      <c r="E922" s="24">
        <v>8.135975241E10</v>
      </c>
      <c r="F922" s="24">
        <v>1.0</v>
      </c>
      <c r="G922" s="18" t="s">
        <v>3797</v>
      </c>
      <c r="H922" s="18"/>
      <c r="I922" s="24">
        <v>8.135975241E10</v>
      </c>
      <c r="J922" s="18" t="s">
        <v>3798</v>
      </c>
      <c r="K922" s="18"/>
      <c r="L922" s="18" t="s">
        <v>1914</v>
      </c>
    </row>
    <row r="923">
      <c r="A923" s="18" t="s">
        <v>3799</v>
      </c>
      <c r="B923" s="18" t="s">
        <v>791</v>
      </c>
      <c r="C923" s="18" t="s">
        <v>3800</v>
      </c>
      <c r="D923" s="18"/>
      <c r="E923" s="24">
        <v>8.5220797978E10</v>
      </c>
      <c r="F923" s="24">
        <v>1.0</v>
      </c>
      <c r="G923" s="18" t="s">
        <v>3800</v>
      </c>
      <c r="H923" s="18"/>
      <c r="I923" s="24">
        <v>8.5220797978E10</v>
      </c>
      <c r="J923" s="18" t="s">
        <v>3801</v>
      </c>
      <c r="K923" s="18"/>
      <c r="L923" s="18" t="s">
        <v>3802</v>
      </c>
    </row>
    <row r="924">
      <c r="A924" s="18" t="s">
        <v>3803</v>
      </c>
      <c r="B924" s="18" t="s">
        <v>791</v>
      </c>
      <c r="C924" s="18" t="s">
        <v>3804</v>
      </c>
      <c r="D924" s="18"/>
      <c r="E924" s="24">
        <v>8.2312388907E10</v>
      </c>
      <c r="F924" s="24">
        <v>1.0</v>
      </c>
      <c r="G924" s="18" t="s">
        <v>3804</v>
      </c>
      <c r="H924" s="18"/>
      <c r="I924" s="24">
        <v>8.2312388907E10</v>
      </c>
      <c r="J924" s="18" t="s">
        <v>3805</v>
      </c>
      <c r="K924" s="18"/>
      <c r="L924" s="18" t="s">
        <v>1914</v>
      </c>
    </row>
    <row r="925">
      <c r="A925" s="18" t="s">
        <v>3806</v>
      </c>
      <c r="B925" s="18" t="s">
        <v>791</v>
      </c>
      <c r="C925" s="18" t="s">
        <v>3807</v>
      </c>
      <c r="D925" s="18"/>
      <c r="E925" s="24">
        <v>8.5235256946E10</v>
      </c>
      <c r="F925" s="24">
        <v>1.0</v>
      </c>
      <c r="G925" s="18" t="s">
        <v>3807</v>
      </c>
      <c r="H925" s="18"/>
      <c r="I925" s="24">
        <v>8.5235256946E10</v>
      </c>
      <c r="J925" s="18" t="s">
        <v>3808</v>
      </c>
      <c r="K925" s="18"/>
      <c r="L925" s="18" t="s">
        <v>2689</v>
      </c>
    </row>
    <row r="926">
      <c r="A926" s="18" t="s">
        <v>3809</v>
      </c>
      <c r="B926" s="18" t="s">
        <v>791</v>
      </c>
      <c r="C926" s="18" t="s">
        <v>3807</v>
      </c>
      <c r="D926" s="18"/>
      <c r="E926" s="24">
        <v>8.533662705E10</v>
      </c>
      <c r="F926" s="24">
        <v>1.0</v>
      </c>
      <c r="G926" s="18" t="s">
        <v>3807</v>
      </c>
      <c r="H926" s="18"/>
      <c r="I926" s="24">
        <v>8.533662705E10</v>
      </c>
      <c r="J926" s="18" t="s">
        <v>3810</v>
      </c>
      <c r="K926" s="18"/>
      <c r="L926" s="18" t="s">
        <v>1651</v>
      </c>
    </row>
    <row r="927">
      <c r="A927" s="18" t="s">
        <v>3811</v>
      </c>
      <c r="B927" s="18" t="s">
        <v>791</v>
      </c>
      <c r="C927" s="18" t="s">
        <v>3812</v>
      </c>
      <c r="D927" s="18"/>
      <c r="E927" s="24">
        <v>8.5730115095E10</v>
      </c>
      <c r="F927" s="24">
        <v>1.0</v>
      </c>
      <c r="G927" s="18" t="s">
        <v>3812</v>
      </c>
      <c r="H927" s="18"/>
      <c r="I927" s="24">
        <v>8.5730115095E10</v>
      </c>
      <c r="J927" s="18" t="s">
        <v>3813</v>
      </c>
      <c r="K927" s="18"/>
      <c r="L927" s="18" t="s">
        <v>2114</v>
      </c>
    </row>
    <row r="928">
      <c r="A928" s="18" t="s">
        <v>3814</v>
      </c>
      <c r="B928" s="18" t="s">
        <v>791</v>
      </c>
      <c r="C928" s="18" t="s">
        <v>3815</v>
      </c>
      <c r="D928" s="18"/>
      <c r="E928" s="24">
        <v>8.5335280985E10</v>
      </c>
      <c r="F928" s="24">
        <v>1.0</v>
      </c>
      <c r="G928" s="18" t="s">
        <v>3815</v>
      </c>
      <c r="H928" s="18"/>
      <c r="I928" s="24">
        <v>8.5335280985E10</v>
      </c>
      <c r="J928" s="18" t="s">
        <v>3816</v>
      </c>
      <c r="K928" s="18"/>
      <c r="L928" s="18" t="s">
        <v>1914</v>
      </c>
    </row>
    <row r="929">
      <c r="A929" s="18" t="s">
        <v>3817</v>
      </c>
      <c r="B929" s="18" t="s">
        <v>791</v>
      </c>
      <c r="C929" s="18" t="s">
        <v>3818</v>
      </c>
      <c r="D929" s="18"/>
      <c r="E929" s="24">
        <v>8.1335706864E10</v>
      </c>
      <c r="F929" s="24">
        <v>1.0</v>
      </c>
      <c r="G929" s="18" t="s">
        <v>3818</v>
      </c>
      <c r="H929" s="18"/>
      <c r="I929" s="24">
        <v>8.1335706864E10</v>
      </c>
      <c r="J929" s="18" t="s">
        <v>3819</v>
      </c>
      <c r="K929" s="18"/>
      <c r="L929" s="18" t="s">
        <v>2346</v>
      </c>
    </row>
    <row r="930">
      <c r="A930" s="18" t="s">
        <v>3820</v>
      </c>
      <c r="B930" s="18" t="s">
        <v>791</v>
      </c>
      <c r="C930" s="18" t="s">
        <v>3821</v>
      </c>
      <c r="D930" s="18"/>
      <c r="E930" s="24">
        <v>8.1335441183E10</v>
      </c>
      <c r="F930" s="24">
        <v>1.0</v>
      </c>
      <c r="G930" s="18" t="s">
        <v>3821</v>
      </c>
      <c r="H930" s="18"/>
      <c r="I930" s="24">
        <v>8.1335441183E10</v>
      </c>
      <c r="J930" s="24">
        <v>3.52112301253001E15</v>
      </c>
      <c r="K930" s="18"/>
      <c r="L930" s="18" t="s">
        <v>2146</v>
      </c>
    </row>
    <row r="931">
      <c r="A931" s="18" t="s">
        <v>3822</v>
      </c>
      <c r="B931" s="18" t="s">
        <v>791</v>
      </c>
      <c r="C931" s="18" t="s">
        <v>3823</v>
      </c>
      <c r="D931" s="18"/>
      <c r="E931" s="24">
        <v>8.1393031032E10</v>
      </c>
      <c r="F931" s="24">
        <v>1.0</v>
      </c>
      <c r="G931" s="18" t="s">
        <v>3823</v>
      </c>
      <c r="H931" s="18"/>
      <c r="I931" s="24">
        <v>8.1393031032E10</v>
      </c>
      <c r="J931" s="18" t="s">
        <v>3824</v>
      </c>
      <c r="K931" s="18"/>
      <c r="L931" s="18" t="s">
        <v>3825</v>
      </c>
    </row>
    <row r="932">
      <c r="A932" s="18" t="s">
        <v>3826</v>
      </c>
      <c r="B932" s="18" t="s">
        <v>791</v>
      </c>
      <c r="C932" s="18" t="s">
        <v>3827</v>
      </c>
      <c r="D932" s="18"/>
      <c r="E932" s="24">
        <v>8.5233879638E10</v>
      </c>
      <c r="F932" s="24">
        <v>1.0</v>
      </c>
      <c r="G932" s="18" t="s">
        <v>3827</v>
      </c>
      <c r="H932" s="18"/>
      <c r="I932" s="24">
        <v>8.5233879638E10</v>
      </c>
      <c r="J932" s="18" t="s">
        <v>3828</v>
      </c>
      <c r="K932" s="18"/>
      <c r="L932" s="18" t="s">
        <v>3829</v>
      </c>
    </row>
    <row r="933">
      <c r="A933" s="18" t="s">
        <v>3830</v>
      </c>
      <c r="B933" s="18" t="s">
        <v>791</v>
      </c>
      <c r="C933" s="18" t="s">
        <v>3831</v>
      </c>
      <c r="D933" s="18"/>
      <c r="E933" s="24">
        <v>8.1230515353E10</v>
      </c>
      <c r="F933" s="24">
        <v>1.0</v>
      </c>
      <c r="G933" s="18" t="s">
        <v>3831</v>
      </c>
      <c r="H933" s="18"/>
      <c r="I933" s="24">
        <v>8.1230515353E10</v>
      </c>
      <c r="J933" s="24">
        <v>3.52112171175E14</v>
      </c>
      <c r="K933" s="18"/>
      <c r="L933" s="18" t="s">
        <v>3342</v>
      </c>
    </row>
    <row r="934">
      <c r="A934" s="18" t="s">
        <v>3832</v>
      </c>
      <c r="B934" s="18" t="s">
        <v>791</v>
      </c>
      <c r="C934" s="18" t="s">
        <v>3833</v>
      </c>
      <c r="D934" s="18"/>
      <c r="E934" s="24">
        <v>8.5233878924E10</v>
      </c>
      <c r="F934" s="24">
        <v>1.0</v>
      </c>
      <c r="G934" s="18" t="s">
        <v>3833</v>
      </c>
      <c r="H934" s="18"/>
      <c r="I934" s="24">
        <v>8.5233878924E10</v>
      </c>
      <c r="J934" s="18" t="s">
        <v>3834</v>
      </c>
      <c r="K934" s="18"/>
      <c r="L934" s="18" t="s">
        <v>1637</v>
      </c>
    </row>
    <row r="935">
      <c r="A935" s="18" t="s">
        <v>3835</v>
      </c>
      <c r="B935" s="18" t="s">
        <v>791</v>
      </c>
      <c r="C935" s="18" t="s">
        <v>3836</v>
      </c>
      <c r="D935" s="18"/>
      <c r="E935" s="24">
        <v>8.5233711713E10</v>
      </c>
      <c r="F935" s="24">
        <v>1.0</v>
      </c>
      <c r="G935" s="18" t="s">
        <v>3836</v>
      </c>
      <c r="H935" s="18"/>
      <c r="I935" s="24">
        <v>8.5233711713E10</v>
      </c>
      <c r="J935" s="18" t="s">
        <v>3837</v>
      </c>
      <c r="K935" s="18"/>
      <c r="L935" s="18" t="s">
        <v>2471</v>
      </c>
    </row>
    <row r="936">
      <c r="A936" s="18" t="s">
        <v>3838</v>
      </c>
      <c r="B936" s="18" t="s">
        <v>791</v>
      </c>
      <c r="C936" s="18" t="s">
        <v>3839</v>
      </c>
      <c r="D936" s="18"/>
      <c r="E936" s="24">
        <v>8.2325568205E10</v>
      </c>
      <c r="F936" s="24">
        <v>1.0</v>
      </c>
      <c r="G936" s="18" t="s">
        <v>3839</v>
      </c>
      <c r="H936" s="18"/>
      <c r="I936" s="24">
        <v>8.2325568205E10</v>
      </c>
      <c r="J936" s="18" t="s">
        <v>3840</v>
      </c>
      <c r="K936" s="18"/>
      <c r="L936" s="18" t="s">
        <v>3841</v>
      </c>
    </row>
    <row r="937">
      <c r="A937" s="18" t="s">
        <v>3842</v>
      </c>
      <c r="B937" s="18" t="s">
        <v>791</v>
      </c>
      <c r="C937" s="18" t="s">
        <v>3843</v>
      </c>
      <c r="D937" s="18"/>
      <c r="E937" s="24">
        <v>8.2232066336E10</v>
      </c>
      <c r="F937" s="24">
        <v>1.0</v>
      </c>
      <c r="G937" s="18" t="s">
        <v>3843</v>
      </c>
      <c r="H937" s="18"/>
      <c r="I937" s="24">
        <v>8.2232066336E10</v>
      </c>
      <c r="J937" s="18" t="s">
        <v>3844</v>
      </c>
      <c r="K937" s="18"/>
      <c r="L937" s="18" t="s">
        <v>3845</v>
      </c>
    </row>
    <row r="938">
      <c r="A938" s="18" t="s">
        <v>3846</v>
      </c>
      <c r="B938" s="18" t="s">
        <v>791</v>
      </c>
      <c r="C938" s="18" t="s">
        <v>3847</v>
      </c>
      <c r="D938" s="18"/>
      <c r="E938" s="24">
        <v>8.5217801919E10</v>
      </c>
      <c r="F938" s="24">
        <v>1.0</v>
      </c>
      <c r="G938" s="18" t="s">
        <v>3847</v>
      </c>
      <c r="H938" s="18"/>
      <c r="I938" s="24">
        <v>8.5217801919E10</v>
      </c>
      <c r="J938" s="18" t="s">
        <v>3848</v>
      </c>
      <c r="K938" s="18"/>
      <c r="L938" s="18" t="s">
        <v>1681</v>
      </c>
    </row>
    <row r="939">
      <c r="A939" s="18" t="s">
        <v>3849</v>
      </c>
      <c r="B939" s="18" t="s">
        <v>791</v>
      </c>
      <c r="C939" s="18" t="s">
        <v>3850</v>
      </c>
      <c r="D939" s="18"/>
      <c r="E939" s="24">
        <v>8.5604388255E10</v>
      </c>
      <c r="F939" s="24">
        <v>1.0</v>
      </c>
      <c r="G939" s="18" t="s">
        <v>3850</v>
      </c>
      <c r="H939" s="18"/>
      <c r="I939" s="24">
        <v>8.5604388255E10</v>
      </c>
      <c r="J939" s="18" t="s">
        <v>3851</v>
      </c>
      <c r="K939" s="18"/>
      <c r="L939" s="18" t="s">
        <v>2778</v>
      </c>
    </row>
    <row r="940">
      <c r="A940" s="18" t="s">
        <v>3852</v>
      </c>
      <c r="B940" s="18" t="s">
        <v>791</v>
      </c>
      <c r="C940" s="18" t="s">
        <v>3850</v>
      </c>
      <c r="D940" s="18"/>
      <c r="E940" s="24">
        <v>8.223252301E10</v>
      </c>
      <c r="F940" s="24">
        <v>1.0</v>
      </c>
      <c r="G940" s="18" t="s">
        <v>3850</v>
      </c>
      <c r="H940" s="18"/>
      <c r="I940" s="24">
        <v>8.223252301E10</v>
      </c>
      <c r="J940" s="18" t="s">
        <v>3853</v>
      </c>
      <c r="K940" s="18"/>
      <c r="L940" s="18" t="s">
        <v>3854</v>
      </c>
    </row>
    <row r="941">
      <c r="A941" s="18" t="s">
        <v>3855</v>
      </c>
      <c r="B941" s="18" t="s">
        <v>791</v>
      </c>
      <c r="C941" s="18" t="s">
        <v>3850</v>
      </c>
      <c r="D941" s="18"/>
      <c r="E941" s="24">
        <v>8.2325568205E10</v>
      </c>
      <c r="F941" s="24">
        <v>1.0</v>
      </c>
      <c r="G941" s="18" t="s">
        <v>3850</v>
      </c>
      <c r="H941" s="18"/>
      <c r="I941" s="24">
        <v>8.2325568205E10</v>
      </c>
      <c r="J941" s="18" t="s">
        <v>3856</v>
      </c>
      <c r="K941" s="18"/>
      <c r="L941" s="18" t="s">
        <v>3857</v>
      </c>
    </row>
    <row r="942">
      <c r="A942" s="18" t="s">
        <v>3858</v>
      </c>
      <c r="B942" s="18" t="s">
        <v>791</v>
      </c>
      <c r="C942" s="18" t="s">
        <v>3850</v>
      </c>
      <c r="D942" s="18"/>
      <c r="E942" s="24">
        <v>8.580684218E10</v>
      </c>
      <c r="F942" s="24">
        <v>1.0</v>
      </c>
      <c r="G942" s="18" t="s">
        <v>3850</v>
      </c>
      <c r="H942" s="18"/>
      <c r="I942" s="24">
        <v>8.580684218E10</v>
      </c>
      <c r="J942" s="18" t="s">
        <v>3859</v>
      </c>
      <c r="K942" s="18"/>
      <c r="L942" s="18" t="s">
        <v>1850</v>
      </c>
    </row>
    <row r="943">
      <c r="A943" s="18" t="s">
        <v>3860</v>
      </c>
      <c r="B943" s="18" t="s">
        <v>791</v>
      </c>
      <c r="C943" s="18" t="s">
        <v>3861</v>
      </c>
      <c r="D943" s="18"/>
      <c r="E943" s="24">
        <v>8.5649315581E10</v>
      </c>
      <c r="F943" s="24">
        <v>1.0</v>
      </c>
      <c r="G943" s="18" t="s">
        <v>3861</v>
      </c>
      <c r="H943" s="18"/>
      <c r="I943" s="24">
        <v>8.5649315581E10</v>
      </c>
      <c r="J943" s="18" t="s">
        <v>3862</v>
      </c>
      <c r="K943" s="18"/>
      <c r="L943" s="18" t="s">
        <v>3863</v>
      </c>
    </row>
    <row r="944">
      <c r="A944" s="18" t="s">
        <v>3864</v>
      </c>
      <c r="B944" s="18" t="s">
        <v>791</v>
      </c>
      <c r="C944" s="18" t="s">
        <v>3865</v>
      </c>
      <c r="D944" s="18"/>
      <c r="E944" s="18" t="s">
        <v>3866</v>
      </c>
      <c r="F944" s="24">
        <v>1.0</v>
      </c>
      <c r="G944" s="18" t="s">
        <v>3865</v>
      </c>
      <c r="H944" s="18"/>
      <c r="I944" s="18" t="s">
        <v>3866</v>
      </c>
      <c r="J944" s="18" t="s">
        <v>3866</v>
      </c>
      <c r="K944" s="18"/>
      <c r="L944" s="18" t="s">
        <v>2312</v>
      </c>
    </row>
    <row r="945">
      <c r="A945" s="18" t="s">
        <v>3867</v>
      </c>
      <c r="B945" s="18" t="s">
        <v>791</v>
      </c>
      <c r="C945" s="18" t="s">
        <v>3868</v>
      </c>
      <c r="D945" s="18"/>
      <c r="E945" s="24">
        <v>8.2135033189E10</v>
      </c>
      <c r="F945" s="24">
        <v>1.0</v>
      </c>
      <c r="G945" s="18" t="s">
        <v>3868</v>
      </c>
      <c r="H945" s="18"/>
      <c r="I945" s="24">
        <v>8.2135033189E10</v>
      </c>
      <c r="J945" s="18" t="s">
        <v>3869</v>
      </c>
      <c r="K945" s="18"/>
      <c r="L945" s="18" t="s">
        <v>2003</v>
      </c>
    </row>
    <row r="946">
      <c r="A946" s="18" t="s">
        <v>3870</v>
      </c>
      <c r="B946" s="18" t="s">
        <v>791</v>
      </c>
      <c r="C946" s="18" t="s">
        <v>3871</v>
      </c>
      <c r="D946" s="18"/>
      <c r="E946" s="24">
        <v>8.5334523413E10</v>
      </c>
      <c r="F946" s="24">
        <v>1.0</v>
      </c>
      <c r="G946" s="18" t="s">
        <v>3871</v>
      </c>
      <c r="H946" s="18"/>
      <c r="I946" s="24">
        <v>8.5334523413E10</v>
      </c>
      <c r="J946" s="18" t="s">
        <v>3872</v>
      </c>
      <c r="K946" s="18"/>
      <c r="L946" s="18" t="s">
        <v>197</v>
      </c>
    </row>
    <row r="947">
      <c r="A947" s="18" t="s">
        <v>3873</v>
      </c>
      <c r="B947" s="18" t="s">
        <v>791</v>
      </c>
      <c r="C947" s="18" t="s">
        <v>3874</v>
      </c>
      <c r="D947" s="18"/>
      <c r="E947" s="24">
        <v>8.5233836052E10</v>
      </c>
      <c r="F947" s="24">
        <v>1.0</v>
      </c>
      <c r="G947" s="18" t="s">
        <v>3874</v>
      </c>
      <c r="H947" s="18"/>
      <c r="I947" s="24">
        <v>8.5233836052E10</v>
      </c>
      <c r="J947" s="18" t="s">
        <v>3875</v>
      </c>
      <c r="K947" s="18"/>
      <c r="L947" s="18" t="s">
        <v>1637</v>
      </c>
    </row>
    <row r="948">
      <c r="A948" s="18" t="s">
        <v>3876</v>
      </c>
      <c r="B948" s="18" t="s">
        <v>791</v>
      </c>
      <c r="C948" s="18" t="s">
        <v>3877</v>
      </c>
      <c r="D948" s="18"/>
      <c r="E948" s="24">
        <v>8.5231984464E10</v>
      </c>
      <c r="F948" s="24">
        <v>1.0</v>
      </c>
      <c r="G948" s="18" t="s">
        <v>3877</v>
      </c>
      <c r="H948" s="18"/>
      <c r="I948" s="24">
        <v>8.5231984464E10</v>
      </c>
      <c r="J948" s="18" t="s">
        <v>3878</v>
      </c>
      <c r="K948" s="18"/>
      <c r="L948" s="18" t="s">
        <v>3879</v>
      </c>
    </row>
    <row r="949">
      <c r="A949" s="18" t="s">
        <v>3880</v>
      </c>
      <c r="B949" s="18" t="s">
        <v>791</v>
      </c>
      <c r="C949" s="18" t="s">
        <v>3881</v>
      </c>
      <c r="D949" s="18"/>
      <c r="E949" s="24">
        <v>8.1330239379E10</v>
      </c>
      <c r="F949" s="24">
        <v>1.0</v>
      </c>
      <c r="G949" s="18" t="s">
        <v>3881</v>
      </c>
      <c r="H949" s="18"/>
      <c r="I949" s="24">
        <v>8.1330239379E10</v>
      </c>
      <c r="J949" s="18" t="s">
        <v>3882</v>
      </c>
      <c r="K949" s="18"/>
      <c r="L949" s="18" t="s">
        <v>2103</v>
      </c>
    </row>
    <row r="950">
      <c r="A950" s="18" t="s">
        <v>3883</v>
      </c>
      <c r="B950" s="18" t="s">
        <v>791</v>
      </c>
      <c r="C950" s="18" t="s">
        <v>3884</v>
      </c>
      <c r="D950" s="18"/>
      <c r="E950" s="24">
        <v>8.1311827844E10</v>
      </c>
      <c r="F950" s="24">
        <v>1.0</v>
      </c>
      <c r="G950" s="18" t="s">
        <v>3884</v>
      </c>
      <c r="H950" s="18"/>
      <c r="I950" s="24">
        <v>8.1311827844E10</v>
      </c>
      <c r="J950" s="18" t="s">
        <v>3885</v>
      </c>
      <c r="K950" s="18"/>
      <c r="L950" s="18" t="s">
        <v>1681</v>
      </c>
    </row>
    <row r="951">
      <c r="A951" s="18" t="s">
        <v>3886</v>
      </c>
      <c r="B951" s="18" t="s">
        <v>791</v>
      </c>
      <c r="C951" s="18" t="s">
        <v>3887</v>
      </c>
      <c r="D951" s="18"/>
      <c r="E951" s="24">
        <v>8.2244488884E10</v>
      </c>
      <c r="F951" s="24">
        <v>1.0</v>
      </c>
      <c r="G951" s="18" t="s">
        <v>3887</v>
      </c>
      <c r="H951" s="18"/>
      <c r="I951" s="24">
        <v>8.2244488884E10</v>
      </c>
      <c r="J951" s="18" t="s">
        <v>3888</v>
      </c>
      <c r="K951" s="18"/>
      <c r="L951" s="18" t="s">
        <v>3889</v>
      </c>
    </row>
    <row r="952">
      <c r="A952" s="18" t="s">
        <v>1323</v>
      </c>
      <c r="B952" s="18" t="s">
        <v>791</v>
      </c>
      <c r="C952" s="18" t="s">
        <v>1326</v>
      </c>
      <c r="D952" s="18"/>
      <c r="E952" s="24">
        <v>8.5784809735E10</v>
      </c>
      <c r="F952" s="24">
        <v>1.0</v>
      </c>
      <c r="G952" s="18" t="s">
        <v>1326</v>
      </c>
      <c r="H952" s="18"/>
      <c r="I952" s="24">
        <v>8.5784809735E10</v>
      </c>
      <c r="J952" s="18" t="s">
        <v>1324</v>
      </c>
      <c r="K952" s="18"/>
      <c r="L952" s="18" t="s">
        <v>1327</v>
      </c>
    </row>
    <row r="953">
      <c r="A953" s="18" t="s">
        <v>3890</v>
      </c>
      <c r="B953" s="18" t="s">
        <v>791</v>
      </c>
      <c r="C953" s="18" t="s">
        <v>3891</v>
      </c>
      <c r="D953" s="18"/>
      <c r="E953" s="24">
        <v>8.2229513547E10</v>
      </c>
      <c r="F953" s="24">
        <v>1.0</v>
      </c>
      <c r="G953" s="18" t="s">
        <v>3891</v>
      </c>
      <c r="H953" s="18"/>
      <c r="I953" s="24">
        <v>8.2229513547E10</v>
      </c>
      <c r="J953" s="18" t="s">
        <v>3892</v>
      </c>
      <c r="K953" s="18"/>
      <c r="L953" s="18" t="s">
        <v>3893</v>
      </c>
    </row>
    <row r="954">
      <c r="A954" s="18" t="s">
        <v>3894</v>
      </c>
      <c r="B954" s="18" t="s">
        <v>791</v>
      </c>
      <c r="C954" s="18" t="s">
        <v>3895</v>
      </c>
      <c r="D954" s="18"/>
      <c r="E954" s="18"/>
      <c r="F954" s="24">
        <v>1.0</v>
      </c>
      <c r="G954" s="18" t="s">
        <v>3895</v>
      </c>
      <c r="H954" s="18"/>
      <c r="I954" s="18"/>
      <c r="J954" s="18" t="s">
        <v>3896</v>
      </c>
      <c r="K954" s="18"/>
      <c r="L954" s="18"/>
    </row>
    <row r="955">
      <c r="A955" s="18" t="s">
        <v>3897</v>
      </c>
      <c r="B955" s="18" t="s">
        <v>791</v>
      </c>
      <c r="C955" s="18" t="s">
        <v>3898</v>
      </c>
      <c r="D955" s="18"/>
      <c r="E955" s="24">
        <v>8.2257791825E10</v>
      </c>
      <c r="F955" s="24">
        <v>1.0</v>
      </c>
      <c r="G955" s="18" t="s">
        <v>3898</v>
      </c>
      <c r="H955" s="18"/>
      <c r="I955" s="24">
        <v>8.2257791825E10</v>
      </c>
      <c r="J955" s="18" t="s">
        <v>3899</v>
      </c>
      <c r="K955" s="18"/>
      <c r="L955" s="18" t="s">
        <v>2475</v>
      </c>
    </row>
    <row r="956">
      <c r="A956" s="18" t="s">
        <v>3900</v>
      </c>
      <c r="B956" s="18" t="s">
        <v>791</v>
      </c>
      <c r="C956" s="18" t="s">
        <v>3901</v>
      </c>
      <c r="D956" s="18"/>
      <c r="E956" s="24">
        <v>8.1234131031E10</v>
      </c>
      <c r="F956" s="24">
        <v>1.0</v>
      </c>
      <c r="G956" s="18" t="s">
        <v>3901</v>
      </c>
      <c r="H956" s="18"/>
      <c r="I956" s="24">
        <v>8.1234131031E10</v>
      </c>
      <c r="J956" s="18" t="s">
        <v>3902</v>
      </c>
      <c r="K956" s="18"/>
      <c r="L956" s="18" t="s">
        <v>2189</v>
      </c>
    </row>
    <row r="957">
      <c r="A957" s="18" t="s">
        <v>3903</v>
      </c>
      <c r="B957" s="18" t="s">
        <v>791</v>
      </c>
      <c r="C957" s="18" t="s">
        <v>3904</v>
      </c>
      <c r="D957" s="18"/>
      <c r="E957" s="24">
        <v>8.5235052947E10</v>
      </c>
      <c r="F957" s="24">
        <v>1.0</v>
      </c>
      <c r="G957" s="18" t="s">
        <v>3904</v>
      </c>
      <c r="H957" s="18"/>
      <c r="I957" s="24">
        <v>8.5235052947E10</v>
      </c>
      <c r="J957" s="18" t="s">
        <v>3905</v>
      </c>
      <c r="K957" s="18"/>
      <c r="L957" s="18" t="s">
        <v>3906</v>
      </c>
    </row>
    <row r="958">
      <c r="A958" s="18" t="s">
        <v>3907</v>
      </c>
      <c r="B958" s="18" t="s">
        <v>791</v>
      </c>
      <c r="C958" s="18" t="s">
        <v>3908</v>
      </c>
      <c r="D958" s="18"/>
      <c r="E958" s="24">
        <v>8.5233711713E10</v>
      </c>
      <c r="F958" s="24">
        <v>1.0</v>
      </c>
      <c r="G958" s="18" t="s">
        <v>3908</v>
      </c>
      <c r="H958" s="18"/>
      <c r="I958" s="24">
        <v>8.5233711713E10</v>
      </c>
      <c r="J958" s="18" t="s">
        <v>3909</v>
      </c>
      <c r="K958" s="18"/>
      <c r="L958" s="18" t="s">
        <v>2471</v>
      </c>
    </row>
    <row r="959">
      <c r="A959" s="18" t="s">
        <v>3910</v>
      </c>
      <c r="B959" s="18" t="s">
        <v>791</v>
      </c>
      <c r="C959" s="18" t="s">
        <v>3911</v>
      </c>
      <c r="D959" s="18"/>
      <c r="E959" s="24">
        <v>8.5233836052E10</v>
      </c>
      <c r="F959" s="24">
        <v>1.0</v>
      </c>
      <c r="G959" s="18" t="s">
        <v>3911</v>
      </c>
      <c r="H959" s="18"/>
      <c r="I959" s="24">
        <v>8.5233836052E10</v>
      </c>
      <c r="J959" s="18" t="s">
        <v>3912</v>
      </c>
      <c r="K959" s="18"/>
      <c r="L959" s="18" t="s">
        <v>1637</v>
      </c>
    </row>
    <row r="960">
      <c r="A960" s="18" t="s">
        <v>3913</v>
      </c>
      <c r="B960" s="18" t="s">
        <v>791</v>
      </c>
      <c r="C960" s="18" t="s">
        <v>3914</v>
      </c>
      <c r="D960" s="18"/>
      <c r="E960" s="24">
        <v>8.135714728E10</v>
      </c>
      <c r="F960" s="24">
        <v>1.0</v>
      </c>
      <c r="G960" s="18" t="s">
        <v>3914</v>
      </c>
      <c r="H960" s="18"/>
      <c r="I960" s="24">
        <v>8.135714728E10</v>
      </c>
      <c r="J960" s="18" t="s">
        <v>3915</v>
      </c>
      <c r="K960" s="18"/>
      <c r="L960" s="18" t="s">
        <v>2666</v>
      </c>
    </row>
    <row r="961">
      <c r="A961" s="18" t="s">
        <v>3916</v>
      </c>
      <c r="B961" s="18" t="s">
        <v>791</v>
      </c>
      <c r="C961" s="18" t="s">
        <v>3917</v>
      </c>
      <c r="D961" s="18"/>
      <c r="E961" s="24">
        <v>8.5303510261E10</v>
      </c>
      <c r="F961" s="24">
        <v>1.0</v>
      </c>
      <c r="G961" s="18" t="s">
        <v>3917</v>
      </c>
      <c r="H961" s="18"/>
      <c r="I961" s="24">
        <v>8.5303510261E10</v>
      </c>
      <c r="J961" s="18" t="s">
        <v>3918</v>
      </c>
      <c r="K961" s="18"/>
      <c r="L961" s="18" t="s">
        <v>1493</v>
      </c>
    </row>
    <row r="962">
      <c r="A962" s="18" t="s">
        <v>3919</v>
      </c>
      <c r="B962" s="18" t="s">
        <v>791</v>
      </c>
      <c r="C962" s="18" t="s">
        <v>3920</v>
      </c>
      <c r="D962" s="18"/>
      <c r="E962" s="24">
        <v>8.13345206E10</v>
      </c>
      <c r="F962" s="24">
        <v>1.0</v>
      </c>
      <c r="G962" s="18" t="s">
        <v>3920</v>
      </c>
      <c r="H962" s="18"/>
      <c r="I962" s="24">
        <v>8.13345206E10</v>
      </c>
      <c r="J962" s="18" t="s">
        <v>3921</v>
      </c>
      <c r="K962" s="18"/>
      <c r="L962" s="18" t="s">
        <v>1996</v>
      </c>
    </row>
    <row r="963">
      <c r="A963" s="18" t="s">
        <v>3922</v>
      </c>
      <c r="B963" s="18" t="s">
        <v>791</v>
      </c>
      <c r="C963" s="18" t="s">
        <v>3923</v>
      </c>
      <c r="D963" s="18"/>
      <c r="E963" s="24">
        <v>8.5233878924E10</v>
      </c>
      <c r="F963" s="24">
        <v>1.0</v>
      </c>
      <c r="G963" s="18" t="s">
        <v>3923</v>
      </c>
      <c r="H963" s="18"/>
      <c r="I963" s="24">
        <v>8.5233878924E10</v>
      </c>
      <c r="J963" s="18" t="s">
        <v>3924</v>
      </c>
      <c r="K963" s="18"/>
      <c r="L963" s="18" t="s">
        <v>1637</v>
      </c>
    </row>
    <row r="964">
      <c r="A964" s="18" t="s">
        <v>3925</v>
      </c>
      <c r="B964" s="18" t="s">
        <v>791</v>
      </c>
      <c r="C964" s="18" t="s">
        <v>3926</v>
      </c>
      <c r="D964" s="18"/>
      <c r="E964" s="24">
        <v>8.1335877574E10</v>
      </c>
      <c r="F964" s="24">
        <v>1.0</v>
      </c>
      <c r="G964" s="18" t="s">
        <v>3926</v>
      </c>
      <c r="H964" s="18"/>
      <c r="I964" s="24">
        <v>8.1335877574E10</v>
      </c>
      <c r="J964" s="18" t="s">
        <v>3927</v>
      </c>
      <c r="K964" s="18"/>
      <c r="L964" s="18" t="s">
        <v>2509</v>
      </c>
    </row>
    <row r="965">
      <c r="A965" s="18" t="s">
        <v>3928</v>
      </c>
      <c r="B965" s="18" t="s">
        <v>791</v>
      </c>
      <c r="C965" s="18" t="s">
        <v>3929</v>
      </c>
      <c r="D965" s="18"/>
      <c r="E965" s="24">
        <v>8.580690695E10</v>
      </c>
      <c r="F965" s="24">
        <v>1.0</v>
      </c>
      <c r="G965" s="18" t="s">
        <v>3929</v>
      </c>
      <c r="H965" s="18"/>
      <c r="I965" s="24">
        <v>8.580690695E10</v>
      </c>
      <c r="J965" s="18" t="s">
        <v>3930</v>
      </c>
      <c r="K965" s="18"/>
      <c r="L965" s="18" t="s">
        <v>3664</v>
      </c>
    </row>
    <row r="966">
      <c r="A966" s="18" t="s">
        <v>3931</v>
      </c>
      <c r="B966" s="18" t="s">
        <v>791</v>
      </c>
      <c r="C966" s="18" t="s">
        <v>3932</v>
      </c>
      <c r="D966" s="18"/>
      <c r="E966" s="24">
        <v>8.2140637531E10</v>
      </c>
      <c r="F966" s="24">
        <v>1.0</v>
      </c>
      <c r="G966" s="18" t="s">
        <v>3932</v>
      </c>
      <c r="H966" s="18"/>
      <c r="I966" s="24">
        <v>8.2140637531E10</v>
      </c>
      <c r="J966" s="18" t="s">
        <v>3933</v>
      </c>
      <c r="K966" s="18"/>
      <c r="L966" s="18" t="s">
        <v>3511</v>
      </c>
    </row>
    <row r="967">
      <c r="A967" s="18" t="s">
        <v>3934</v>
      </c>
      <c r="B967" s="18" t="s">
        <v>791</v>
      </c>
      <c r="C967" s="18" t="s">
        <v>3935</v>
      </c>
      <c r="D967" s="18"/>
      <c r="E967" s="24">
        <v>8.1225133819E10</v>
      </c>
      <c r="F967" s="24">
        <v>1.0</v>
      </c>
      <c r="G967" s="18" t="s">
        <v>3935</v>
      </c>
      <c r="H967" s="18"/>
      <c r="I967" s="24">
        <v>8.1225133819E10</v>
      </c>
      <c r="J967" s="18" t="s">
        <v>3936</v>
      </c>
      <c r="K967" s="18"/>
      <c r="L967" s="18" t="s">
        <v>3937</v>
      </c>
    </row>
    <row r="968">
      <c r="A968" s="18" t="s">
        <v>3938</v>
      </c>
      <c r="B968" s="18" t="s">
        <v>791</v>
      </c>
      <c r="C968" s="18" t="s">
        <v>3939</v>
      </c>
      <c r="D968" s="18"/>
      <c r="E968" s="24">
        <v>8.5233878924E10</v>
      </c>
      <c r="F968" s="24">
        <v>1.0</v>
      </c>
      <c r="G968" s="18" t="s">
        <v>3939</v>
      </c>
      <c r="H968" s="18"/>
      <c r="I968" s="24">
        <v>8.5233878924E10</v>
      </c>
      <c r="J968" s="18" t="s">
        <v>3940</v>
      </c>
      <c r="K968" s="18"/>
      <c r="L968" s="18" t="s">
        <v>1637</v>
      </c>
    </row>
    <row r="969">
      <c r="A969" s="18" t="s">
        <v>3941</v>
      </c>
      <c r="B969" s="18" t="s">
        <v>791</v>
      </c>
      <c r="C969" s="18" t="s">
        <v>3942</v>
      </c>
      <c r="D969" s="18"/>
      <c r="E969" s="24">
        <v>8.139025822E10</v>
      </c>
      <c r="F969" s="24">
        <v>1.0</v>
      </c>
      <c r="G969" s="18" t="s">
        <v>3942</v>
      </c>
      <c r="H969" s="18"/>
      <c r="I969" s="24">
        <v>8.139025822E10</v>
      </c>
      <c r="J969" s="18" t="s">
        <v>3943</v>
      </c>
      <c r="K969" s="18"/>
      <c r="L969" s="18" t="s">
        <v>3944</v>
      </c>
    </row>
    <row r="970">
      <c r="A970" s="18" t="s">
        <v>3945</v>
      </c>
      <c r="B970" s="18" t="s">
        <v>791</v>
      </c>
      <c r="C970" s="18" t="s">
        <v>3946</v>
      </c>
      <c r="D970" s="18"/>
      <c r="E970" s="18"/>
      <c r="F970" s="24">
        <v>1.0</v>
      </c>
      <c r="G970" s="18" t="s">
        <v>3946</v>
      </c>
      <c r="H970" s="18"/>
      <c r="I970" s="18"/>
      <c r="J970" s="18" t="s">
        <v>3947</v>
      </c>
      <c r="K970" s="18"/>
      <c r="L970" s="18"/>
    </row>
    <row r="971">
      <c r="A971" s="18" t="s">
        <v>3948</v>
      </c>
      <c r="B971" s="18" t="s">
        <v>791</v>
      </c>
      <c r="C971" s="18" t="s">
        <v>3949</v>
      </c>
      <c r="D971" s="18"/>
      <c r="E971" s="24">
        <v>8.5233878924E10</v>
      </c>
      <c r="F971" s="24">
        <v>1.0</v>
      </c>
      <c r="G971" s="18" t="s">
        <v>3949</v>
      </c>
      <c r="H971" s="18"/>
      <c r="I971" s="24">
        <v>8.5233878924E10</v>
      </c>
      <c r="J971" s="18" t="s">
        <v>3950</v>
      </c>
      <c r="K971" s="18"/>
      <c r="L971" s="18" t="s">
        <v>1637</v>
      </c>
    </row>
    <row r="972">
      <c r="A972" s="18" t="s">
        <v>3951</v>
      </c>
      <c r="B972" s="18" t="s">
        <v>791</v>
      </c>
      <c r="C972" s="18" t="s">
        <v>3952</v>
      </c>
      <c r="D972" s="18"/>
      <c r="E972" s="24">
        <v>8.2269791231E10</v>
      </c>
      <c r="F972" s="24">
        <v>1.0</v>
      </c>
      <c r="G972" s="18" t="s">
        <v>3952</v>
      </c>
      <c r="H972" s="18"/>
      <c r="I972" s="24">
        <v>8.2269791231E10</v>
      </c>
      <c r="J972" s="18" t="s">
        <v>3953</v>
      </c>
      <c r="K972" s="18"/>
      <c r="L972" s="18" t="s">
        <v>3954</v>
      </c>
    </row>
    <row r="973">
      <c r="A973" s="18" t="s">
        <v>3955</v>
      </c>
      <c r="B973" s="18" t="s">
        <v>791</v>
      </c>
      <c r="C973" s="18" t="s">
        <v>3956</v>
      </c>
      <c r="D973" s="18"/>
      <c r="E973" s="24">
        <v>8.5642111844E10</v>
      </c>
      <c r="F973" s="24">
        <v>1.0</v>
      </c>
      <c r="G973" s="18" t="s">
        <v>3956</v>
      </c>
      <c r="H973" s="18"/>
      <c r="I973" s="24">
        <v>8.5642111844E10</v>
      </c>
      <c r="J973" s="18" t="s">
        <v>3957</v>
      </c>
      <c r="K973" s="18"/>
      <c r="L973" s="18" t="s">
        <v>3958</v>
      </c>
    </row>
    <row r="974">
      <c r="A974" s="18" t="s">
        <v>3959</v>
      </c>
      <c r="B974" s="18" t="s">
        <v>791</v>
      </c>
      <c r="C974" s="18" t="s">
        <v>3960</v>
      </c>
      <c r="D974" s="18"/>
      <c r="E974" s="24">
        <v>8.1335418908E10</v>
      </c>
      <c r="F974" s="24">
        <v>1.0</v>
      </c>
      <c r="G974" s="18" t="s">
        <v>3960</v>
      </c>
      <c r="H974" s="18"/>
      <c r="I974" s="24">
        <v>8.1335418908E10</v>
      </c>
      <c r="J974" s="18" t="s">
        <v>3961</v>
      </c>
      <c r="K974" s="18"/>
      <c r="L974" s="18" t="s">
        <v>3962</v>
      </c>
    </row>
    <row r="975">
      <c r="A975" s="18" t="s">
        <v>3963</v>
      </c>
      <c r="B975" s="18" t="s">
        <v>791</v>
      </c>
      <c r="C975" s="18" t="s">
        <v>3960</v>
      </c>
      <c r="D975" s="18"/>
      <c r="E975" s="24">
        <v>8.533662705E10</v>
      </c>
      <c r="F975" s="24">
        <v>1.0</v>
      </c>
      <c r="G975" s="18" t="s">
        <v>3960</v>
      </c>
      <c r="H975" s="18"/>
      <c r="I975" s="24">
        <v>8.533662705E10</v>
      </c>
      <c r="J975" s="18" t="s">
        <v>3964</v>
      </c>
      <c r="K975" s="18"/>
      <c r="L975" s="18" t="s">
        <v>1651</v>
      </c>
    </row>
    <row r="976">
      <c r="A976" s="18" t="s">
        <v>3965</v>
      </c>
      <c r="B976" s="18" t="s">
        <v>791</v>
      </c>
      <c r="C976" s="18" t="s">
        <v>3966</v>
      </c>
      <c r="D976" s="18"/>
      <c r="E976" s="24">
        <v>8.5337321218E10</v>
      </c>
      <c r="F976" s="24">
        <v>1.0</v>
      </c>
      <c r="G976" s="18" t="s">
        <v>3966</v>
      </c>
      <c r="H976" s="18"/>
      <c r="I976" s="24">
        <v>8.5337321218E10</v>
      </c>
      <c r="J976" s="18" t="s">
        <v>3967</v>
      </c>
      <c r="K976" s="18"/>
      <c r="L976" s="18" t="s">
        <v>3751</v>
      </c>
    </row>
    <row r="977">
      <c r="A977" s="18" t="s">
        <v>3968</v>
      </c>
      <c r="B977" s="18" t="s">
        <v>791</v>
      </c>
      <c r="C977" s="18" t="s">
        <v>3969</v>
      </c>
      <c r="D977" s="18"/>
      <c r="E977" s="24">
        <v>8.5235647267E10</v>
      </c>
      <c r="F977" s="24">
        <v>1.0</v>
      </c>
      <c r="G977" s="18" t="s">
        <v>3969</v>
      </c>
      <c r="H977" s="18"/>
      <c r="I977" s="24">
        <v>8.5235647267E10</v>
      </c>
      <c r="J977" s="18" t="s">
        <v>3970</v>
      </c>
      <c r="K977" s="18"/>
      <c r="L977" s="18" t="s">
        <v>2036</v>
      </c>
    </row>
    <row r="978">
      <c r="A978" s="18" t="s">
        <v>3971</v>
      </c>
      <c r="B978" s="18" t="s">
        <v>791</v>
      </c>
      <c r="C978" s="18" t="s">
        <v>3972</v>
      </c>
      <c r="D978" s="18"/>
      <c r="E978" s="24">
        <v>8.5331754948E10</v>
      </c>
      <c r="F978" s="24">
        <v>1.0</v>
      </c>
      <c r="G978" s="18" t="s">
        <v>3972</v>
      </c>
      <c r="H978" s="18"/>
      <c r="I978" s="24">
        <v>8.5331754948E10</v>
      </c>
      <c r="J978" s="18" t="s">
        <v>3973</v>
      </c>
      <c r="K978" s="18"/>
      <c r="L978" s="18" t="s">
        <v>2354</v>
      </c>
    </row>
    <row r="979">
      <c r="A979" s="18" t="s">
        <v>3974</v>
      </c>
      <c r="B979" s="18" t="s">
        <v>791</v>
      </c>
      <c r="C979" s="18" t="s">
        <v>3975</v>
      </c>
      <c r="D979" s="18"/>
      <c r="E979" s="24">
        <v>8.5233836052E10</v>
      </c>
      <c r="F979" s="24">
        <v>1.0</v>
      </c>
      <c r="G979" s="18" t="s">
        <v>3975</v>
      </c>
      <c r="H979" s="18"/>
      <c r="I979" s="24">
        <v>8.5233836052E10</v>
      </c>
      <c r="J979" s="18" t="s">
        <v>3976</v>
      </c>
      <c r="K979" s="18"/>
      <c r="L979" s="18" t="s">
        <v>1637</v>
      </c>
    </row>
    <row r="980">
      <c r="A980" s="18" t="s">
        <v>3977</v>
      </c>
      <c r="B980" s="18" t="s">
        <v>791</v>
      </c>
      <c r="C980" s="18" t="s">
        <v>3978</v>
      </c>
      <c r="D980" s="18"/>
      <c r="E980" s="24">
        <v>8.1393120813E10</v>
      </c>
      <c r="F980" s="24">
        <v>1.0</v>
      </c>
      <c r="G980" s="18" t="s">
        <v>3978</v>
      </c>
      <c r="H980" s="18"/>
      <c r="I980" s="24">
        <v>8.1393120813E10</v>
      </c>
      <c r="J980" s="18" t="s">
        <v>3979</v>
      </c>
      <c r="K980" s="18"/>
      <c r="L980" s="18" t="s">
        <v>2110</v>
      </c>
    </row>
    <row r="981">
      <c r="A981" s="18" t="s">
        <v>3980</v>
      </c>
      <c r="B981" s="18" t="s">
        <v>791</v>
      </c>
      <c r="C981" s="18" t="s">
        <v>3981</v>
      </c>
      <c r="D981" s="18"/>
      <c r="E981" s="24">
        <v>8.1335410377E10</v>
      </c>
      <c r="F981" s="24">
        <v>1.0</v>
      </c>
      <c r="G981" s="18" t="s">
        <v>3981</v>
      </c>
      <c r="H981" s="18"/>
      <c r="I981" s="24">
        <v>8.1335410377E10</v>
      </c>
      <c r="J981" s="18" t="s">
        <v>3982</v>
      </c>
      <c r="K981" s="18"/>
      <c r="L981" s="18" t="s">
        <v>84</v>
      </c>
    </row>
    <row r="982">
      <c r="A982" s="18" t="s">
        <v>3983</v>
      </c>
      <c r="B982" s="18" t="s">
        <v>791</v>
      </c>
      <c r="C982" s="18" t="s">
        <v>3984</v>
      </c>
      <c r="D982" s="18"/>
      <c r="E982" s="24">
        <v>8.1615600615E10</v>
      </c>
      <c r="F982" s="24">
        <v>1.0</v>
      </c>
      <c r="G982" s="18" t="s">
        <v>3984</v>
      </c>
      <c r="H982" s="18"/>
      <c r="I982" s="24">
        <v>8.1615600615E10</v>
      </c>
      <c r="J982" s="18" t="s">
        <v>3985</v>
      </c>
      <c r="K982" s="18"/>
      <c r="L982" s="18" t="s">
        <v>3986</v>
      </c>
    </row>
    <row r="983">
      <c r="A983" s="18" t="s">
        <v>3987</v>
      </c>
      <c r="B983" s="18" t="s">
        <v>791</v>
      </c>
      <c r="C983" s="18" t="s">
        <v>3988</v>
      </c>
      <c r="D983" s="18"/>
      <c r="E983" s="24">
        <v>8.9631436646E10</v>
      </c>
      <c r="F983" s="24">
        <v>1.0</v>
      </c>
      <c r="G983" s="18" t="s">
        <v>3988</v>
      </c>
      <c r="H983" s="18"/>
      <c r="I983" s="24">
        <v>8.9631436646E10</v>
      </c>
      <c r="J983" s="18" t="s">
        <v>3989</v>
      </c>
      <c r="K983" s="18"/>
      <c r="L983" s="18" t="s">
        <v>1637</v>
      </c>
    </row>
    <row r="984">
      <c r="A984" s="18" t="s">
        <v>3990</v>
      </c>
      <c r="B984" s="18" t="s">
        <v>791</v>
      </c>
      <c r="C984" s="18" t="s">
        <v>3991</v>
      </c>
      <c r="D984" s="18"/>
      <c r="E984" s="24">
        <v>8.5235665278E10</v>
      </c>
      <c r="F984" s="24">
        <v>1.0</v>
      </c>
      <c r="G984" s="18" t="s">
        <v>3991</v>
      </c>
      <c r="H984" s="18"/>
      <c r="I984" s="24">
        <v>8.5235665278E10</v>
      </c>
      <c r="J984" s="18" t="s">
        <v>3992</v>
      </c>
      <c r="K984" s="18"/>
      <c r="L984" s="18" t="s">
        <v>3993</v>
      </c>
    </row>
    <row r="985">
      <c r="A985" s="18" t="s">
        <v>3994</v>
      </c>
      <c r="B985" s="18" t="s">
        <v>791</v>
      </c>
      <c r="C985" s="18" t="s">
        <v>3995</v>
      </c>
      <c r="D985" s="18"/>
      <c r="E985" s="24">
        <v>8.1325019709E10</v>
      </c>
      <c r="F985" s="24">
        <v>1.0</v>
      </c>
      <c r="G985" s="18" t="s">
        <v>3995</v>
      </c>
      <c r="H985" s="18"/>
      <c r="I985" s="24">
        <v>8.1325019709E10</v>
      </c>
      <c r="J985" s="18" t="s">
        <v>3996</v>
      </c>
      <c r="K985" s="18"/>
      <c r="L985" s="18" t="s">
        <v>3997</v>
      </c>
    </row>
    <row r="986">
      <c r="A986" s="18" t="s">
        <v>3998</v>
      </c>
      <c r="B986" s="18" t="s">
        <v>791</v>
      </c>
      <c r="C986" s="18" t="s">
        <v>3999</v>
      </c>
      <c r="D986" s="18"/>
      <c r="E986" s="24">
        <v>8.134690852E9</v>
      </c>
      <c r="F986" s="24">
        <v>1.0</v>
      </c>
      <c r="G986" s="18" t="s">
        <v>3999</v>
      </c>
      <c r="H986" s="18"/>
      <c r="I986" s="24">
        <v>8.134690852E9</v>
      </c>
      <c r="J986" s="18" t="s">
        <v>4000</v>
      </c>
      <c r="K986" s="18"/>
      <c r="L986" s="18" t="s">
        <v>3423</v>
      </c>
    </row>
    <row r="987">
      <c r="A987" s="18" t="s">
        <v>4001</v>
      </c>
      <c r="B987" s="18" t="s">
        <v>791</v>
      </c>
      <c r="C987" s="18" t="s">
        <v>3999</v>
      </c>
      <c r="D987" s="18"/>
      <c r="E987" s="24">
        <v>8.2337029948E10</v>
      </c>
      <c r="F987" s="24">
        <v>1.0</v>
      </c>
      <c r="G987" s="18" t="s">
        <v>3999</v>
      </c>
      <c r="H987" s="18"/>
      <c r="I987" s="24">
        <v>8.2337029948E10</v>
      </c>
      <c r="J987" s="18" t="s">
        <v>4002</v>
      </c>
      <c r="K987" s="18"/>
      <c r="L987" s="18" t="s">
        <v>3202</v>
      </c>
    </row>
    <row r="988">
      <c r="A988" s="18" t="s">
        <v>4003</v>
      </c>
      <c r="B988" s="18" t="s">
        <v>791</v>
      </c>
      <c r="C988" s="18" t="s">
        <v>4004</v>
      </c>
      <c r="D988" s="18"/>
      <c r="E988" s="24">
        <v>8.2312388907E10</v>
      </c>
      <c r="F988" s="24">
        <v>1.0</v>
      </c>
      <c r="G988" s="18" t="s">
        <v>4004</v>
      </c>
      <c r="H988" s="18"/>
      <c r="I988" s="24">
        <v>8.2312388907E10</v>
      </c>
      <c r="J988" s="18" t="s">
        <v>4005</v>
      </c>
      <c r="K988" s="18"/>
      <c r="L988" s="18" t="s">
        <v>1914</v>
      </c>
    </row>
    <row r="989">
      <c r="A989" s="18" t="s">
        <v>4006</v>
      </c>
      <c r="B989" s="18" t="s">
        <v>791</v>
      </c>
      <c r="C989" s="18" t="s">
        <v>4007</v>
      </c>
      <c r="D989" s="18"/>
      <c r="E989" s="24">
        <v>8.5624085325E10</v>
      </c>
      <c r="F989" s="24">
        <v>1.0</v>
      </c>
      <c r="G989" s="18" t="s">
        <v>4007</v>
      </c>
      <c r="H989" s="18"/>
      <c r="I989" s="24">
        <v>8.5624085325E10</v>
      </c>
      <c r="J989" s="18" t="s">
        <v>4008</v>
      </c>
      <c r="K989" s="18"/>
      <c r="L989" s="18" t="s">
        <v>4009</v>
      </c>
    </row>
    <row r="990">
      <c r="A990" s="18" t="s">
        <v>4010</v>
      </c>
      <c r="B990" s="18" t="s">
        <v>791</v>
      </c>
      <c r="C990" s="18" t="s">
        <v>4004</v>
      </c>
      <c r="D990" s="18"/>
      <c r="E990" s="24">
        <v>8.128172531E10</v>
      </c>
      <c r="F990" s="24">
        <v>1.0</v>
      </c>
      <c r="G990" s="18" t="s">
        <v>4004</v>
      </c>
      <c r="H990" s="18"/>
      <c r="I990" s="24">
        <v>8.128172531E10</v>
      </c>
      <c r="J990" s="18" t="s">
        <v>4011</v>
      </c>
      <c r="K990" s="18"/>
      <c r="L990" s="18" t="s">
        <v>4012</v>
      </c>
    </row>
    <row r="991">
      <c r="A991" s="18" t="s">
        <v>4013</v>
      </c>
      <c r="B991" s="18" t="s">
        <v>791</v>
      </c>
      <c r="C991" s="18" t="s">
        <v>4004</v>
      </c>
      <c r="D991" s="18"/>
      <c r="E991" s="24">
        <v>8.1556402433E10</v>
      </c>
      <c r="F991" s="24">
        <v>1.0</v>
      </c>
      <c r="G991" s="18" t="s">
        <v>4004</v>
      </c>
      <c r="H991" s="18"/>
      <c r="I991" s="24">
        <v>8.1556402433E10</v>
      </c>
      <c r="J991" s="18" t="s">
        <v>4014</v>
      </c>
      <c r="K991" s="18"/>
      <c r="L991" s="18" t="s">
        <v>2332</v>
      </c>
    </row>
    <row r="992">
      <c r="A992" s="18" t="s">
        <v>4015</v>
      </c>
      <c r="B992" s="18" t="s">
        <v>791</v>
      </c>
      <c r="C992" s="18" t="s">
        <v>4004</v>
      </c>
      <c r="D992" s="18"/>
      <c r="E992" s="24">
        <v>8.1330720631E10</v>
      </c>
      <c r="F992" s="24">
        <v>1.0</v>
      </c>
      <c r="G992" s="18" t="s">
        <v>4004</v>
      </c>
      <c r="H992" s="18"/>
      <c r="I992" s="24">
        <v>8.1330720631E10</v>
      </c>
      <c r="J992" s="18" t="s">
        <v>4016</v>
      </c>
      <c r="K992" s="18"/>
      <c r="L992" s="18" t="s">
        <v>1681</v>
      </c>
    </row>
    <row r="993">
      <c r="A993" s="18" t="s">
        <v>4017</v>
      </c>
      <c r="B993" s="18" t="s">
        <v>791</v>
      </c>
      <c r="C993" s="18" t="s">
        <v>4018</v>
      </c>
      <c r="D993" s="18"/>
      <c r="E993" s="24">
        <v>8.230185852E10</v>
      </c>
      <c r="F993" s="24">
        <v>1.0</v>
      </c>
      <c r="G993" s="18" t="s">
        <v>4018</v>
      </c>
      <c r="H993" s="18"/>
      <c r="I993" s="24">
        <v>8.230185852E10</v>
      </c>
      <c r="J993" s="18" t="s">
        <v>4019</v>
      </c>
      <c r="K993" s="18"/>
      <c r="L993" s="18" t="s">
        <v>1854</v>
      </c>
    </row>
    <row r="994">
      <c r="A994" s="18" t="s">
        <v>4020</v>
      </c>
      <c r="B994" s="18" t="s">
        <v>791</v>
      </c>
      <c r="C994" s="18" t="s">
        <v>4021</v>
      </c>
      <c r="D994" s="18"/>
      <c r="E994" s="24">
        <v>8.1333906122E10</v>
      </c>
      <c r="F994" s="24">
        <v>1.0</v>
      </c>
      <c r="G994" s="18" t="s">
        <v>4021</v>
      </c>
      <c r="H994" s="18"/>
      <c r="I994" s="24">
        <v>8.1333906122E10</v>
      </c>
      <c r="J994" s="24">
        <v>3.52116050680002E14</v>
      </c>
      <c r="K994" s="18"/>
      <c r="L994" s="18" t="s">
        <v>1633</v>
      </c>
    </row>
    <row r="995">
      <c r="A995" s="18" t="s">
        <v>4022</v>
      </c>
      <c r="B995" s="18" t="s">
        <v>791</v>
      </c>
      <c r="C995" s="18" t="s">
        <v>4021</v>
      </c>
      <c r="D995" s="18"/>
      <c r="E995" s="24">
        <v>8.5655762124E10</v>
      </c>
      <c r="F995" s="24">
        <v>1.0</v>
      </c>
      <c r="G995" s="18" t="s">
        <v>4021</v>
      </c>
      <c r="H995" s="18"/>
      <c r="I995" s="24">
        <v>8.5655762124E10</v>
      </c>
      <c r="J995" s="18" t="s">
        <v>4023</v>
      </c>
      <c r="K995" s="18"/>
      <c r="L995" s="18" t="s">
        <v>2967</v>
      </c>
    </row>
    <row r="996">
      <c r="A996" s="18" t="s">
        <v>4024</v>
      </c>
      <c r="B996" s="18" t="s">
        <v>791</v>
      </c>
      <c r="C996" s="18" t="s">
        <v>4025</v>
      </c>
      <c r="D996" s="18"/>
      <c r="E996" s="24">
        <v>8.5334523413E10</v>
      </c>
      <c r="F996" s="24">
        <v>1.0</v>
      </c>
      <c r="G996" s="18" t="s">
        <v>4025</v>
      </c>
      <c r="H996" s="18"/>
      <c r="I996" s="24">
        <v>8.5334523413E10</v>
      </c>
      <c r="J996" s="18" t="s">
        <v>4026</v>
      </c>
      <c r="K996" s="18"/>
      <c r="L996" s="18" t="s">
        <v>197</v>
      </c>
    </row>
    <row r="997">
      <c r="A997" s="18" t="s">
        <v>4027</v>
      </c>
      <c r="B997" s="18" t="s">
        <v>791</v>
      </c>
      <c r="C997" s="18" t="s">
        <v>4028</v>
      </c>
      <c r="D997" s="18"/>
      <c r="E997" s="24">
        <v>8.2245442422E10</v>
      </c>
      <c r="F997" s="24">
        <v>1.0</v>
      </c>
      <c r="G997" s="18" t="s">
        <v>4028</v>
      </c>
      <c r="H997" s="18"/>
      <c r="I997" s="24">
        <v>8.2245442422E10</v>
      </c>
      <c r="J997" s="18" t="s">
        <v>4029</v>
      </c>
      <c r="K997" s="18"/>
      <c r="L997" s="18" t="s">
        <v>1637</v>
      </c>
    </row>
    <row r="998">
      <c r="A998" s="18" t="s">
        <v>4030</v>
      </c>
      <c r="B998" s="18" t="s">
        <v>791</v>
      </c>
      <c r="C998" s="18" t="s">
        <v>4031</v>
      </c>
      <c r="D998" s="18"/>
      <c r="E998" s="24">
        <v>8.1359544001E10</v>
      </c>
      <c r="F998" s="24">
        <v>1.0</v>
      </c>
      <c r="G998" s="18" t="s">
        <v>4031</v>
      </c>
      <c r="H998" s="18"/>
      <c r="I998" s="24">
        <v>8.1359544001E10</v>
      </c>
      <c r="J998" s="18" t="s">
        <v>4032</v>
      </c>
      <c r="K998" s="18"/>
      <c r="L998" s="18" t="s">
        <v>2159</v>
      </c>
    </row>
    <row r="999">
      <c r="A999" s="18" t="s">
        <v>4033</v>
      </c>
      <c r="B999" s="18" t="s">
        <v>791</v>
      </c>
      <c r="C999" s="18" t="s">
        <v>4034</v>
      </c>
      <c r="D999" s="18"/>
      <c r="E999" s="24">
        <v>8.5335960089E10</v>
      </c>
      <c r="F999" s="24">
        <v>1.0</v>
      </c>
      <c r="G999" s="18" t="s">
        <v>4034</v>
      </c>
      <c r="H999" s="18"/>
      <c r="I999" s="24">
        <v>8.5335960089E10</v>
      </c>
      <c r="J999" s="18" t="s">
        <v>4035</v>
      </c>
      <c r="K999" s="18"/>
      <c r="L999" s="18" t="s">
        <v>2110</v>
      </c>
    </row>
    <row r="1000">
      <c r="A1000" s="18" t="s">
        <v>4036</v>
      </c>
      <c r="B1000" s="18" t="s">
        <v>791</v>
      </c>
      <c r="C1000" s="18" t="s">
        <v>4037</v>
      </c>
      <c r="D1000" s="18"/>
      <c r="E1000" s="24">
        <v>8.5231194243E10</v>
      </c>
      <c r="F1000" s="24">
        <v>1.0</v>
      </c>
      <c r="G1000" s="18" t="s">
        <v>4037</v>
      </c>
      <c r="H1000" s="18"/>
      <c r="I1000" s="24">
        <v>8.5231194243E10</v>
      </c>
      <c r="J1000" s="18" t="s">
        <v>4038</v>
      </c>
      <c r="K1000" s="18"/>
      <c r="L1000" s="18" t="s">
        <v>2584</v>
      </c>
    </row>
    <row r="1001">
      <c r="A1001" s="18" t="s">
        <v>4039</v>
      </c>
      <c r="B1001" s="18" t="s">
        <v>791</v>
      </c>
      <c r="C1001" s="18" t="s">
        <v>4040</v>
      </c>
      <c r="D1001" s="18"/>
      <c r="E1001" s="24">
        <v>8.5232934108E10</v>
      </c>
      <c r="F1001" s="24">
        <v>1.0</v>
      </c>
      <c r="G1001" s="18" t="s">
        <v>4040</v>
      </c>
      <c r="H1001" s="18"/>
      <c r="I1001" s="24">
        <v>8.5232934108E10</v>
      </c>
      <c r="J1001" s="18" t="s">
        <v>4041</v>
      </c>
      <c r="K1001" s="18"/>
      <c r="L1001" s="18" t="s">
        <v>2312</v>
      </c>
    </row>
    <row r="1002">
      <c r="A1002" s="18" t="s">
        <v>4042</v>
      </c>
      <c r="B1002" s="18" t="s">
        <v>791</v>
      </c>
      <c r="C1002" s="18" t="s">
        <v>4043</v>
      </c>
      <c r="D1002" s="18"/>
      <c r="E1002" s="24">
        <v>8.1216143675E10</v>
      </c>
      <c r="F1002" s="24">
        <v>1.0</v>
      </c>
      <c r="G1002" s="18" t="s">
        <v>4043</v>
      </c>
      <c r="H1002" s="18"/>
      <c r="I1002" s="24">
        <v>8.1216143675E10</v>
      </c>
      <c r="J1002" s="18" t="s">
        <v>4044</v>
      </c>
      <c r="K1002" s="18"/>
      <c r="L1002" s="18" t="s">
        <v>1971</v>
      </c>
    </row>
    <row r="1003">
      <c r="A1003" s="18" t="s">
        <v>4045</v>
      </c>
      <c r="B1003" s="18" t="s">
        <v>791</v>
      </c>
      <c r="C1003" s="18" t="s">
        <v>4046</v>
      </c>
      <c r="D1003" s="18"/>
      <c r="E1003" s="24">
        <v>8.1511210846E10</v>
      </c>
      <c r="F1003" s="24">
        <v>1.0</v>
      </c>
      <c r="G1003" s="18" t="s">
        <v>4046</v>
      </c>
      <c r="H1003" s="18"/>
      <c r="I1003" s="24">
        <v>8.1511210846E10</v>
      </c>
      <c r="J1003" s="18" t="s">
        <v>4047</v>
      </c>
      <c r="K1003" s="18"/>
      <c r="L1003" s="18" t="s">
        <v>4048</v>
      </c>
    </row>
    <row r="1004">
      <c r="A1004" s="18" t="s">
        <v>4049</v>
      </c>
      <c r="B1004" s="18" t="s">
        <v>791</v>
      </c>
      <c r="C1004" s="18" t="s">
        <v>4050</v>
      </c>
      <c r="D1004" s="18"/>
      <c r="E1004" s="24">
        <v>8.533547433E10</v>
      </c>
      <c r="F1004" s="24">
        <v>1.0</v>
      </c>
      <c r="G1004" s="18" t="s">
        <v>4050</v>
      </c>
      <c r="H1004" s="18"/>
      <c r="I1004" s="24">
        <v>8.533547433E10</v>
      </c>
      <c r="J1004" s="18" t="s">
        <v>4051</v>
      </c>
      <c r="K1004" s="18"/>
      <c r="L1004" s="18" t="s">
        <v>2269</v>
      </c>
    </row>
    <row r="1005">
      <c r="A1005" s="18" t="s">
        <v>4052</v>
      </c>
      <c r="B1005" s="18" t="s">
        <v>791</v>
      </c>
      <c r="C1005" s="18" t="s">
        <v>4053</v>
      </c>
      <c r="D1005" s="18"/>
      <c r="E1005" s="24">
        <v>8.133596015E10</v>
      </c>
      <c r="F1005" s="24">
        <v>1.0</v>
      </c>
      <c r="G1005" s="18" t="s">
        <v>4053</v>
      </c>
      <c r="H1005" s="18"/>
      <c r="I1005" s="24">
        <v>8.133596015E10</v>
      </c>
      <c r="J1005" s="18" t="s">
        <v>4054</v>
      </c>
      <c r="K1005" s="18"/>
      <c r="L1005" s="18" t="s">
        <v>1685</v>
      </c>
    </row>
    <row r="1006">
      <c r="A1006" s="18" t="s">
        <v>4055</v>
      </c>
      <c r="B1006" s="18" t="s">
        <v>791</v>
      </c>
      <c r="C1006" s="18" t="s">
        <v>4053</v>
      </c>
      <c r="D1006" s="18"/>
      <c r="E1006" s="24">
        <v>8.5235647267E10</v>
      </c>
      <c r="F1006" s="24">
        <v>1.0</v>
      </c>
      <c r="G1006" s="18" t="s">
        <v>4053</v>
      </c>
      <c r="H1006" s="18"/>
      <c r="I1006" s="24">
        <v>8.5235647267E10</v>
      </c>
      <c r="J1006" s="18" t="s">
        <v>4056</v>
      </c>
      <c r="K1006" s="18"/>
      <c r="L1006" s="18" t="s">
        <v>2036</v>
      </c>
    </row>
    <row r="1007">
      <c r="A1007" s="18" t="s">
        <v>4057</v>
      </c>
      <c r="B1007" s="18" t="s">
        <v>791</v>
      </c>
      <c r="C1007" s="18" t="s">
        <v>4053</v>
      </c>
      <c r="D1007" s="18"/>
      <c r="E1007" s="24">
        <v>8.563656034E9</v>
      </c>
      <c r="F1007" s="24">
        <v>1.0</v>
      </c>
      <c r="G1007" s="18" t="s">
        <v>4053</v>
      </c>
      <c r="H1007" s="18"/>
      <c r="I1007" s="24">
        <v>8.563656034E9</v>
      </c>
      <c r="J1007" s="18" t="s">
        <v>4058</v>
      </c>
      <c r="K1007" s="18"/>
      <c r="L1007" s="18" t="s">
        <v>1673</v>
      </c>
    </row>
    <row r="1008">
      <c r="A1008" s="18" t="s">
        <v>4059</v>
      </c>
      <c r="B1008" s="18" t="s">
        <v>791</v>
      </c>
      <c r="C1008" s="18" t="s">
        <v>4053</v>
      </c>
      <c r="D1008" s="18"/>
      <c r="E1008" s="24">
        <v>8.5708015999E10</v>
      </c>
      <c r="F1008" s="24">
        <v>1.0</v>
      </c>
      <c r="G1008" s="18" t="s">
        <v>4053</v>
      </c>
      <c r="H1008" s="18"/>
      <c r="I1008" s="24">
        <v>8.5708015999E10</v>
      </c>
      <c r="J1008" s="18" t="s">
        <v>4060</v>
      </c>
      <c r="K1008" s="18"/>
      <c r="L1008" s="18" t="s">
        <v>2430</v>
      </c>
    </row>
    <row r="1009">
      <c r="A1009" s="18" t="s">
        <v>4061</v>
      </c>
      <c r="B1009" s="18" t="s">
        <v>791</v>
      </c>
      <c r="C1009" s="18" t="s">
        <v>4062</v>
      </c>
      <c r="D1009" s="18"/>
      <c r="E1009" s="24">
        <v>8.5853639904E10</v>
      </c>
      <c r="F1009" s="24">
        <v>1.0</v>
      </c>
      <c r="G1009" s="18" t="s">
        <v>4062</v>
      </c>
      <c r="H1009" s="18"/>
      <c r="I1009" s="24">
        <v>8.5853639904E10</v>
      </c>
      <c r="J1009" s="18" t="s">
        <v>4063</v>
      </c>
      <c r="K1009" s="18"/>
      <c r="L1009" s="18" t="s">
        <v>1485</v>
      </c>
    </row>
    <row r="1010">
      <c r="A1010" s="18" t="s">
        <v>4064</v>
      </c>
      <c r="B1010" s="18" t="s">
        <v>791</v>
      </c>
      <c r="C1010" s="18" t="s">
        <v>4065</v>
      </c>
      <c r="D1010" s="18"/>
      <c r="E1010" s="24">
        <v>8.9631436646E10</v>
      </c>
      <c r="F1010" s="24">
        <v>1.0</v>
      </c>
      <c r="G1010" s="18" t="s">
        <v>4065</v>
      </c>
      <c r="H1010" s="18"/>
      <c r="I1010" s="24">
        <v>8.9631436646E10</v>
      </c>
      <c r="J1010" s="18" t="s">
        <v>4066</v>
      </c>
      <c r="K1010" s="18"/>
      <c r="L1010" s="18" t="s">
        <v>1637</v>
      </c>
    </row>
    <row r="1011">
      <c r="A1011" s="18" t="s">
        <v>4067</v>
      </c>
      <c r="B1011" s="18" t="s">
        <v>791</v>
      </c>
      <c r="C1011" s="18" t="s">
        <v>4068</v>
      </c>
      <c r="D1011" s="18"/>
      <c r="E1011" s="24">
        <v>8.7766527766E10</v>
      </c>
      <c r="F1011" s="24">
        <v>1.0</v>
      </c>
      <c r="G1011" s="18" t="s">
        <v>4068</v>
      </c>
      <c r="H1011" s="18"/>
      <c r="I1011" s="24">
        <v>8.7766527766E10</v>
      </c>
      <c r="J1011" s="18" t="s">
        <v>4069</v>
      </c>
      <c r="K1011" s="18"/>
      <c r="L1011" s="18" t="s">
        <v>4070</v>
      </c>
    </row>
    <row r="1012">
      <c r="A1012" s="18" t="s">
        <v>4071</v>
      </c>
      <c r="B1012" s="18" t="s">
        <v>791</v>
      </c>
      <c r="C1012" s="18" t="s">
        <v>4068</v>
      </c>
      <c r="D1012" s="18"/>
      <c r="E1012" s="18"/>
      <c r="F1012" s="24">
        <v>1.0</v>
      </c>
      <c r="G1012" s="18" t="s">
        <v>4068</v>
      </c>
      <c r="H1012" s="18"/>
      <c r="I1012" s="18"/>
      <c r="J1012" s="18" t="s">
        <v>4072</v>
      </c>
      <c r="K1012" s="18"/>
      <c r="L1012" s="18"/>
    </row>
    <row r="1013">
      <c r="A1013" s="18" t="s">
        <v>4073</v>
      </c>
      <c r="B1013" s="18" t="s">
        <v>791</v>
      </c>
      <c r="C1013" s="18" t="s">
        <v>4074</v>
      </c>
      <c r="D1013" s="18"/>
      <c r="E1013" s="24">
        <v>8.21415937E10</v>
      </c>
      <c r="F1013" s="24">
        <v>1.0</v>
      </c>
      <c r="G1013" s="18" t="s">
        <v>4074</v>
      </c>
      <c r="H1013" s="18"/>
      <c r="I1013" s="24">
        <v>8.21415937E10</v>
      </c>
      <c r="J1013" s="18" t="s">
        <v>4075</v>
      </c>
      <c r="K1013" s="18"/>
      <c r="L1013" s="18" t="s">
        <v>2125</v>
      </c>
    </row>
    <row r="1014">
      <c r="A1014" s="18" t="s">
        <v>4076</v>
      </c>
      <c r="B1014" s="18" t="s">
        <v>791</v>
      </c>
      <c r="C1014" s="18" t="s">
        <v>4077</v>
      </c>
      <c r="D1014" s="18"/>
      <c r="E1014" s="24">
        <v>8.2245442422E10</v>
      </c>
      <c r="F1014" s="24">
        <v>1.0</v>
      </c>
      <c r="G1014" s="18" t="s">
        <v>4077</v>
      </c>
      <c r="H1014" s="18"/>
      <c r="I1014" s="24">
        <v>8.2245442422E10</v>
      </c>
      <c r="J1014" s="18" t="s">
        <v>4078</v>
      </c>
      <c r="K1014" s="18"/>
      <c r="L1014" s="18" t="s">
        <v>1637</v>
      </c>
    </row>
    <row r="1015">
      <c r="A1015" s="18" t="s">
        <v>4079</v>
      </c>
      <c r="B1015" s="18" t="s">
        <v>791</v>
      </c>
      <c r="C1015" s="18" t="s">
        <v>4080</v>
      </c>
      <c r="D1015" s="18"/>
      <c r="E1015" s="24">
        <v>8.5230422519E10</v>
      </c>
      <c r="F1015" s="24">
        <v>1.0</v>
      </c>
      <c r="G1015" s="18" t="s">
        <v>4080</v>
      </c>
      <c r="H1015" s="18"/>
      <c r="I1015" s="24">
        <v>8.5230422519E10</v>
      </c>
      <c r="J1015" s="18" t="s">
        <v>4081</v>
      </c>
      <c r="K1015" s="18"/>
      <c r="L1015" s="18" t="s">
        <v>3137</v>
      </c>
    </row>
    <row r="1016">
      <c r="A1016" s="18" t="s">
        <v>4082</v>
      </c>
      <c r="B1016" s="18" t="s">
        <v>791</v>
      </c>
      <c r="C1016" s="18" t="s">
        <v>4080</v>
      </c>
      <c r="D1016" s="18"/>
      <c r="E1016" s="24">
        <v>8.1217755213E10</v>
      </c>
      <c r="F1016" s="24">
        <v>1.0</v>
      </c>
      <c r="G1016" s="18" t="s">
        <v>4080</v>
      </c>
      <c r="H1016" s="18"/>
      <c r="I1016" s="24">
        <v>8.1217755213E10</v>
      </c>
      <c r="J1016" s="18" t="s">
        <v>4083</v>
      </c>
      <c r="K1016" s="18"/>
      <c r="L1016" s="18" t="s">
        <v>2213</v>
      </c>
    </row>
    <row r="1017">
      <c r="A1017" s="18" t="s">
        <v>4084</v>
      </c>
      <c r="B1017" s="18" t="s">
        <v>791</v>
      </c>
      <c r="C1017" s="18" t="s">
        <v>4085</v>
      </c>
      <c r="D1017" s="18"/>
      <c r="E1017" s="24">
        <v>8.5607301504E10</v>
      </c>
      <c r="F1017" s="24">
        <v>1.0</v>
      </c>
      <c r="G1017" s="18" t="s">
        <v>4085</v>
      </c>
      <c r="H1017" s="18"/>
      <c r="I1017" s="24">
        <v>8.5607301504E10</v>
      </c>
      <c r="J1017" s="18" t="s">
        <v>4086</v>
      </c>
      <c r="K1017" s="18"/>
      <c r="L1017" s="18" t="s">
        <v>2332</v>
      </c>
    </row>
    <row r="1018">
      <c r="A1018" s="18" t="s">
        <v>4087</v>
      </c>
      <c r="B1018" s="18" t="s">
        <v>791</v>
      </c>
      <c r="C1018" s="18" t="s">
        <v>4088</v>
      </c>
      <c r="D1018" s="18"/>
      <c r="E1018" s="24">
        <v>8.1329326467E10</v>
      </c>
      <c r="F1018" s="24">
        <v>1.0</v>
      </c>
      <c r="G1018" s="18" t="s">
        <v>4088</v>
      </c>
      <c r="H1018" s="18"/>
      <c r="I1018" s="24">
        <v>8.1329326467E10</v>
      </c>
      <c r="J1018" s="18" t="s">
        <v>4089</v>
      </c>
      <c r="K1018" s="18"/>
      <c r="L1018" s="18" t="s">
        <v>2903</v>
      </c>
    </row>
    <row r="1019">
      <c r="A1019" s="18" t="s">
        <v>4090</v>
      </c>
      <c r="B1019" s="18" t="s">
        <v>791</v>
      </c>
      <c r="C1019" s="18" t="s">
        <v>4091</v>
      </c>
      <c r="D1019" s="18"/>
      <c r="E1019" s="24">
        <v>8.1359544001E10</v>
      </c>
      <c r="F1019" s="24">
        <v>1.0</v>
      </c>
      <c r="G1019" s="18" t="s">
        <v>4091</v>
      </c>
      <c r="H1019" s="18"/>
      <c r="I1019" s="24">
        <v>8.1359544001E10</v>
      </c>
      <c r="J1019" s="18" t="s">
        <v>4092</v>
      </c>
      <c r="K1019" s="18"/>
      <c r="L1019" s="18" t="s">
        <v>2159</v>
      </c>
    </row>
    <row r="1020">
      <c r="A1020" s="18" t="s">
        <v>4093</v>
      </c>
      <c r="B1020" s="18" t="s">
        <v>791</v>
      </c>
      <c r="C1020" s="18" t="s">
        <v>4094</v>
      </c>
      <c r="D1020" s="18"/>
      <c r="E1020" s="24">
        <v>8.5303510261E10</v>
      </c>
      <c r="F1020" s="24">
        <v>1.0</v>
      </c>
      <c r="G1020" s="18" t="s">
        <v>4094</v>
      </c>
      <c r="H1020" s="18"/>
      <c r="I1020" s="24">
        <v>8.5303510261E10</v>
      </c>
      <c r="J1020" s="18" t="s">
        <v>4095</v>
      </c>
      <c r="K1020" s="18"/>
      <c r="L1020" s="18" t="s">
        <v>1493</v>
      </c>
    </row>
    <row r="1021">
      <c r="A1021" s="18" t="s">
        <v>4096</v>
      </c>
      <c r="B1021" s="18" t="s">
        <v>791</v>
      </c>
      <c r="C1021" s="18" t="s">
        <v>4097</v>
      </c>
      <c r="D1021" s="18"/>
      <c r="E1021" s="24">
        <v>8.223018766E10</v>
      </c>
      <c r="F1021" s="24">
        <v>1.0</v>
      </c>
      <c r="G1021" s="18" t="s">
        <v>4097</v>
      </c>
      <c r="H1021" s="18"/>
      <c r="I1021" s="24">
        <v>8.223018766E10</v>
      </c>
      <c r="J1021" s="18" t="s">
        <v>4098</v>
      </c>
      <c r="K1021" s="18"/>
      <c r="L1021" s="18" t="s">
        <v>1689</v>
      </c>
    </row>
    <row r="1022">
      <c r="A1022" s="18" t="s">
        <v>4099</v>
      </c>
      <c r="B1022" s="18" t="s">
        <v>791</v>
      </c>
      <c r="C1022" s="18" t="s">
        <v>4100</v>
      </c>
      <c r="D1022" s="18"/>
      <c r="E1022" s="24">
        <v>8.2141315373E10</v>
      </c>
      <c r="F1022" s="24">
        <v>1.0</v>
      </c>
      <c r="G1022" s="18" t="s">
        <v>4100</v>
      </c>
      <c r="H1022" s="18"/>
      <c r="I1022" s="24">
        <v>8.2141315373E10</v>
      </c>
      <c r="J1022" s="18" t="s">
        <v>4101</v>
      </c>
      <c r="K1022" s="18"/>
      <c r="L1022" s="18" t="s">
        <v>2260</v>
      </c>
    </row>
    <row r="1023">
      <c r="A1023" s="18" t="s">
        <v>4102</v>
      </c>
      <c r="B1023" s="18" t="s">
        <v>791</v>
      </c>
      <c r="C1023" s="18" t="s">
        <v>4103</v>
      </c>
      <c r="D1023" s="18"/>
      <c r="E1023" s="24">
        <v>8.2231787394E10</v>
      </c>
      <c r="F1023" s="24">
        <v>1.0</v>
      </c>
      <c r="G1023" s="18" t="s">
        <v>4103</v>
      </c>
      <c r="H1023" s="18"/>
      <c r="I1023" s="24">
        <v>8.2231787394E10</v>
      </c>
      <c r="J1023" s="18" t="s">
        <v>4104</v>
      </c>
      <c r="K1023" s="18"/>
      <c r="L1023" s="18" t="s">
        <v>3452</v>
      </c>
    </row>
    <row r="1024">
      <c r="A1024" s="18" t="s">
        <v>4105</v>
      </c>
      <c r="B1024" s="18" t="s">
        <v>791</v>
      </c>
      <c r="C1024" s="18" t="s">
        <v>4106</v>
      </c>
      <c r="D1024" s="18"/>
      <c r="E1024" s="24">
        <v>8.5336760229E10</v>
      </c>
      <c r="F1024" s="24">
        <v>1.0</v>
      </c>
      <c r="G1024" s="18" t="s">
        <v>4106</v>
      </c>
      <c r="H1024" s="18"/>
      <c r="I1024" s="24">
        <v>8.5336760229E10</v>
      </c>
      <c r="J1024" s="18" t="s">
        <v>4107</v>
      </c>
      <c r="K1024" s="18"/>
      <c r="L1024" s="18" t="s">
        <v>1722</v>
      </c>
    </row>
    <row r="1025">
      <c r="A1025" s="18" t="s">
        <v>4108</v>
      </c>
      <c r="B1025" s="18" t="s">
        <v>791</v>
      </c>
      <c r="C1025" s="18" t="s">
        <v>4109</v>
      </c>
      <c r="D1025" s="18"/>
      <c r="E1025" s="24">
        <v>8.133595015E10</v>
      </c>
      <c r="F1025" s="24">
        <v>1.0</v>
      </c>
      <c r="G1025" s="18" t="s">
        <v>4109</v>
      </c>
      <c r="H1025" s="18"/>
      <c r="I1025" s="24">
        <v>8.133595015E10</v>
      </c>
      <c r="J1025" s="18" t="s">
        <v>4110</v>
      </c>
      <c r="K1025" s="18"/>
      <c r="L1025" s="18" t="s">
        <v>2642</v>
      </c>
    </row>
    <row r="1026">
      <c r="A1026" s="18" t="s">
        <v>4111</v>
      </c>
      <c r="B1026" s="18" t="s">
        <v>791</v>
      </c>
      <c r="C1026" s="18" t="s">
        <v>4112</v>
      </c>
      <c r="D1026" s="18"/>
      <c r="E1026" s="24">
        <v>8.5645477374E10</v>
      </c>
      <c r="F1026" s="24">
        <v>1.0</v>
      </c>
      <c r="G1026" s="18" t="s">
        <v>4112</v>
      </c>
      <c r="H1026" s="18"/>
      <c r="I1026" s="24">
        <v>8.5645477374E10</v>
      </c>
      <c r="J1026" s="18" t="s">
        <v>4113</v>
      </c>
      <c r="K1026" s="18"/>
      <c r="L1026" s="18" t="s">
        <v>1830</v>
      </c>
    </row>
    <row r="1027">
      <c r="A1027" s="18" t="s">
        <v>4114</v>
      </c>
      <c r="B1027" s="18" t="s">
        <v>791</v>
      </c>
      <c r="C1027" s="18" t="s">
        <v>4115</v>
      </c>
      <c r="D1027" s="18"/>
      <c r="E1027" s="18"/>
      <c r="F1027" s="24">
        <v>1.0</v>
      </c>
      <c r="G1027" s="18" t="s">
        <v>4115</v>
      </c>
      <c r="H1027" s="18"/>
      <c r="I1027" s="18"/>
      <c r="J1027" s="18" t="s">
        <v>4116</v>
      </c>
      <c r="K1027" s="18"/>
      <c r="L1027" s="18"/>
    </row>
    <row r="1028">
      <c r="A1028" s="18" t="s">
        <v>4117</v>
      </c>
      <c r="B1028" s="18" t="s">
        <v>791</v>
      </c>
      <c r="C1028" s="18" t="s">
        <v>4118</v>
      </c>
      <c r="D1028" s="18"/>
      <c r="E1028" s="24">
        <v>8.1382799446E10</v>
      </c>
      <c r="F1028" s="24">
        <v>1.0</v>
      </c>
      <c r="G1028" s="18" t="s">
        <v>4118</v>
      </c>
      <c r="H1028" s="18"/>
      <c r="I1028" s="24">
        <v>8.1382799446E10</v>
      </c>
      <c r="J1028" s="18" t="s">
        <v>4119</v>
      </c>
      <c r="K1028" s="18"/>
      <c r="L1028" s="18" t="s">
        <v>3591</v>
      </c>
    </row>
    <row r="1029">
      <c r="A1029" s="18" t="s">
        <v>4120</v>
      </c>
      <c r="B1029" s="18" t="s">
        <v>791</v>
      </c>
      <c r="C1029" s="18" t="s">
        <v>4121</v>
      </c>
      <c r="D1029" s="18"/>
      <c r="E1029" s="24">
        <v>8.127535007E10</v>
      </c>
      <c r="F1029" s="24">
        <v>1.0</v>
      </c>
      <c r="G1029" s="18" t="s">
        <v>4121</v>
      </c>
      <c r="H1029" s="18"/>
      <c r="I1029" s="24">
        <v>8.127535007E10</v>
      </c>
      <c r="J1029" s="18" t="s">
        <v>4122</v>
      </c>
      <c r="K1029" s="18"/>
      <c r="L1029" s="18" t="s">
        <v>2711</v>
      </c>
    </row>
    <row r="1030">
      <c r="A1030" s="18" t="s">
        <v>4123</v>
      </c>
      <c r="B1030" s="18" t="s">
        <v>791</v>
      </c>
      <c r="C1030" s="18" t="s">
        <v>4124</v>
      </c>
      <c r="D1030" s="18"/>
      <c r="E1030" s="24">
        <v>8.3857163141E10</v>
      </c>
      <c r="F1030" s="24">
        <v>1.0</v>
      </c>
      <c r="G1030" s="18" t="s">
        <v>4124</v>
      </c>
      <c r="H1030" s="18"/>
      <c r="I1030" s="24">
        <v>8.3857163141E10</v>
      </c>
      <c r="J1030" s="18" t="s">
        <v>4125</v>
      </c>
      <c r="K1030" s="18"/>
      <c r="L1030" s="18" t="s">
        <v>4126</v>
      </c>
    </row>
    <row r="1031">
      <c r="A1031" s="18" t="s">
        <v>4127</v>
      </c>
      <c r="B1031" s="18" t="s">
        <v>791</v>
      </c>
      <c r="C1031" s="18" t="s">
        <v>4128</v>
      </c>
      <c r="D1031" s="18"/>
      <c r="E1031" s="24">
        <v>8.5770427416E10</v>
      </c>
      <c r="F1031" s="24">
        <v>1.0</v>
      </c>
      <c r="G1031" s="18" t="s">
        <v>4128</v>
      </c>
      <c r="H1031" s="18"/>
      <c r="I1031" s="24">
        <v>8.5770427416E10</v>
      </c>
      <c r="J1031" s="18" t="s">
        <v>4129</v>
      </c>
      <c r="K1031" s="18"/>
      <c r="L1031" s="18" t="s">
        <v>4130</v>
      </c>
    </row>
    <row r="1032">
      <c r="A1032" s="18" t="s">
        <v>4131</v>
      </c>
      <c r="B1032" s="18" t="s">
        <v>791</v>
      </c>
      <c r="C1032" s="18" t="s">
        <v>4132</v>
      </c>
      <c r="D1032" s="18"/>
      <c r="E1032" s="24">
        <v>8.5103373232E10</v>
      </c>
      <c r="F1032" s="24">
        <v>1.0</v>
      </c>
      <c r="G1032" s="18" t="s">
        <v>4132</v>
      </c>
      <c r="H1032" s="18"/>
      <c r="I1032" s="24">
        <v>8.5103373232E10</v>
      </c>
      <c r="J1032" s="18" t="s">
        <v>4133</v>
      </c>
      <c r="K1032" s="18"/>
      <c r="L1032" s="18" t="s">
        <v>1519</v>
      </c>
    </row>
    <row r="1033">
      <c r="A1033" s="18" t="s">
        <v>4134</v>
      </c>
      <c r="B1033" s="18" t="s">
        <v>791</v>
      </c>
      <c r="C1033" s="18" t="s">
        <v>4135</v>
      </c>
      <c r="D1033" s="18"/>
      <c r="E1033" s="24">
        <v>8.5790863703E10</v>
      </c>
      <c r="F1033" s="24">
        <v>1.0</v>
      </c>
      <c r="G1033" s="18" t="s">
        <v>4135</v>
      </c>
      <c r="H1033" s="18"/>
      <c r="I1033" s="24">
        <v>8.5790863703E10</v>
      </c>
      <c r="J1033" s="18" t="s">
        <v>4136</v>
      </c>
      <c r="K1033" s="18"/>
      <c r="L1033" s="18" t="s">
        <v>1842</v>
      </c>
    </row>
    <row r="1034">
      <c r="A1034" s="18" t="s">
        <v>4137</v>
      </c>
      <c r="B1034" s="18" t="s">
        <v>791</v>
      </c>
      <c r="C1034" s="18" t="s">
        <v>4138</v>
      </c>
      <c r="D1034" s="18"/>
      <c r="E1034" s="24">
        <v>8.1335663129E10</v>
      </c>
      <c r="F1034" s="24">
        <v>1.0</v>
      </c>
      <c r="G1034" s="18" t="s">
        <v>4138</v>
      </c>
      <c r="H1034" s="18"/>
      <c r="I1034" s="24">
        <v>8.1335663129E10</v>
      </c>
      <c r="J1034" s="18" t="s">
        <v>4139</v>
      </c>
      <c r="K1034" s="18"/>
      <c r="L1034" s="18" t="s">
        <v>1549</v>
      </c>
    </row>
    <row r="1035">
      <c r="A1035" s="18" t="s">
        <v>4140</v>
      </c>
      <c r="B1035" s="18" t="s">
        <v>791</v>
      </c>
      <c r="C1035" s="18" t="s">
        <v>4141</v>
      </c>
      <c r="D1035" s="18"/>
      <c r="E1035" s="24">
        <v>8.21415937E10</v>
      </c>
      <c r="F1035" s="24">
        <v>1.0</v>
      </c>
      <c r="G1035" s="18" t="s">
        <v>4141</v>
      </c>
      <c r="H1035" s="18"/>
      <c r="I1035" s="24">
        <v>8.21415937E10</v>
      </c>
      <c r="J1035" s="18" t="s">
        <v>4142</v>
      </c>
      <c r="K1035" s="18"/>
      <c r="L1035" s="18" t="s">
        <v>2125</v>
      </c>
    </row>
    <row r="1036">
      <c r="A1036" s="18" t="s">
        <v>4143</v>
      </c>
      <c r="B1036" s="18" t="s">
        <v>791</v>
      </c>
      <c r="C1036" s="18" t="s">
        <v>4144</v>
      </c>
      <c r="D1036" s="18"/>
      <c r="E1036" s="24">
        <v>8.5231984464E10</v>
      </c>
      <c r="F1036" s="24">
        <v>1.0</v>
      </c>
      <c r="G1036" s="18" t="s">
        <v>4144</v>
      </c>
      <c r="H1036" s="18"/>
      <c r="I1036" s="24">
        <v>8.5231984464E10</v>
      </c>
      <c r="J1036" s="18" t="s">
        <v>4145</v>
      </c>
      <c r="K1036" s="18"/>
      <c r="L1036" s="18" t="s">
        <v>3879</v>
      </c>
    </row>
    <row r="1037">
      <c r="A1037" s="18" t="s">
        <v>4146</v>
      </c>
      <c r="B1037" s="18" t="s">
        <v>791</v>
      </c>
      <c r="C1037" s="18" t="s">
        <v>4147</v>
      </c>
      <c r="D1037" s="18"/>
      <c r="E1037" s="24">
        <v>8.5231194243E10</v>
      </c>
      <c r="F1037" s="24">
        <v>1.0</v>
      </c>
      <c r="G1037" s="18" t="s">
        <v>4147</v>
      </c>
      <c r="H1037" s="18"/>
      <c r="I1037" s="24">
        <v>8.5231194243E10</v>
      </c>
      <c r="J1037" s="18" t="s">
        <v>4148</v>
      </c>
      <c r="K1037" s="18"/>
      <c r="L1037" s="18" t="s">
        <v>2584</v>
      </c>
    </row>
    <row r="1038">
      <c r="A1038" s="18" t="s">
        <v>4149</v>
      </c>
      <c r="B1038" s="18" t="s">
        <v>791</v>
      </c>
      <c r="C1038" s="18" t="s">
        <v>4150</v>
      </c>
      <c r="D1038" s="18"/>
      <c r="E1038" s="18"/>
      <c r="F1038" s="24">
        <v>1.0</v>
      </c>
      <c r="G1038" s="18" t="s">
        <v>4150</v>
      </c>
      <c r="H1038" s="18"/>
      <c r="I1038" s="18"/>
      <c r="J1038" s="18" t="s">
        <v>4151</v>
      </c>
      <c r="K1038" s="18"/>
      <c r="L1038" s="18"/>
    </row>
    <row r="1039">
      <c r="A1039" s="18" t="s">
        <v>4152</v>
      </c>
      <c r="B1039" s="18" t="s">
        <v>791</v>
      </c>
      <c r="C1039" s="18" t="s">
        <v>4153</v>
      </c>
      <c r="D1039" s="18"/>
      <c r="E1039" s="24">
        <v>8.9631436646E10</v>
      </c>
      <c r="F1039" s="24">
        <v>1.0</v>
      </c>
      <c r="G1039" s="18" t="s">
        <v>4153</v>
      </c>
      <c r="H1039" s="18"/>
      <c r="I1039" s="24">
        <v>8.9631436646E10</v>
      </c>
      <c r="J1039" s="18" t="s">
        <v>4155</v>
      </c>
      <c r="K1039" s="18"/>
      <c r="L1039" s="18" t="s">
        <v>1637</v>
      </c>
    </row>
    <row r="1040">
      <c r="A1040" s="18" t="s">
        <v>1239</v>
      </c>
      <c r="B1040" s="18" t="s">
        <v>791</v>
      </c>
      <c r="C1040" s="18" t="s">
        <v>1241</v>
      </c>
      <c r="D1040" s="18"/>
      <c r="E1040" s="24">
        <v>8.5714169155E10</v>
      </c>
      <c r="F1040" s="24">
        <v>1.0</v>
      </c>
      <c r="G1040" s="18" t="s">
        <v>1241</v>
      </c>
      <c r="H1040" s="18"/>
      <c r="I1040" s="24">
        <v>8.5714169155E10</v>
      </c>
      <c r="J1040" s="18" t="s">
        <v>1240</v>
      </c>
      <c r="K1040" s="18"/>
      <c r="L1040" s="18" t="s">
        <v>1242</v>
      </c>
    </row>
    <row r="1041">
      <c r="A1041" s="18" t="s">
        <v>4157</v>
      </c>
      <c r="B1041" s="18" t="s">
        <v>791</v>
      </c>
      <c r="C1041" s="18" t="s">
        <v>4158</v>
      </c>
      <c r="D1041" s="18"/>
      <c r="E1041" s="18"/>
      <c r="F1041" s="24">
        <v>1.0</v>
      </c>
      <c r="G1041" s="18" t="s">
        <v>4158</v>
      </c>
      <c r="H1041" s="18"/>
      <c r="I1041" s="18"/>
      <c r="J1041" s="18" t="s">
        <v>4160</v>
      </c>
      <c r="K1041" s="18"/>
      <c r="L1041" s="18"/>
    </row>
    <row r="1042">
      <c r="A1042" s="18" t="s">
        <v>4161</v>
      </c>
      <c r="B1042" s="18" t="s">
        <v>791</v>
      </c>
      <c r="C1042" s="18" t="s">
        <v>4162</v>
      </c>
      <c r="D1042" s="18"/>
      <c r="E1042" s="24">
        <v>8.5749860301E10</v>
      </c>
      <c r="F1042" s="24">
        <v>1.0</v>
      </c>
      <c r="G1042" s="18" t="s">
        <v>4162</v>
      </c>
      <c r="H1042" s="18"/>
      <c r="I1042" s="24">
        <v>8.5749860301E10</v>
      </c>
      <c r="J1042" s="18" t="s">
        <v>4163</v>
      </c>
      <c r="K1042" s="18"/>
      <c r="L1042" s="18" t="s">
        <v>3534</v>
      </c>
    </row>
    <row r="1043">
      <c r="A1043" s="18" t="s">
        <v>4164</v>
      </c>
      <c r="B1043" s="18" t="s">
        <v>791</v>
      </c>
      <c r="C1043" s="18" t="s">
        <v>4165</v>
      </c>
      <c r="D1043" s="18"/>
      <c r="E1043" s="18"/>
      <c r="F1043" s="24">
        <v>1.0</v>
      </c>
      <c r="G1043" s="18" t="s">
        <v>4165</v>
      </c>
      <c r="H1043" s="18"/>
      <c r="I1043" s="18"/>
      <c r="J1043" s="18" t="s">
        <v>4166</v>
      </c>
      <c r="K1043" s="18"/>
      <c r="L1043" s="18"/>
    </row>
    <row r="1044">
      <c r="A1044" s="18" t="s">
        <v>4167</v>
      </c>
      <c r="B1044" s="18" t="s">
        <v>791</v>
      </c>
      <c r="C1044" s="18" t="s">
        <v>4168</v>
      </c>
      <c r="D1044" s="18"/>
      <c r="E1044" s="24">
        <v>8.13355548E10</v>
      </c>
      <c r="F1044" s="24">
        <v>1.0</v>
      </c>
      <c r="G1044" s="18" t="s">
        <v>4168</v>
      </c>
      <c r="H1044" s="18"/>
      <c r="I1044" s="24">
        <v>8.13355548E10</v>
      </c>
      <c r="J1044" s="18" t="s">
        <v>4169</v>
      </c>
      <c r="K1044" s="18"/>
      <c r="L1044" s="18" t="s">
        <v>1474</v>
      </c>
    </row>
    <row r="1045">
      <c r="A1045" s="18" t="s">
        <v>4170</v>
      </c>
      <c r="B1045" s="18" t="s">
        <v>791</v>
      </c>
      <c r="C1045" s="18" t="s">
        <v>4171</v>
      </c>
      <c r="D1045" s="18"/>
      <c r="E1045" s="24">
        <v>8.5736503436E10</v>
      </c>
      <c r="F1045" s="24">
        <v>1.0</v>
      </c>
      <c r="G1045" s="18" t="s">
        <v>4171</v>
      </c>
      <c r="H1045" s="18"/>
      <c r="I1045" s="24">
        <v>8.5736503436E10</v>
      </c>
      <c r="J1045" s="18" t="s">
        <v>4172</v>
      </c>
      <c r="K1045" s="18"/>
      <c r="L1045" s="18" t="s">
        <v>4173</v>
      </c>
    </row>
    <row r="1046">
      <c r="A1046" s="18" t="s">
        <v>4174</v>
      </c>
      <c r="B1046" s="18" t="s">
        <v>791</v>
      </c>
      <c r="C1046" s="18" t="s">
        <v>4175</v>
      </c>
      <c r="D1046" s="18"/>
      <c r="E1046" s="24">
        <v>8.580690695E10</v>
      </c>
      <c r="F1046" s="24">
        <v>1.0</v>
      </c>
      <c r="G1046" s="18" t="s">
        <v>4175</v>
      </c>
      <c r="H1046" s="18"/>
      <c r="I1046" s="24">
        <v>8.580690695E10</v>
      </c>
      <c r="J1046" s="18" t="s">
        <v>4176</v>
      </c>
      <c r="K1046" s="18"/>
      <c r="L1046" s="18" t="s">
        <v>3664</v>
      </c>
    </row>
    <row r="1047">
      <c r="A1047" s="18" t="s">
        <v>4177</v>
      </c>
      <c r="B1047" s="18" t="s">
        <v>791</v>
      </c>
      <c r="C1047" s="18" t="s">
        <v>4178</v>
      </c>
      <c r="D1047" s="18"/>
      <c r="E1047" s="24">
        <v>8.2337029948E10</v>
      </c>
      <c r="F1047" s="24">
        <v>1.0</v>
      </c>
      <c r="G1047" s="18" t="s">
        <v>4178</v>
      </c>
      <c r="H1047" s="18"/>
      <c r="I1047" s="24">
        <v>8.2337029948E10</v>
      </c>
      <c r="J1047" s="18" t="s">
        <v>4179</v>
      </c>
      <c r="K1047" s="18"/>
      <c r="L1047" s="18" t="s">
        <v>3202</v>
      </c>
    </row>
    <row r="1048">
      <c r="A1048" s="18" t="s">
        <v>4180</v>
      </c>
      <c r="B1048" s="18" t="s">
        <v>791</v>
      </c>
      <c r="C1048" s="18" t="s">
        <v>4181</v>
      </c>
      <c r="D1048" s="18"/>
      <c r="E1048" s="18"/>
      <c r="F1048" s="24">
        <v>1.0</v>
      </c>
      <c r="G1048" s="18" t="s">
        <v>4181</v>
      </c>
      <c r="H1048" s="18"/>
      <c r="I1048" s="18"/>
      <c r="J1048" s="18" t="s">
        <v>4182</v>
      </c>
      <c r="K1048" s="18"/>
      <c r="L1048" s="18"/>
    </row>
    <row r="1049">
      <c r="A1049" s="18" t="s">
        <v>4183</v>
      </c>
      <c r="B1049" s="18" t="s">
        <v>791</v>
      </c>
      <c r="C1049" s="18" t="s">
        <v>4184</v>
      </c>
      <c r="D1049" s="18"/>
      <c r="E1049" s="24">
        <v>8.1230925577E10</v>
      </c>
      <c r="F1049" s="24">
        <v>1.0</v>
      </c>
      <c r="G1049" s="18" t="s">
        <v>4184</v>
      </c>
      <c r="H1049" s="18"/>
      <c r="I1049" s="24">
        <v>8.1230925577E10</v>
      </c>
      <c r="J1049" s="18" t="s">
        <v>4185</v>
      </c>
      <c r="K1049" s="18"/>
      <c r="L1049" s="18" t="s">
        <v>4186</v>
      </c>
    </row>
    <row r="1050">
      <c r="A1050" s="18" t="s">
        <v>4187</v>
      </c>
      <c r="B1050" s="18" t="s">
        <v>791</v>
      </c>
      <c r="C1050" s="18" t="s">
        <v>4188</v>
      </c>
      <c r="D1050" s="18"/>
      <c r="E1050" s="24">
        <v>8.5233311299E10</v>
      </c>
      <c r="F1050" s="24">
        <v>1.0</v>
      </c>
      <c r="G1050" s="18" t="s">
        <v>4188</v>
      </c>
      <c r="H1050" s="18"/>
      <c r="I1050" s="24">
        <v>8.5233311299E10</v>
      </c>
      <c r="J1050" s="18" t="s">
        <v>4189</v>
      </c>
      <c r="K1050" s="18"/>
      <c r="L1050" s="18" t="s">
        <v>4190</v>
      </c>
    </row>
    <row r="1051">
      <c r="A1051" s="18" t="s">
        <v>4191</v>
      </c>
      <c r="B1051" s="18" t="s">
        <v>791</v>
      </c>
      <c r="C1051" s="18" t="s">
        <v>4192</v>
      </c>
      <c r="D1051" s="18"/>
      <c r="E1051" s="24">
        <v>8.128172531E10</v>
      </c>
      <c r="F1051" s="24">
        <v>1.0</v>
      </c>
      <c r="G1051" s="18" t="s">
        <v>4192</v>
      </c>
      <c r="H1051" s="18"/>
      <c r="I1051" s="24">
        <v>8.128172531E10</v>
      </c>
      <c r="J1051" s="18" t="s">
        <v>4193</v>
      </c>
      <c r="K1051" s="18"/>
      <c r="L1051" s="18" t="s">
        <v>4194</v>
      </c>
    </row>
    <row r="1052">
      <c r="A1052" s="18" t="s">
        <v>4195</v>
      </c>
      <c r="B1052" s="18" t="s">
        <v>791</v>
      </c>
      <c r="C1052" s="18" t="s">
        <v>4196</v>
      </c>
      <c r="D1052" s="18"/>
      <c r="E1052" s="24">
        <v>8.223018766E10</v>
      </c>
      <c r="F1052" s="24">
        <v>1.0</v>
      </c>
      <c r="G1052" s="18" t="s">
        <v>4196</v>
      </c>
      <c r="H1052" s="18"/>
      <c r="I1052" s="24">
        <v>8.223018766E10</v>
      </c>
      <c r="J1052" s="18" t="s">
        <v>4198</v>
      </c>
      <c r="K1052" s="18"/>
      <c r="L1052" s="18" t="s">
        <v>1689</v>
      </c>
    </row>
    <row r="1053">
      <c r="A1053" s="18" t="s">
        <v>4199</v>
      </c>
      <c r="B1053" s="18" t="s">
        <v>791</v>
      </c>
      <c r="C1053" s="18" t="s">
        <v>4200</v>
      </c>
      <c r="D1053" s="18"/>
      <c r="E1053" s="24">
        <v>8.5235543827E10</v>
      </c>
      <c r="F1053" s="24">
        <v>1.0</v>
      </c>
      <c r="G1053" s="18" t="s">
        <v>4200</v>
      </c>
      <c r="H1053" s="18"/>
      <c r="I1053" s="24">
        <v>8.5235543827E10</v>
      </c>
      <c r="J1053" s="18" t="s">
        <v>4201</v>
      </c>
      <c r="K1053" s="18"/>
      <c r="L1053" s="18" t="s">
        <v>2358</v>
      </c>
    </row>
    <row r="1054">
      <c r="A1054" s="18" t="s">
        <v>4202</v>
      </c>
      <c r="B1054" s="18" t="s">
        <v>791</v>
      </c>
      <c r="C1054" s="18" t="s">
        <v>4203</v>
      </c>
      <c r="D1054" s="18"/>
      <c r="E1054" s="24">
        <v>8.1212434396E10</v>
      </c>
      <c r="F1054" s="24">
        <v>1.0</v>
      </c>
      <c r="G1054" s="18" t="s">
        <v>4203</v>
      </c>
      <c r="H1054" s="18"/>
      <c r="I1054" s="24">
        <v>8.1212434396E10</v>
      </c>
      <c r="J1054" s="18" t="s">
        <v>4204</v>
      </c>
      <c r="K1054" s="18"/>
      <c r="L1054" s="18" t="s">
        <v>218</v>
      </c>
    </row>
    <row r="1055">
      <c r="A1055" s="18" t="s">
        <v>4205</v>
      </c>
      <c r="B1055" s="18" t="s">
        <v>791</v>
      </c>
      <c r="C1055" s="18" t="s">
        <v>4206</v>
      </c>
      <c r="D1055" s="18"/>
      <c r="E1055" s="18"/>
      <c r="F1055" s="24">
        <v>1.0</v>
      </c>
      <c r="G1055" s="18" t="s">
        <v>4206</v>
      </c>
      <c r="H1055" s="18"/>
      <c r="I1055" s="18"/>
      <c r="J1055" s="18" t="s">
        <v>4207</v>
      </c>
      <c r="K1055" s="18"/>
      <c r="L1055" s="18"/>
    </row>
    <row r="1056">
      <c r="A1056" s="18" t="s">
        <v>4208</v>
      </c>
      <c r="B1056" s="18" t="s">
        <v>791</v>
      </c>
      <c r="C1056" s="18" t="s">
        <v>4209</v>
      </c>
      <c r="D1056" s="18"/>
      <c r="E1056" s="24">
        <v>8.563661882E9</v>
      </c>
      <c r="F1056" s="24">
        <v>1.0</v>
      </c>
      <c r="G1056" s="18" t="s">
        <v>4209</v>
      </c>
      <c r="H1056" s="18"/>
      <c r="I1056" s="24">
        <v>8.563661882E9</v>
      </c>
      <c r="J1056" s="18" t="s">
        <v>4210</v>
      </c>
      <c r="K1056" s="18"/>
      <c r="L1056" s="18" t="s">
        <v>3591</v>
      </c>
    </row>
    <row r="1057">
      <c r="A1057" s="18" t="s">
        <v>4211</v>
      </c>
      <c r="B1057" s="18" t="s">
        <v>791</v>
      </c>
      <c r="C1057" s="18" t="s">
        <v>4212</v>
      </c>
      <c r="D1057" s="18"/>
      <c r="E1057" s="24">
        <v>8.135975241E10</v>
      </c>
      <c r="F1057" s="24">
        <v>1.0</v>
      </c>
      <c r="G1057" s="18" t="s">
        <v>4212</v>
      </c>
      <c r="H1057" s="18"/>
      <c r="I1057" s="24">
        <v>8.135975241E10</v>
      </c>
      <c r="J1057" s="18" t="s">
        <v>4213</v>
      </c>
      <c r="K1057" s="18"/>
      <c r="L1057" s="18" t="s">
        <v>1914</v>
      </c>
    </row>
    <row r="1058">
      <c r="A1058" s="18" t="s">
        <v>4214</v>
      </c>
      <c r="B1058" s="18" t="s">
        <v>791</v>
      </c>
      <c r="C1058" s="18" t="s">
        <v>4215</v>
      </c>
      <c r="D1058" s="18"/>
      <c r="E1058" s="24">
        <v>8.2141315373E10</v>
      </c>
      <c r="F1058" s="24">
        <v>1.0</v>
      </c>
      <c r="G1058" s="18" t="s">
        <v>4215</v>
      </c>
      <c r="H1058" s="18"/>
      <c r="I1058" s="24">
        <v>8.2141315373E10</v>
      </c>
      <c r="J1058" s="18" t="s">
        <v>4216</v>
      </c>
      <c r="K1058" s="18"/>
      <c r="L1058" s="18" t="s">
        <v>1790</v>
      </c>
    </row>
    <row r="1059">
      <c r="A1059" s="18" t="s">
        <v>4217</v>
      </c>
      <c r="B1059" s="18" t="s">
        <v>791</v>
      </c>
      <c r="C1059" s="18" t="s">
        <v>4218</v>
      </c>
      <c r="D1059" s="18"/>
      <c r="E1059" s="24">
        <v>8.5331754948E10</v>
      </c>
      <c r="F1059" s="24">
        <v>1.0</v>
      </c>
      <c r="G1059" s="18" t="s">
        <v>4218</v>
      </c>
      <c r="H1059" s="18"/>
      <c r="I1059" s="24">
        <v>8.5331754948E10</v>
      </c>
      <c r="J1059" s="18" t="s">
        <v>4219</v>
      </c>
      <c r="K1059" s="18"/>
      <c r="L1059" s="18" t="s">
        <v>2354</v>
      </c>
    </row>
    <row r="1060">
      <c r="A1060" s="18" t="s">
        <v>4220</v>
      </c>
      <c r="B1060" s="18" t="s">
        <v>791</v>
      </c>
      <c r="C1060" s="18" t="s">
        <v>4221</v>
      </c>
      <c r="D1060" s="18"/>
      <c r="E1060" s="24">
        <v>8.1333906122E10</v>
      </c>
      <c r="F1060" s="24">
        <v>1.0</v>
      </c>
      <c r="G1060" s="18" t="s">
        <v>4221</v>
      </c>
      <c r="H1060" s="18"/>
      <c r="I1060" s="24">
        <v>8.1333906122E10</v>
      </c>
      <c r="J1060" s="18" t="s">
        <v>4222</v>
      </c>
      <c r="K1060" s="18"/>
      <c r="L1060" s="18" t="s">
        <v>1633</v>
      </c>
    </row>
    <row r="1061">
      <c r="A1061" s="18" t="s">
        <v>4223</v>
      </c>
      <c r="B1061" s="18" t="s">
        <v>791</v>
      </c>
      <c r="C1061" s="18" t="s">
        <v>4224</v>
      </c>
      <c r="D1061" s="18"/>
      <c r="E1061" s="24">
        <v>8.2337221349E10</v>
      </c>
      <c r="F1061" s="24">
        <v>1.0</v>
      </c>
      <c r="G1061" s="18" t="s">
        <v>4224</v>
      </c>
      <c r="H1061" s="18"/>
      <c r="I1061" s="24">
        <v>8.2337221349E10</v>
      </c>
      <c r="J1061" s="18" t="s">
        <v>4225</v>
      </c>
      <c r="K1061" s="18"/>
      <c r="L1061" s="18" t="s">
        <v>1996</v>
      </c>
    </row>
    <row r="1062">
      <c r="A1062" s="18" t="s">
        <v>4227</v>
      </c>
      <c r="B1062" s="18" t="s">
        <v>791</v>
      </c>
      <c r="C1062" s="18" t="s">
        <v>4228</v>
      </c>
      <c r="D1062" s="18"/>
      <c r="E1062" s="24">
        <v>8.2331695666E10</v>
      </c>
      <c r="F1062" s="24">
        <v>1.0</v>
      </c>
      <c r="G1062" s="18" t="s">
        <v>4228</v>
      </c>
      <c r="H1062" s="18"/>
      <c r="I1062" s="24">
        <v>8.2331695666E10</v>
      </c>
      <c r="J1062" s="18" t="s">
        <v>4229</v>
      </c>
      <c r="K1062" s="18"/>
      <c r="L1062" s="18" t="s">
        <v>1958</v>
      </c>
    </row>
    <row r="1063">
      <c r="A1063" s="18" t="s">
        <v>4230</v>
      </c>
      <c r="B1063" s="18" t="s">
        <v>791</v>
      </c>
      <c r="C1063" s="18" t="s">
        <v>4231</v>
      </c>
      <c r="D1063" s="18"/>
      <c r="E1063" s="24">
        <v>8.1333906122E10</v>
      </c>
      <c r="F1063" s="24">
        <v>1.0</v>
      </c>
      <c r="G1063" s="18" t="s">
        <v>4231</v>
      </c>
      <c r="H1063" s="18"/>
      <c r="I1063" s="24">
        <v>8.1333906122E10</v>
      </c>
      <c r="J1063" s="18" t="s">
        <v>4232</v>
      </c>
      <c r="K1063" s="18"/>
      <c r="L1063" s="18" t="s">
        <v>1633</v>
      </c>
    </row>
    <row r="1064">
      <c r="A1064" s="18" t="s">
        <v>4233</v>
      </c>
      <c r="B1064" s="18" t="s">
        <v>791</v>
      </c>
      <c r="C1064" s="18" t="s">
        <v>4228</v>
      </c>
      <c r="D1064" s="18"/>
      <c r="E1064" s="24">
        <v>8.2134273082E10</v>
      </c>
      <c r="F1064" s="24">
        <v>1.0</v>
      </c>
      <c r="G1064" s="18" t="s">
        <v>4228</v>
      </c>
      <c r="H1064" s="18"/>
      <c r="I1064" s="24">
        <v>8.2134273082E10</v>
      </c>
      <c r="J1064" s="18" t="s">
        <v>4234</v>
      </c>
      <c r="K1064" s="18"/>
      <c r="L1064" s="18" t="s">
        <v>4235</v>
      </c>
    </row>
    <row r="1065">
      <c r="A1065" s="18" t="s">
        <v>4237</v>
      </c>
      <c r="B1065" s="18" t="s">
        <v>791</v>
      </c>
      <c r="C1065" s="18" t="s">
        <v>4238</v>
      </c>
      <c r="D1065" s="18"/>
      <c r="E1065" s="24">
        <v>8.5103370001E10</v>
      </c>
      <c r="F1065" s="24">
        <v>1.0</v>
      </c>
      <c r="G1065" s="18" t="s">
        <v>4238</v>
      </c>
      <c r="H1065" s="18"/>
      <c r="I1065" s="24">
        <v>8.5103370001E10</v>
      </c>
      <c r="J1065" s="18" t="s">
        <v>4239</v>
      </c>
      <c r="K1065" s="18"/>
      <c r="L1065" s="18" t="s">
        <v>1519</v>
      </c>
    </row>
    <row r="1066">
      <c r="A1066" s="18" t="s">
        <v>4240</v>
      </c>
      <c r="B1066" s="18" t="s">
        <v>791</v>
      </c>
      <c r="C1066" s="18" t="s">
        <v>4241</v>
      </c>
      <c r="D1066" s="18"/>
      <c r="E1066" s="24">
        <v>8.5259838445E10</v>
      </c>
      <c r="F1066" s="24">
        <v>1.0</v>
      </c>
      <c r="G1066" s="18" t="s">
        <v>4241</v>
      </c>
      <c r="H1066" s="18"/>
      <c r="I1066" s="24">
        <v>8.5259838445E10</v>
      </c>
      <c r="J1066" s="18" t="s">
        <v>4243</v>
      </c>
      <c r="K1066" s="18"/>
      <c r="L1066" s="18" t="s">
        <v>4244</v>
      </c>
    </row>
    <row r="1067">
      <c r="A1067" s="18" t="s">
        <v>4245</v>
      </c>
      <c r="B1067" s="18" t="s">
        <v>791</v>
      </c>
      <c r="C1067" s="18" t="s">
        <v>4246</v>
      </c>
      <c r="D1067" s="18"/>
      <c r="E1067" s="24">
        <v>8.5233915365E10</v>
      </c>
      <c r="F1067" s="24">
        <v>1.0</v>
      </c>
      <c r="G1067" s="18" t="s">
        <v>4246</v>
      </c>
      <c r="H1067" s="18"/>
      <c r="I1067" s="24">
        <v>8.5233915365E10</v>
      </c>
      <c r="J1067" s="18" t="s">
        <v>4247</v>
      </c>
      <c r="K1067" s="18"/>
      <c r="L1067" s="18" t="s">
        <v>1233</v>
      </c>
    </row>
    <row r="1068">
      <c r="A1068" s="18" t="s">
        <v>4248</v>
      </c>
      <c r="B1068" s="18" t="s">
        <v>791</v>
      </c>
      <c r="C1068" s="18" t="s">
        <v>4249</v>
      </c>
      <c r="D1068" s="18"/>
      <c r="E1068" s="24">
        <v>8.1330019908E10</v>
      </c>
      <c r="F1068" s="24">
        <v>1.0</v>
      </c>
      <c r="G1068" s="18" t="s">
        <v>4249</v>
      </c>
      <c r="H1068" s="18"/>
      <c r="I1068" s="24">
        <v>8.1330019908E10</v>
      </c>
      <c r="J1068" s="18" t="s">
        <v>4250</v>
      </c>
      <c r="K1068" s="18"/>
      <c r="L1068" s="18" t="s">
        <v>1939</v>
      </c>
    </row>
    <row r="1069">
      <c r="A1069" s="18" t="s">
        <v>4251</v>
      </c>
      <c r="B1069" s="18" t="s">
        <v>791</v>
      </c>
      <c r="C1069" s="18" t="s">
        <v>4252</v>
      </c>
      <c r="D1069" s="18"/>
      <c r="E1069" s="24">
        <v>8.5790227341E10</v>
      </c>
      <c r="F1069" s="24">
        <v>1.0</v>
      </c>
      <c r="G1069" s="18" t="s">
        <v>4252</v>
      </c>
      <c r="H1069" s="18"/>
      <c r="I1069" s="24">
        <v>8.5790227341E10</v>
      </c>
      <c r="J1069" s="18" t="s">
        <v>4253</v>
      </c>
      <c r="K1069" s="18"/>
      <c r="L1069" s="18" t="s">
        <v>4255</v>
      </c>
    </row>
    <row r="1070">
      <c r="A1070" s="18" t="s">
        <v>4256</v>
      </c>
      <c r="B1070" s="18" t="s">
        <v>791</v>
      </c>
      <c r="C1070" s="18" t="s">
        <v>4257</v>
      </c>
      <c r="D1070" s="18"/>
      <c r="E1070" s="24">
        <v>8.5235854516E10</v>
      </c>
      <c r="F1070" s="24">
        <v>1.0</v>
      </c>
      <c r="G1070" s="18" t="s">
        <v>4257</v>
      </c>
      <c r="H1070" s="18"/>
      <c r="I1070" s="24">
        <v>8.5235854516E10</v>
      </c>
      <c r="J1070" s="18" t="s">
        <v>4258</v>
      </c>
      <c r="K1070" s="18"/>
      <c r="L1070" s="18" t="s">
        <v>4259</v>
      </c>
    </row>
    <row r="1071">
      <c r="A1071" s="18" t="s">
        <v>4260</v>
      </c>
      <c r="B1071" s="18" t="s">
        <v>791</v>
      </c>
      <c r="C1071" s="18" t="s">
        <v>4261</v>
      </c>
      <c r="D1071" s="18"/>
      <c r="E1071" s="24">
        <v>8.5336620934E10</v>
      </c>
      <c r="F1071" s="24">
        <v>1.0</v>
      </c>
      <c r="G1071" s="18" t="s">
        <v>4261</v>
      </c>
      <c r="H1071" s="18"/>
      <c r="I1071" s="24">
        <v>8.5336620934E10</v>
      </c>
      <c r="J1071" s="18" t="s">
        <v>4262</v>
      </c>
      <c r="K1071" s="18"/>
      <c r="L1071" s="18" t="s">
        <v>2003</v>
      </c>
    </row>
    <row r="1072">
      <c r="A1072" s="18" t="s">
        <v>4263</v>
      </c>
      <c r="B1072" s="18" t="s">
        <v>791</v>
      </c>
      <c r="C1072" s="18" t="s">
        <v>4264</v>
      </c>
      <c r="D1072" s="18"/>
      <c r="E1072" s="24">
        <v>8.223252301E10</v>
      </c>
      <c r="F1072" s="24">
        <v>1.0</v>
      </c>
      <c r="G1072" s="18" t="s">
        <v>4264</v>
      </c>
      <c r="H1072" s="18"/>
      <c r="I1072" s="24">
        <v>8.223252301E10</v>
      </c>
      <c r="J1072" s="18" t="s">
        <v>4265</v>
      </c>
      <c r="K1072" s="18"/>
      <c r="L1072" s="18" t="s">
        <v>4266</v>
      </c>
    </row>
    <row r="1073">
      <c r="A1073" s="18" t="s">
        <v>4267</v>
      </c>
      <c r="B1073" s="18" t="s">
        <v>791</v>
      </c>
      <c r="C1073" s="18" t="s">
        <v>4268</v>
      </c>
      <c r="D1073" s="18"/>
      <c r="E1073" s="24">
        <v>8.5815119622E10</v>
      </c>
      <c r="F1073" s="24">
        <v>1.0</v>
      </c>
      <c r="G1073" s="18" t="s">
        <v>4268</v>
      </c>
      <c r="H1073" s="18"/>
      <c r="I1073" s="24">
        <v>8.5815119622E10</v>
      </c>
      <c r="J1073" s="18" t="s">
        <v>4269</v>
      </c>
      <c r="K1073" s="18"/>
      <c r="L1073" s="18" t="s">
        <v>4270</v>
      </c>
    </row>
    <row r="1074">
      <c r="A1074" s="18" t="s">
        <v>4271</v>
      </c>
      <c r="B1074" s="18" t="s">
        <v>791</v>
      </c>
      <c r="C1074" s="18" t="s">
        <v>4272</v>
      </c>
      <c r="D1074" s="18"/>
      <c r="E1074" s="24">
        <v>8.1335706864E10</v>
      </c>
      <c r="F1074" s="24">
        <v>1.0</v>
      </c>
      <c r="G1074" s="18" t="s">
        <v>4272</v>
      </c>
      <c r="H1074" s="18"/>
      <c r="I1074" s="24">
        <v>8.1335706864E10</v>
      </c>
      <c r="J1074" s="18" t="s">
        <v>4273</v>
      </c>
      <c r="K1074" s="18"/>
      <c r="L1074" s="18" t="s">
        <v>2346</v>
      </c>
    </row>
    <row r="1075">
      <c r="A1075" s="18" t="s">
        <v>4274</v>
      </c>
      <c r="B1075" s="18" t="s">
        <v>791</v>
      </c>
      <c r="C1075" s="18" t="s">
        <v>4275</v>
      </c>
      <c r="D1075" s="18"/>
      <c r="E1075" s="24">
        <v>8.5645814004E10</v>
      </c>
      <c r="F1075" s="24">
        <v>1.0</v>
      </c>
      <c r="G1075" s="18" t="s">
        <v>4275</v>
      </c>
      <c r="H1075" s="18"/>
      <c r="I1075" s="24">
        <v>8.5645814004E10</v>
      </c>
      <c r="J1075" s="18" t="s">
        <v>4276</v>
      </c>
      <c r="K1075" s="18"/>
      <c r="L1075" s="18" t="s">
        <v>2843</v>
      </c>
    </row>
    <row r="1076">
      <c r="A1076" s="18" t="s">
        <v>4277</v>
      </c>
      <c r="B1076" s="18" t="s">
        <v>791</v>
      </c>
      <c r="C1076" s="18" t="s">
        <v>4275</v>
      </c>
      <c r="D1076" s="18"/>
      <c r="E1076" s="24">
        <v>8.5232932995E10</v>
      </c>
      <c r="F1076" s="24">
        <v>1.0</v>
      </c>
      <c r="G1076" s="18" t="s">
        <v>4275</v>
      </c>
      <c r="H1076" s="18"/>
      <c r="I1076" s="24">
        <v>8.5232932995E10</v>
      </c>
      <c r="J1076" s="18" t="s">
        <v>4278</v>
      </c>
      <c r="K1076" s="18"/>
      <c r="L1076" s="18" t="s">
        <v>2423</v>
      </c>
    </row>
    <row r="1077">
      <c r="A1077" s="18" t="s">
        <v>4279</v>
      </c>
      <c r="B1077" s="18" t="s">
        <v>791</v>
      </c>
      <c r="C1077" s="18" t="s">
        <v>4280</v>
      </c>
      <c r="D1077" s="18"/>
      <c r="E1077" s="24">
        <v>8.5733096566E10</v>
      </c>
      <c r="F1077" s="24">
        <v>1.0</v>
      </c>
      <c r="G1077" s="18" t="s">
        <v>4280</v>
      </c>
      <c r="H1077" s="18"/>
      <c r="I1077" s="24">
        <v>8.5733096566E10</v>
      </c>
      <c r="J1077" s="18" t="s">
        <v>4236</v>
      </c>
      <c r="K1077" s="18"/>
      <c r="L1077" s="18" t="s">
        <v>4281</v>
      </c>
    </row>
    <row r="1078">
      <c r="A1078" s="18" t="s">
        <v>4282</v>
      </c>
      <c r="B1078" s="18" t="s">
        <v>791</v>
      </c>
      <c r="C1078" s="18" t="s">
        <v>4283</v>
      </c>
      <c r="D1078" s="18"/>
      <c r="E1078" s="24">
        <v>8.57461316E10</v>
      </c>
      <c r="F1078" s="24">
        <v>1.0</v>
      </c>
      <c r="G1078" s="18" t="s">
        <v>4283</v>
      </c>
      <c r="H1078" s="18"/>
      <c r="I1078" s="24">
        <v>8.57461316E10</v>
      </c>
      <c r="J1078" s="18" t="s">
        <v>4284</v>
      </c>
      <c r="K1078" s="18"/>
      <c r="L1078" s="18" t="s">
        <v>2332</v>
      </c>
    </row>
    <row r="1079">
      <c r="A1079" s="18" t="s">
        <v>4285</v>
      </c>
      <c r="B1079" s="18" t="s">
        <v>791</v>
      </c>
      <c r="C1079" s="18" t="s">
        <v>4286</v>
      </c>
      <c r="D1079" s="18"/>
      <c r="E1079" s="24">
        <v>8.5233878924E10</v>
      </c>
      <c r="F1079" s="24">
        <v>1.0</v>
      </c>
      <c r="G1079" s="18" t="s">
        <v>4286</v>
      </c>
      <c r="H1079" s="18"/>
      <c r="I1079" s="24">
        <v>8.5233878924E10</v>
      </c>
      <c r="J1079" s="18" t="s">
        <v>4287</v>
      </c>
      <c r="K1079" s="18"/>
      <c r="L1079" s="18" t="s">
        <v>1637</v>
      </c>
    </row>
    <row r="1080">
      <c r="A1080" s="18" t="s">
        <v>4288</v>
      </c>
      <c r="B1080" s="18" t="s">
        <v>791</v>
      </c>
      <c r="C1080" s="18" t="s">
        <v>4289</v>
      </c>
      <c r="D1080" s="18"/>
      <c r="E1080" s="24">
        <v>8.1335208367E10</v>
      </c>
      <c r="F1080" s="24">
        <v>1.0</v>
      </c>
      <c r="G1080" s="18" t="s">
        <v>4289</v>
      </c>
      <c r="H1080" s="18"/>
      <c r="I1080" s="24">
        <v>8.1335208367E10</v>
      </c>
      <c r="J1080" s="18" t="s">
        <v>4290</v>
      </c>
      <c r="K1080" s="18"/>
      <c r="L1080" s="18" t="s">
        <v>1914</v>
      </c>
    </row>
    <row r="1081">
      <c r="A1081" s="18" t="s">
        <v>4291</v>
      </c>
      <c r="B1081" s="18" t="s">
        <v>791</v>
      </c>
      <c r="C1081" s="18" t="s">
        <v>4292</v>
      </c>
      <c r="D1081" s="18"/>
      <c r="E1081" s="24">
        <v>8.5233878924E10</v>
      </c>
      <c r="F1081" s="24">
        <v>1.0</v>
      </c>
      <c r="G1081" s="18" t="s">
        <v>4292</v>
      </c>
      <c r="H1081" s="18"/>
      <c r="I1081" s="24">
        <v>8.5233878924E10</v>
      </c>
      <c r="J1081" s="18" t="s">
        <v>4293</v>
      </c>
      <c r="K1081" s="18"/>
      <c r="L1081" s="18" t="s">
        <v>1637</v>
      </c>
    </row>
    <row r="1082">
      <c r="A1082" s="18" t="s">
        <v>4294</v>
      </c>
      <c r="B1082" s="18" t="s">
        <v>791</v>
      </c>
      <c r="C1082" s="18" t="s">
        <v>4289</v>
      </c>
      <c r="D1082" s="18"/>
      <c r="E1082" s="24">
        <v>8.133598612E10</v>
      </c>
      <c r="F1082" s="24">
        <v>1.0</v>
      </c>
      <c r="G1082" s="18" t="s">
        <v>4289</v>
      </c>
      <c r="H1082" s="18"/>
      <c r="I1082" s="24">
        <v>8.133598612E10</v>
      </c>
      <c r="J1082" s="18" t="s">
        <v>4295</v>
      </c>
      <c r="K1082" s="18"/>
      <c r="L1082" s="18" t="s">
        <v>3552</v>
      </c>
    </row>
    <row r="1083">
      <c r="A1083" s="18" t="s">
        <v>4296</v>
      </c>
      <c r="B1083" s="18" t="s">
        <v>791</v>
      </c>
      <c r="C1083" s="18" t="s">
        <v>4297</v>
      </c>
      <c r="D1083" s="18"/>
      <c r="E1083" s="24">
        <v>8.5330549742E10</v>
      </c>
      <c r="F1083" s="24">
        <v>1.0</v>
      </c>
      <c r="G1083" s="18" t="s">
        <v>4297</v>
      </c>
      <c r="H1083" s="18"/>
      <c r="I1083" s="24">
        <v>8.5330549742E10</v>
      </c>
      <c r="J1083" s="18" t="s">
        <v>4298</v>
      </c>
      <c r="K1083" s="18"/>
      <c r="L1083" s="18" t="s">
        <v>3125</v>
      </c>
    </row>
    <row r="1084">
      <c r="A1084" s="18" t="s">
        <v>4299</v>
      </c>
      <c r="B1084" s="18" t="s">
        <v>791</v>
      </c>
      <c r="C1084" s="18" t="s">
        <v>4297</v>
      </c>
      <c r="D1084" s="18"/>
      <c r="E1084" s="24">
        <v>8.5235543827E10</v>
      </c>
      <c r="F1084" s="24">
        <v>1.0</v>
      </c>
      <c r="G1084" s="18" t="s">
        <v>4297</v>
      </c>
      <c r="H1084" s="18"/>
      <c r="I1084" s="24">
        <v>8.5235543827E10</v>
      </c>
      <c r="J1084" s="18" t="s">
        <v>4300</v>
      </c>
      <c r="K1084" s="18"/>
      <c r="L1084" s="18" t="s">
        <v>2358</v>
      </c>
    </row>
    <row r="1085">
      <c r="A1085" s="18" t="s">
        <v>4301</v>
      </c>
      <c r="B1085" s="18" t="s">
        <v>791</v>
      </c>
      <c r="C1085" s="18" t="s">
        <v>4302</v>
      </c>
      <c r="D1085" s="18"/>
      <c r="E1085" s="24">
        <v>8.230185852E10</v>
      </c>
      <c r="F1085" s="24">
        <v>1.0</v>
      </c>
      <c r="G1085" s="18" t="s">
        <v>4302</v>
      </c>
      <c r="H1085" s="18"/>
      <c r="I1085" s="24">
        <v>8.230185852E10</v>
      </c>
      <c r="J1085" s="18" t="s">
        <v>4303</v>
      </c>
      <c r="K1085" s="18"/>
      <c r="L1085" s="18" t="s">
        <v>1854</v>
      </c>
    </row>
    <row r="1086">
      <c r="A1086" s="18" t="s">
        <v>4304</v>
      </c>
      <c r="B1086" s="18" t="s">
        <v>791</v>
      </c>
      <c r="C1086" s="18" t="s">
        <v>4305</v>
      </c>
      <c r="D1086" s="18"/>
      <c r="E1086" s="24">
        <v>8.230185852E10</v>
      </c>
      <c r="F1086" s="24">
        <v>1.0</v>
      </c>
      <c r="G1086" s="18" t="s">
        <v>4305</v>
      </c>
      <c r="H1086" s="18"/>
      <c r="I1086" s="24">
        <v>8.230185852E10</v>
      </c>
      <c r="J1086" s="18" t="s">
        <v>4306</v>
      </c>
      <c r="K1086" s="18"/>
      <c r="L1086" s="18" t="s">
        <v>1854</v>
      </c>
    </row>
    <row r="1087">
      <c r="A1087" s="18" t="s">
        <v>4307</v>
      </c>
      <c r="B1087" s="18" t="s">
        <v>791</v>
      </c>
      <c r="C1087" s="18" t="s">
        <v>4308</v>
      </c>
      <c r="D1087" s="18"/>
      <c r="E1087" s="24">
        <v>8.133598612E10</v>
      </c>
      <c r="F1087" s="24">
        <v>1.0</v>
      </c>
      <c r="G1087" s="18" t="s">
        <v>4308</v>
      </c>
      <c r="H1087" s="18"/>
      <c r="I1087" s="24">
        <v>8.133598612E10</v>
      </c>
      <c r="J1087" s="18" t="s">
        <v>4309</v>
      </c>
      <c r="K1087" s="18"/>
      <c r="L1087" s="18" t="s">
        <v>3552</v>
      </c>
    </row>
    <row r="1088">
      <c r="A1088" s="18" t="s">
        <v>4310</v>
      </c>
      <c r="B1088" s="18" t="s">
        <v>791</v>
      </c>
      <c r="C1088" s="18" t="s">
        <v>4311</v>
      </c>
      <c r="D1088" s="18"/>
      <c r="E1088" s="24">
        <v>8.564584087E10</v>
      </c>
      <c r="F1088" s="24">
        <v>1.0</v>
      </c>
      <c r="G1088" s="18" t="s">
        <v>4311</v>
      </c>
      <c r="H1088" s="18"/>
      <c r="I1088" s="24">
        <v>8.564584087E10</v>
      </c>
      <c r="J1088" s="18" t="s">
        <v>4312</v>
      </c>
      <c r="K1088" s="18"/>
      <c r="L1088" s="18" t="s">
        <v>2994</v>
      </c>
    </row>
    <row r="1089">
      <c r="A1089" s="18" t="s">
        <v>4313</v>
      </c>
      <c r="B1089" s="18" t="s">
        <v>791</v>
      </c>
      <c r="C1089" s="18" t="s">
        <v>4314</v>
      </c>
      <c r="D1089" s="18"/>
      <c r="E1089" s="24">
        <v>8.1330720631E10</v>
      </c>
      <c r="F1089" s="24">
        <v>1.0</v>
      </c>
      <c r="G1089" s="18" t="s">
        <v>4314</v>
      </c>
      <c r="H1089" s="18"/>
      <c r="I1089" s="24">
        <v>8.1330720631E10</v>
      </c>
      <c r="J1089" s="18" t="s">
        <v>4315</v>
      </c>
      <c r="K1089" s="18"/>
      <c r="L1089" s="18" t="s">
        <v>1681</v>
      </c>
    </row>
    <row r="1090">
      <c r="A1090" s="18" t="s">
        <v>4316</v>
      </c>
      <c r="B1090" s="18" t="s">
        <v>791</v>
      </c>
      <c r="C1090" s="18" t="s">
        <v>4317</v>
      </c>
      <c r="D1090" s="18"/>
      <c r="E1090" s="24">
        <v>8.5331754948E10</v>
      </c>
      <c r="F1090" s="24">
        <v>1.0</v>
      </c>
      <c r="G1090" s="18" t="s">
        <v>4317</v>
      </c>
      <c r="H1090" s="18"/>
      <c r="I1090" s="24">
        <v>8.5331754948E10</v>
      </c>
      <c r="J1090" s="18" t="s">
        <v>4318</v>
      </c>
      <c r="K1090" s="18"/>
      <c r="L1090" s="18" t="s">
        <v>2354</v>
      </c>
    </row>
    <row r="1091">
      <c r="A1091" s="18" t="s">
        <v>4319</v>
      </c>
      <c r="B1091" s="18" t="s">
        <v>791</v>
      </c>
      <c r="C1091" s="18" t="s">
        <v>4320</v>
      </c>
      <c r="D1091" s="18"/>
      <c r="E1091" s="24">
        <v>8.5235961951E10</v>
      </c>
      <c r="F1091" s="24">
        <v>1.0</v>
      </c>
      <c r="G1091" s="18" t="s">
        <v>4320</v>
      </c>
      <c r="H1091" s="18"/>
      <c r="I1091" s="24">
        <v>8.5235961951E10</v>
      </c>
      <c r="J1091" s="18" t="s">
        <v>4321</v>
      </c>
      <c r="K1091" s="18"/>
      <c r="L1091" s="18" t="s">
        <v>3137</v>
      </c>
    </row>
    <row r="1092">
      <c r="A1092" s="18" t="s">
        <v>4322</v>
      </c>
      <c r="B1092" s="18" t="s">
        <v>791</v>
      </c>
      <c r="C1092" s="18" t="s">
        <v>4323</v>
      </c>
      <c r="D1092" s="18"/>
      <c r="E1092" s="24">
        <v>8.5335280985E10</v>
      </c>
      <c r="F1092" s="24">
        <v>1.0</v>
      </c>
      <c r="G1092" s="18" t="s">
        <v>4323</v>
      </c>
      <c r="H1092" s="18"/>
      <c r="I1092" s="24">
        <v>8.5335280985E10</v>
      </c>
      <c r="J1092" s="24">
        <v>3.52102700643002E15</v>
      </c>
      <c r="K1092" s="18"/>
      <c r="L1092" s="18" t="s">
        <v>1914</v>
      </c>
    </row>
    <row r="1093">
      <c r="A1093" s="18" t="s">
        <v>4324</v>
      </c>
      <c r="B1093" s="18" t="s">
        <v>791</v>
      </c>
      <c r="C1093" s="18" t="s">
        <v>4325</v>
      </c>
      <c r="D1093" s="18"/>
      <c r="E1093" s="24">
        <v>8.2312388907E10</v>
      </c>
      <c r="F1093" s="24">
        <v>1.0</v>
      </c>
      <c r="G1093" s="18" t="s">
        <v>4325</v>
      </c>
      <c r="H1093" s="18"/>
      <c r="I1093" s="24">
        <v>8.2312388907E10</v>
      </c>
      <c r="J1093" s="18" t="s">
        <v>4327</v>
      </c>
      <c r="K1093" s="18"/>
      <c r="L1093" s="18" t="s">
        <v>1914</v>
      </c>
    </row>
    <row r="1094">
      <c r="A1094" s="18" t="s">
        <v>1304</v>
      </c>
      <c r="B1094" s="18" t="s">
        <v>791</v>
      </c>
      <c r="C1094" s="18" t="s">
        <v>1307</v>
      </c>
      <c r="D1094" s="18"/>
      <c r="E1094" s="24">
        <v>8.1336304421E10</v>
      </c>
      <c r="F1094" s="24">
        <v>1.0</v>
      </c>
      <c r="G1094" s="18" t="s">
        <v>1307</v>
      </c>
      <c r="H1094" s="18"/>
      <c r="I1094" s="24">
        <v>8.1336304421E10</v>
      </c>
      <c r="J1094" s="18" t="s">
        <v>1306</v>
      </c>
      <c r="K1094" s="18"/>
      <c r="L1094" s="18" t="s">
        <v>1289</v>
      </c>
    </row>
    <row r="1095">
      <c r="A1095" s="18" t="s">
        <v>4329</v>
      </c>
      <c r="B1095" s="18" t="s">
        <v>791</v>
      </c>
      <c r="C1095" s="18" t="s">
        <v>4330</v>
      </c>
      <c r="D1095" s="18"/>
      <c r="E1095" s="24">
        <v>8.5729292088E10</v>
      </c>
      <c r="F1095" s="24">
        <v>1.0</v>
      </c>
      <c r="G1095" s="18" t="s">
        <v>4330</v>
      </c>
      <c r="H1095" s="18"/>
      <c r="I1095" s="24">
        <v>8.5729292088E10</v>
      </c>
      <c r="J1095" s="18" t="s">
        <v>4331</v>
      </c>
      <c r="K1095" s="18"/>
      <c r="L1095" s="18" t="s">
        <v>3161</v>
      </c>
    </row>
    <row r="1096">
      <c r="A1096" s="18" t="s">
        <v>4332</v>
      </c>
      <c r="B1096" s="18" t="s">
        <v>791</v>
      </c>
      <c r="C1096" s="18" t="s">
        <v>4333</v>
      </c>
      <c r="D1096" s="18"/>
      <c r="E1096" s="24">
        <v>8.5736454699E10</v>
      </c>
      <c r="F1096" s="24">
        <v>1.0</v>
      </c>
      <c r="G1096" s="18" t="s">
        <v>4333</v>
      </c>
      <c r="H1096" s="18"/>
      <c r="I1096" s="24">
        <v>8.5736454699E10</v>
      </c>
      <c r="J1096" s="18" t="s">
        <v>4334</v>
      </c>
      <c r="K1096" s="18"/>
      <c r="L1096" s="18" t="s">
        <v>2189</v>
      </c>
    </row>
    <row r="1097">
      <c r="A1097" s="18" t="s">
        <v>4335</v>
      </c>
      <c r="B1097" s="18" t="s">
        <v>791</v>
      </c>
      <c r="C1097" s="18" t="s">
        <v>4336</v>
      </c>
      <c r="D1097" s="18"/>
      <c r="E1097" s="24">
        <v>8.5331754948E10</v>
      </c>
      <c r="F1097" s="24">
        <v>1.0</v>
      </c>
      <c r="G1097" s="18" t="s">
        <v>4336</v>
      </c>
      <c r="H1097" s="18"/>
      <c r="I1097" s="24">
        <v>8.5331754948E10</v>
      </c>
      <c r="J1097" s="18" t="s">
        <v>4337</v>
      </c>
      <c r="K1097" s="18"/>
      <c r="L1097" s="18" t="s">
        <v>2354</v>
      </c>
    </row>
    <row r="1098">
      <c r="A1098" s="18" t="s">
        <v>4338</v>
      </c>
      <c r="B1098" s="18" t="s">
        <v>791</v>
      </c>
      <c r="C1098" s="18" t="s">
        <v>4339</v>
      </c>
      <c r="D1098" s="18"/>
      <c r="E1098" s="24">
        <v>8.1335663129E10</v>
      </c>
      <c r="F1098" s="24">
        <v>1.0</v>
      </c>
      <c r="G1098" s="18" t="s">
        <v>4339</v>
      </c>
      <c r="H1098" s="18"/>
      <c r="I1098" s="24">
        <v>8.1335663129E10</v>
      </c>
      <c r="J1098" s="18" t="s">
        <v>4340</v>
      </c>
      <c r="K1098" s="18"/>
      <c r="L1098" s="18" t="s">
        <v>1549</v>
      </c>
    </row>
    <row r="1099">
      <c r="A1099" s="18" t="s">
        <v>4341</v>
      </c>
      <c r="B1099" s="18" t="s">
        <v>791</v>
      </c>
      <c r="C1099" s="18" t="s">
        <v>4342</v>
      </c>
      <c r="D1099" s="18"/>
      <c r="E1099" s="24">
        <v>8.2331695666E10</v>
      </c>
      <c r="F1099" s="24">
        <v>1.0</v>
      </c>
      <c r="G1099" s="18" t="s">
        <v>4342</v>
      </c>
      <c r="H1099" s="18"/>
      <c r="I1099" s="24">
        <v>8.2331695666E10</v>
      </c>
      <c r="J1099" s="18" t="s">
        <v>4343</v>
      </c>
      <c r="K1099" s="18"/>
      <c r="L1099" s="18" t="s">
        <v>1958</v>
      </c>
    </row>
    <row r="1100">
      <c r="A1100" s="18" t="s">
        <v>4344</v>
      </c>
      <c r="B1100" s="18" t="s">
        <v>791</v>
      </c>
      <c r="C1100" s="18" t="s">
        <v>4345</v>
      </c>
      <c r="D1100" s="18"/>
      <c r="E1100" s="24">
        <v>3.517009416E9</v>
      </c>
      <c r="F1100" s="24">
        <v>1.0</v>
      </c>
      <c r="G1100" s="18" t="s">
        <v>4345</v>
      </c>
      <c r="H1100" s="18"/>
      <c r="I1100" s="24">
        <v>3.517009416E9</v>
      </c>
      <c r="J1100" s="18" t="s">
        <v>4347</v>
      </c>
      <c r="K1100" s="18"/>
      <c r="L1100" s="18" t="s">
        <v>2308</v>
      </c>
    </row>
    <row r="1101">
      <c r="A1101" s="18" t="s">
        <v>4348</v>
      </c>
      <c r="B1101" s="18" t="s">
        <v>791</v>
      </c>
      <c r="C1101" s="18" t="s">
        <v>4349</v>
      </c>
      <c r="D1101" s="18"/>
      <c r="E1101" s="24">
        <v>8.5334523413E10</v>
      </c>
      <c r="F1101" s="24">
        <v>1.0</v>
      </c>
      <c r="G1101" s="18" t="s">
        <v>4349</v>
      </c>
      <c r="H1101" s="18"/>
      <c r="I1101" s="24">
        <v>8.5334523413E10</v>
      </c>
      <c r="J1101" s="18" t="s">
        <v>4350</v>
      </c>
      <c r="K1101" s="18"/>
      <c r="L1101" s="18" t="s">
        <v>197</v>
      </c>
    </row>
    <row r="1102">
      <c r="A1102" s="18" t="s">
        <v>4351</v>
      </c>
      <c r="B1102" s="18" t="s">
        <v>791</v>
      </c>
      <c r="C1102" s="18" t="s">
        <v>4352</v>
      </c>
      <c r="D1102" s="18"/>
      <c r="E1102" s="24">
        <v>8.5235094487E10</v>
      </c>
      <c r="F1102" s="24">
        <v>1.0</v>
      </c>
      <c r="G1102" s="18" t="s">
        <v>4352</v>
      </c>
      <c r="H1102" s="18"/>
      <c r="I1102" s="24">
        <v>8.5235094487E10</v>
      </c>
      <c r="J1102" s="18" t="s">
        <v>4353</v>
      </c>
      <c r="K1102" s="18"/>
      <c r="L1102" s="18" t="s">
        <v>1861</v>
      </c>
    </row>
    <row r="1103">
      <c r="A1103" s="18" t="s">
        <v>4354</v>
      </c>
      <c r="B1103" s="18" t="s">
        <v>791</v>
      </c>
      <c r="C1103" s="18" t="s">
        <v>4355</v>
      </c>
      <c r="D1103" s="18"/>
      <c r="E1103" s="24">
        <v>8.5216700888E10</v>
      </c>
      <c r="F1103" s="24">
        <v>1.0</v>
      </c>
      <c r="G1103" s="18" t="s">
        <v>4355</v>
      </c>
      <c r="H1103" s="18"/>
      <c r="I1103" s="24">
        <v>8.5216700888E10</v>
      </c>
      <c r="J1103" s="18" t="s">
        <v>4356</v>
      </c>
      <c r="K1103" s="18"/>
      <c r="L1103" s="18" t="s">
        <v>3115</v>
      </c>
    </row>
    <row r="1104">
      <c r="A1104" s="18" t="s">
        <v>4358</v>
      </c>
      <c r="B1104" s="18" t="s">
        <v>791</v>
      </c>
      <c r="C1104" s="18" t="s">
        <v>4359</v>
      </c>
      <c r="D1104" s="18"/>
      <c r="E1104" s="24">
        <v>8.1335860566E10</v>
      </c>
      <c r="F1104" s="24">
        <v>1.0</v>
      </c>
      <c r="G1104" s="18" t="s">
        <v>4359</v>
      </c>
      <c r="H1104" s="18"/>
      <c r="I1104" s="24">
        <v>8.1335860566E10</v>
      </c>
      <c r="J1104" s="18" t="s">
        <v>4360</v>
      </c>
      <c r="K1104" s="18"/>
      <c r="L1104" s="18" t="s">
        <v>2385</v>
      </c>
    </row>
    <row r="1105">
      <c r="A1105" s="18" t="s">
        <v>4361</v>
      </c>
      <c r="B1105" s="18" t="s">
        <v>791</v>
      </c>
      <c r="C1105" s="18" t="s">
        <v>4359</v>
      </c>
      <c r="D1105" s="18"/>
      <c r="E1105" s="24">
        <v>8.5790205524E10</v>
      </c>
      <c r="F1105" s="24">
        <v>1.0</v>
      </c>
      <c r="G1105" s="18" t="s">
        <v>4359</v>
      </c>
      <c r="H1105" s="18"/>
      <c r="I1105" s="24">
        <v>8.5790205524E10</v>
      </c>
      <c r="J1105" s="18" t="s">
        <v>4362</v>
      </c>
      <c r="K1105" s="18"/>
      <c r="L1105" s="18" t="s">
        <v>2532</v>
      </c>
    </row>
    <row r="1106">
      <c r="A1106" s="18" t="s">
        <v>4363</v>
      </c>
      <c r="B1106" s="18" t="s">
        <v>791</v>
      </c>
      <c r="C1106" s="18" t="s">
        <v>4364</v>
      </c>
      <c r="D1106" s="18"/>
      <c r="E1106" s="24">
        <v>8.1337766606E10</v>
      </c>
      <c r="F1106" s="24">
        <v>1.0</v>
      </c>
      <c r="G1106" s="18" t="s">
        <v>4364</v>
      </c>
      <c r="H1106" s="18"/>
      <c r="I1106" s="24">
        <v>8.1337766606E10</v>
      </c>
      <c r="J1106" s="18" t="s">
        <v>4365</v>
      </c>
      <c r="K1106" s="18"/>
      <c r="L1106" s="18" t="s">
        <v>4366</v>
      </c>
    </row>
    <row r="1107">
      <c r="A1107" s="18" t="s">
        <v>4367</v>
      </c>
      <c r="B1107" s="18" t="s">
        <v>791</v>
      </c>
      <c r="C1107" s="18" t="s">
        <v>4368</v>
      </c>
      <c r="D1107" s="18"/>
      <c r="E1107" s="24">
        <v>8.1252779695E10</v>
      </c>
      <c r="F1107" s="24">
        <v>1.0</v>
      </c>
      <c r="G1107" s="18" t="s">
        <v>4368</v>
      </c>
      <c r="H1107" s="18"/>
      <c r="I1107" s="24">
        <v>8.1252779695E10</v>
      </c>
      <c r="J1107" s="18" t="s">
        <v>4369</v>
      </c>
      <c r="K1107" s="18"/>
      <c r="L1107" s="18" t="s">
        <v>1850</v>
      </c>
    </row>
    <row r="1108">
      <c r="A1108" s="18" t="s">
        <v>4370</v>
      </c>
      <c r="B1108" s="18" t="s">
        <v>791</v>
      </c>
      <c r="C1108" s="18" t="s">
        <v>4371</v>
      </c>
      <c r="D1108" s="18"/>
      <c r="E1108" s="24">
        <v>8.5230980404E10</v>
      </c>
      <c r="F1108" s="24">
        <v>1.0</v>
      </c>
      <c r="G1108" s="18" t="s">
        <v>4371</v>
      </c>
      <c r="H1108" s="18"/>
      <c r="I1108" s="24">
        <v>8.5230980404E10</v>
      </c>
      <c r="J1108" s="18" t="s">
        <v>4372</v>
      </c>
      <c r="K1108" s="18"/>
      <c r="L1108" s="18" t="s">
        <v>3591</v>
      </c>
    </row>
    <row r="1109">
      <c r="A1109" s="18" t="s">
        <v>4373</v>
      </c>
      <c r="B1109" s="18" t="s">
        <v>791</v>
      </c>
      <c r="C1109" s="18" t="s">
        <v>4374</v>
      </c>
      <c r="D1109" s="18"/>
      <c r="E1109" s="24">
        <v>8.230185852E10</v>
      </c>
      <c r="F1109" s="24">
        <v>1.0</v>
      </c>
      <c r="G1109" s="18" t="s">
        <v>4374</v>
      </c>
      <c r="H1109" s="18"/>
      <c r="I1109" s="24">
        <v>8.230185852E10</v>
      </c>
      <c r="J1109" s="18" t="s">
        <v>4375</v>
      </c>
      <c r="K1109" s="18"/>
      <c r="L1109" s="18" t="s">
        <v>1854</v>
      </c>
    </row>
    <row r="1110">
      <c r="A1110" s="18" t="s">
        <v>4376</v>
      </c>
      <c r="B1110" s="18" t="s">
        <v>791</v>
      </c>
      <c r="C1110" s="18" t="s">
        <v>4377</v>
      </c>
      <c r="D1110" s="18"/>
      <c r="E1110" s="24">
        <v>8.523364228E10</v>
      </c>
      <c r="F1110" s="24">
        <v>1.0</v>
      </c>
      <c r="G1110" s="18" t="s">
        <v>4377</v>
      </c>
      <c r="H1110" s="18"/>
      <c r="I1110" s="24">
        <v>8.523364228E10</v>
      </c>
      <c r="J1110" s="18" t="s">
        <v>4379</v>
      </c>
      <c r="K1110" s="18"/>
      <c r="L1110" s="18" t="s">
        <v>4380</v>
      </c>
    </row>
    <row r="1111">
      <c r="A1111" s="18" t="s">
        <v>4381</v>
      </c>
      <c r="B1111" s="18" t="s">
        <v>791</v>
      </c>
      <c r="C1111" s="18" t="s">
        <v>4382</v>
      </c>
      <c r="D1111" s="18"/>
      <c r="E1111" s="24">
        <v>8.5335280985E10</v>
      </c>
      <c r="F1111" s="24">
        <v>1.0</v>
      </c>
      <c r="G1111" s="18" t="s">
        <v>4382</v>
      </c>
      <c r="H1111" s="18"/>
      <c r="I1111" s="24">
        <v>8.5335280985E10</v>
      </c>
      <c r="J1111" s="18" t="s">
        <v>4383</v>
      </c>
      <c r="K1111" s="18"/>
      <c r="L1111" s="18" t="s">
        <v>1914</v>
      </c>
    </row>
    <row r="1112">
      <c r="A1112" s="18" t="s">
        <v>4384</v>
      </c>
      <c r="B1112" s="18" t="s">
        <v>791</v>
      </c>
      <c r="C1112" s="18" t="s">
        <v>4385</v>
      </c>
      <c r="D1112" s="18"/>
      <c r="E1112" s="24">
        <v>8.1335903738E10</v>
      </c>
      <c r="F1112" s="24">
        <v>1.0</v>
      </c>
      <c r="G1112" s="18" t="s">
        <v>4385</v>
      </c>
      <c r="H1112" s="18"/>
      <c r="I1112" s="24">
        <v>8.1335903738E10</v>
      </c>
      <c r="J1112" s="18" t="s">
        <v>4386</v>
      </c>
      <c r="K1112" s="18"/>
      <c r="L1112" s="18" t="s">
        <v>4387</v>
      </c>
    </row>
    <row r="1113">
      <c r="A1113" s="18" t="s">
        <v>4388</v>
      </c>
      <c r="B1113" s="18" t="s">
        <v>791</v>
      </c>
      <c r="C1113" s="18" t="s">
        <v>4389</v>
      </c>
      <c r="D1113" s="18"/>
      <c r="E1113" s="24">
        <v>8.5645704273E10</v>
      </c>
      <c r="F1113" s="24">
        <v>1.0</v>
      </c>
      <c r="G1113" s="18" t="s">
        <v>4389</v>
      </c>
      <c r="H1113" s="18"/>
      <c r="I1113" s="24">
        <v>8.5645704273E10</v>
      </c>
      <c r="J1113" s="18" t="s">
        <v>4390</v>
      </c>
      <c r="K1113" s="18"/>
      <c r="L1113" s="18" t="s">
        <v>4391</v>
      </c>
    </row>
    <row r="1114">
      <c r="A1114" s="18" t="s">
        <v>4392</v>
      </c>
      <c r="B1114" s="18" t="s">
        <v>791</v>
      </c>
      <c r="C1114" s="18" t="s">
        <v>4393</v>
      </c>
      <c r="D1114" s="18"/>
      <c r="E1114" s="24">
        <v>8.2325568205E10</v>
      </c>
      <c r="F1114" s="24">
        <v>1.0</v>
      </c>
      <c r="G1114" s="18" t="s">
        <v>4393</v>
      </c>
      <c r="H1114" s="18"/>
      <c r="I1114" s="24">
        <v>8.2325568205E10</v>
      </c>
      <c r="J1114" s="18" t="s">
        <v>4357</v>
      </c>
      <c r="K1114" s="18"/>
      <c r="L1114" s="18" t="s">
        <v>4394</v>
      </c>
    </row>
    <row r="1115">
      <c r="A1115" s="18" t="s">
        <v>4395</v>
      </c>
      <c r="B1115" s="18" t="s">
        <v>791</v>
      </c>
      <c r="C1115" s="18" t="s">
        <v>4396</v>
      </c>
      <c r="D1115" s="18"/>
      <c r="E1115" s="24">
        <v>8.5234913825E10</v>
      </c>
      <c r="F1115" s="24">
        <v>1.0</v>
      </c>
      <c r="G1115" s="18" t="s">
        <v>4396</v>
      </c>
      <c r="H1115" s="18"/>
      <c r="I1115" s="24">
        <v>8.5234913825E10</v>
      </c>
      <c r="J1115" s="18" t="s">
        <v>4397</v>
      </c>
      <c r="K1115" s="18"/>
      <c r="L1115" s="18" t="s">
        <v>1673</v>
      </c>
    </row>
    <row r="1116">
      <c r="A1116" s="18" t="s">
        <v>4398</v>
      </c>
      <c r="B1116" s="18" t="s">
        <v>791</v>
      </c>
      <c r="C1116" s="18" t="s">
        <v>4399</v>
      </c>
      <c r="D1116" s="18"/>
      <c r="E1116" s="24">
        <v>8.5231194243E10</v>
      </c>
      <c r="F1116" s="24">
        <v>1.0</v>
      </c>
      <c r="G1116" s="18" t="s">
        <v>4399</v>
      </c>
      <c r="H1116" s="18"/>
      <c r="I1116" s="24">
        <v>8.5231194243E10</v>
      </c>
      <c r="J1116" s="18" t="s">
        <v>4400</v>
      </c>
      <c r="K1116" s="18"/>
      <c r="L1116" s="18" t="s">
        <v>2584</v>
      </c>
    </row>
    <row r="1117">
      <c r="A1117" s="18" t="s">
        <v>4401</v>
      </c>
      <c r="B1117" s="18" t="s">
        <v>791</v>
      </c>
      <c r="C1117" s="18" t="s">
        <v>4402</v>
      </c>
      <c r="D1117" s="18"/>
      <c r="E1117" s="24">
        <v>9080808.0</v>
      </c>
      <c r="F1117" s="24">
        <v>1.0</v>
      </c>
      <c r="G1117" s="18" t="s">
        <v>4402</v>
      </c>
      <c r="H1117" s="18"/>
      <c r="I1117" s="24">
        <v>9080808.0</v>
      </c>
      <c r="J1117" s="24">
        <v>1.0</v>
      </c>
      <c r="K1117" s="18"/>
      <c r="L1117" s="18" t="s">
        <v>4404</v>
      </c>
    </row>
    <row r="1118">
      <c r="A1118" s="18" t="s">
        <v>4405</v>
      </c>
      <c r="B1118" s="18" t="s">
        <v>791</v>
      </c>
      <c r="C1118" s="18" t="s">
        <v>4406</v>
      </c>
      <c r="D1118" s="18"/>
      <c r="E1118" s="24">
        <v>8.5608725389E10</v>
      </c>
      <c r="F1118" s="24">
        <v>1.0</v>
      </c>
      <c r="G1118" s="18" t="s">
        <v>4406</v>
      </c>
      <c r="H1118" s="18"/>
      <c r="I1118" s="24">
        <v>8.5608725389E10</v>
      </c>
      <c r="J1118" s="18" t="s">
        <v>4407</v>
      </c>
      <c r="K1118" s="18"/>
      <c r="L1118" s="18" t="s">
        <v>4408</v>
      </c>
    </row>
    <row r="1119">
      <c r="A1119" s="18" t="s">
        <v>1073</v>
      </c>
      <c r="B1119" s="18" t="s">
        <v>791</v>
      </c>
      <c r="C1119" s="18" t="s">
        <v>1075</v>
      </c>
      <c r="D1119" s="18" t="s">
        <v>1066</v>
      </c>
      <c r="E1119" s="24">
        <v>8.2232319484E10</v>
      </c>
      <c r="F1119" s="24">
        <v>1.0</v>
      </c>
      <c r="G1119" s="18" t="s">
        <v>1075</v>
      </c>
      <c r="H1119" s="18" t="s">
        <v>1066</v>
      </c>
      <c r="I1119" s="24">
        <v>8.2232319484E10</v>
      </c>
      <c r="J1119" s="18" t="s">
        <v>1074</v>
      </c>
      <c r="K1119" s="18" t="s">
        <v>1064</v>
      </c>
      <c r="L1119" s="18" t="s">
        <v>1076</v>
      </c>
    </row>
    <row r="1120">
      <c r="A1120" s="18" t="s">
        <v>4409</v>
      </c>
      <c r="B1120" s="18" t="s">
        <v>791</v>
      </c>
      <c r="C1120" s="18" t="s">
        <v>4406</v>
      </c>
      <c r="D1120" s="18"/>
      <c r="E1120" s="24">
        <v>8.223252301E10</v>
      </c>
      <c r="F1120" s="24">
        <v>1.0</v>
      </c>
      <c r="G1120" s="18" t="s">
        <v>4406</v>
      </c>
      <c r="H1120" s="18"/>
      <c r="I1120" s="24">
        <v>8.223252301E10</v>
      </c>
      <c r="J1120" s="18" t="s">
        <v>4410</v>
      </c>
      <c r="K1120" s="18"/>
      <c r="L1120" s="18" t="s">
        <v>3854</v>
      </c>
    </row>
    <row r="1121">
      <c r="A1121" s="18" t="s">
        <v>4411</v>
      </c>
      <c r="B1121" s="18" t="s">
        <v>791</v>
      </c>
      <c r="C1121" s="18" t="s">
        <v>4412</v>
      </c>
      <c r="D1121" s="18"/>
      <c r="E1121" s="24">
        <v>8.5732276653E10</v>
      </c>
      <c r="F1121" s="24">
        <v>1.0</v>
      </c>
      <c r="G1121" s="18" t="s">
        <v>4412</v>
      </c>
      <c r="H1121" s="18"/>
      <c r="I1121" s="24">
        <v>8.5732276653E10</v>
      </c>
      <c r="J1121" s="18" t="s">
        <v>4413</v>
      </c>
      <c r="K1121" s="18"/>
      <c r="L1121" s="18" t="s">
        <v>4414</v>
      </c>
    </row>
    <row r="1122">
      <c r="A1122" s="18" t="s">
        <v>4415</v>
      </c>
      <c r="B1122" s="18" t="s">
        <v>791</v>
      </c>
      <c r="C1122" s="18" t="s">
        <v>4416</v>
      </c>
      <c r="D1122" s="18"/>
      <c r="E1122" s="24">
        <v>8.1615600615E10</v>
      </c>
      <c r="F1122" s="24">
        <v>1.0</v>
      </c>
      <c r="G1122" s="18" t="s">
        <v>4416</v>
      </c>
      <c r="H1122" s="18"/>
      <c r="I1122" s="24">
        <v>8.1615600615E10</v>
      </c>
      <c r="J1122" s="18" t="s">
        <v>4417</v>
      </c>
      <c r="K1122" s="18"/>
      <c r="L1122" s="18" t="s">
        <v>4418</v>
      </c>
    </row>
    <row r="1123">
      <c r="A1123" s="18" t="s">
        <v>4419</v>
      </c>
      <c r="B1123" s="18" t="s">
        <v>791</v>
      </c>
      <c r="C1123" s="18" t="s">
        <v>4421</v>
      </c>
      <c r="D1123" s="18"/>
      <c r="E1123" s="24">
        <v>6.282133084387E12</v>
      </c>
      <c r="F1123" s="24">
        <v>1.0</v>
      </c>
      <c r="G1123" s="18" t="s">
        <v>4421</v>
      </c>
      <c r="H1123" s="18"/>
      <c r="I1123" s="24">
        <v>6.282133084387E12</v>
      </c>
      <c r="J1123" s="18" t="s">
        <v>4422</v>
      </c>
      <c r="K1123" s="18"/>
      <c r="L1123" s="18" t="s">
        <v>4423</v>
      </c>
    </row>
    <row r="1124">
      <c r="A1124" s="18" t="s">
        <v>4424</v>
      </c>
      <c r="B1124" s="18" t="s">
        <v>791</v>
      </c>
      <c r="C1124" s="18" t="s">
        <v>4425</v>
      </c>
      <c r="D1124" s="18"/>
      <c r="E1124" s="24">
        <v>8.2225245074E10</v>
      </c>
      <c r="F1124" s="24">
        <v>1.0</v>
      </c>
      <c r="G1124" s="18" t="s">
        <v>4425</v>
      </c>
      <c r="H1124" s="18"/>
      <c r="I1124" s="24">
        <v>8.2225245074E10</v>
      </c>
      <c r="J1124" s="18" t="s">
        <v>4426</v>
      </c>
      <c r="K1124" s="18"/>
      <c r="L1124" s="18" t="s">
        <v>1489</v>
      </c>
    </row>
    <row r="1125">
      <c r="A1125" s="18" t="s">
        <v>4427</v>
      </c>
      <c r="B1125" s="18" t="s">
        <v>791</v>
      </c>
      <c r="C1125" s="18" t="s">
        <v>4428</v>
      </c>
      <c r="D1125" s="18"/>
      <c r="E1125" s="24">
        <v>8.2335355254E10</v>
      </c>
      <c r="F1125" s="24">
        <v>1.0</v>
      </c>
      <c r="G1125" s="18" t="s">
        <v>4428</v>
      </c>
      <c r="H1125" s="18"/>
      <c r="I1125" s="24">
        <v>8.2335355254E10</v>
      </c>
      <c r="J1125" s="18" t="s">
        <v>4429</v>
      </c>
      <c r="K1125" s="18"/>
      <c r="L1125" s="18" t="s">
        <v>2022</v>
      </c>
    </row>
    <row r="1126">
      <c r="A1126" s="18" t="s">
        <v>4430</v>
      </c>
      <c r="B1126" s="18" t="s">
        <v>791</v>
      </c>
      <c r="C1126" s="18" t="s">
        <v>4431</v>
      </c>
      <c r="D1126" s="18"/>
      <c r="E1126" s="24">
        <v>8.1335706864E10</v>
      </c>
      <c r="F1126" s="24">
        <v>1.0</v>
      </c>
      <c r="G1126" s="18" t="s">
        <v>4431</v>
      </c>
      <c r="H1126" s="18"/>
      <c r="I1126" s="24">
        <v>8.1335706864E10</v>
      </c>
      <c r="J1126" s="18" t="s">
        <v>4432</v>
      </c>
      <c r="K1126" s="18"/>
      <c r="L1126" s="18" t="s">
        <v>2346</v>
      </c>
    </row>
    <row r="1127">
      <c r="A1127" s="18" t="s">
        <v>4433</v>
      </c>
      <c r="B1127" s="18" t="s">
        <v>791</v>
      </c>
      <c r="C1127" s="18" t="s">
        <v>4431</v>
      </c>
      <c r="D1127" s="18"/>
      <c r="E1127" s="24">
        <v>8.5235630305E10</v>
      </c>
      <c r="F1127" s="24">
        <v>1.0</v>
      </c>
      <c r="G1127" s="18" t="s">
        <v>4431</v>
      </c>
      <c r="H1127" s="18"/>
      <c r="I1127" s="24">
        <v>8.5235630305E10</v>
      </c>
      <c r="J1127" s="18" t="s">
        <v>4434</v>
      </c>
      <c r="K1127" s="18"/>
      <c r="L1127" s="18" t="s">
        <v>1511</v>
      </c>
    </row>
    <row r="1128">
      <c r="A1128" s="18" t="s">
        <v>4436</v>
      </c>
      <c r="B1128" s="18" t="s">
        <v>791</v>
      </c>
      <c r="C1128" s="18" t="s">
        <v>4437</v>
      </c>
      <c r="D1128" s="18"/>
      <c r="E1128" s="24">
        <v>8.5334523413E10</v>
      </c>
      <c r="F1128" s="24">
        <v>1.0</v>
      </c>
      <c r="G1128" s="18" t="s">
        <v>4437</v>
      </c>
      <c r="H1128" s="18"/>
      <c r="I1128" s="24">
        <v>8.5334523413E10</v>
      </c>
      <c r="J1128" s="18" t="s">
        <v>4438</v>
      </c>
      <c r="K1128" s="18"/>
      <c r="L1128" s="18" t="s">
        <v>197</v>
      </c>
    </row>
    <row r="1129">
      <c r="A1129" s="18" t="s">
        <v>4439</v>
      </c>
      <c r="B1129" s="18" t="s">
        <v>791</v>
      </c>
      <c r="C1129" s="18" t="s">
        <v>4440</v>
      </c>
      <c r="D1129" s="18"/>
      <c r="E1129" s="24">
        <v>8.1234480398E10</v>
      </c>
      <c r="F1129" s="24">
        <v>1.0</v>
      </c>
      <c r="G1129" s="18" t="s">
        <v>4440</v>
      </c>
      <c r="H1129" s="18"/>
      <c r="I1129" s="24">
        <v>8.1234480398E10</v>
      </c>
      <c r="J1129" s="18" t="s">
        <v>4441</v>
      </c>
      <c r="K1129" s="18"/>
      <c r="L1129" s="18" t="s">
        <v>4442</v>
      </c>
    </row>
    <row r="1130">
      <c r="A1130" s="18" t="s">
        <v>4443</v>
      </c>
      <c r="B1130" s="18" t="s">
        <v>791</v>
      </c>
      <c r="C1130" s="18" t="s">
        <v>4440</v>
      </c>
      <c r="D1130" s="18"/>
      <c r="E1130" s="24">
        <v>8.2330171555E10</v>
      </c>
      <c r="F1130" s="24">
        <v>1.0</v>
      </c>
      <c r="G1130" s="18" t="s">
        <v>4440</v>
      </c>
      <c r="H1130" s="18"/>
      <c r="I1130" s="24">
        <v>8.2330171555E10</v>
      </c>
      <c r="J1130" s="18" t="s">
        <v>4445</v>
      </c>
      <c r="K1130" s="18"/>
      <c r="L1130" s="18" t="s">
        <v>2018</v>
      </c>
    </row>
    <row r="1131">
      <c r="A1131" s="18" t="s">
        <v>4446</v>
      </c>
      <c r="B1131" s="18" t="s">
        <v>791</v>
      </c>
      <c r="C1131" s="18" t="s">
        <v>4447</v>
      </c>
      <c r="D1131" s="18"/>
      <c r="E1131" s="24">
        <v>8.2140698872E10</v>
      </c>
      <c r="F1131" s="24">
        <v>1.0</v>
      </c>
      <c r="G1131" s="18" t="s">
        <v>4447</v>
      </c>
      <c r="H1131" s="18"/>
      <c r="I1131" s="24">
        <v>8.2140698872E10</v>
      </c>
      <c r="J1131" s="18" t="s">
        <v>4448</v>
      </c>
      <c r="K1131" s="18"/>
      <c r="L1131" s="18" t="s">
        <v>218</v>
      </c>
    </row>
    <row r="1132">
      <c r="A1132" s="18" t="s">
        <v>4449</v>
      </c>
      <c r="B1132" s="18" t="s">
        <v>791</v>
      </c>
      <c r="C1132" s="18" t="s">
        <v>4450</v>
      </c>
      <c r="D1132" s="18"/>
      <c r="E1132" s="24">
        <v>8.52596534E10</v>
      </c>
      <c r="F1132" s="24">
        <v>1.0</v>
      </c>
      <c r="G1132" s="18" t="s">
        <v>4450</v>
      </c>
      <c r="H1132" s="18"/>
      <c r="I1132" s="24">
        <v>8.52596534E10</v>
      </c>
      <c r="J1132" s="18" t="s">
        <v>4451</v>
      </c>
      <c r="K1132" s="18"/>
      <c r="L1132" s="18" t="s">
        <v>4414</v>
      </c>
    </row>
    <row r="1133">
      <c r="A1133" s="18" t="s">
        <v>4452</v>
      </c>
      <c r="B1133" s="18" t="s">
        <v>791</v>
      </c>
      <c r="C1133" s="18" t="s">
        <v>4450</v>
      </c>
      <c r="D1133" s="18"/>
      <c r="E1133" s="18"/>
      <c r="F1133" s="24">
        <v>1.0</v>
      </c>
      <c r="G1133" s="18" t="s">
        <v>4450</v>
      </c>
      <c r="H1133" s="18"/>
      <c r="I1133" s="18"/>
      <c r="J1133" s="18" t="s">
        <v>4453</v>
      </c>
      <c r="K1133" s="18"/>
      <c r="L1133" s="18"/>
    </row>
    <row r="1134">
      <c r="A1134" s="18" t="s">
        <v>4455</v>
      </c>
      <c r="B1134" s="18" t="s">
        <v>791</v>
      </c>
      <c r="C1134" s="18" t="s">
        <v>4456</v>
      </c>
      <c r="D1134" s="18"/>
      <c r="E1134" s="24">
        <v>8.5257742588E10</v>
      </c>
      <c r="F1134" s="24">
        <v>1.0</v>
      </c>
      <c r="G1134" s="18" t="s">
        <v>4456</v>
      </c>
      <c r="H1134" s="18"/>
      <c r="I1134" s="24">
        <v>8.5257742588E10</v>
      </c>
      <c r="J1134" s="18" t="s">
        <v>4457</v>
      </c>
      <c r="K1134" s="18"/>
      <c r="L1134" s="18" t="s">
        <v>4458</v>
      </c>
    </row>
    <row r="1135">
      <c r="A1135" s="18" t="s">
        <v>4459</v>
      </c>
      <c r="B1135" s="18" t="s">
        <v>791</v>
      </c>
      <c r="C1135" s="18" t="s">
        <v>4460</v>
      </c>
      <c r="D1135" s="18"/>
      <c r="E1135" s="24">
        <v>8.1319283688E10</v>
      </c>
      <c r="F1135" s="24">
        <v>1.0</v>
      </c>
      <c r="G1135" s="18" t="s">
        <v>4460</v>
      </c>
      <c r="H1135" s="18"/>
      <c r="I1135" s="24">
        <v>8.1319283688E10</v>
      </c>
      <c r="J1135" s="18" t="s">
        <v>4461</v>
      </c>
      <c r="K1135" s="18"/>
      <c r="L1135" s="18" t="s">
        <v>2827</v>
      </c>
    </row>
    <row r="1136">
      <c r="A1136" s="18" t="s">
        <v>4462</v>
      </c>
      <c r="B1136" s="18" t="s">
        <v>791</v>
      </c>
      <c r="C1136" s="18" t="s">
        <v>4464</v>
      </c>
      <c r="D1136" s="18"/>
      <c r="E1136" s="24">
        <v>8.5708931793E10</v>
      </c>
      <c r="F1136" s="24">
        <v>1.0</v>
      </c>
      <c r="G1136" s="18" t="s">
        <v>4464</v>
      </c>
      <c r="H1136" s="18"/>
      <c r="I1136" s="24">
        <v>8.5708931793E10</v>
      </c>
      <c r="J1136" s="18" t="s">
        <v>4403</v>
      </c>
      <c r="K1136" s="18"/>
      <c r="L1136" s="18" t="s">
        <v>4465</v>
      </c>
    </row>
    <row r="1137">
      <c r="A1137" s="18" t="s">
        <v>4466</v>
      </c>
      <c r="B1137" s="18" t="s">
        <v>791</v>
      </c>
      <c r="C1137" s="18" t="s">
        <v>4467</v>
      </c>
      <c r="D1137" s="18"/>
      <c r="E1137" s="24">
        <v>8.2331382326E10</v>
      </c>
      <c r="F1137" s="24">
        <v>1.0</v>
      </c>
      <c r="G1137" s="18" t="s">
        <v>4467</v>
      </c>
      <c r="H1137" s="18"/>
      <c r="I1137" s="24">
        <v>8.2331382326E10</v>
      </c>
      <c r="J1137" s="18" t="s">
        <v>4468</v>
      </c>
      <c r="K1137" s="18"/>
      <c r="L1137" s="18" t="s">
        <v>2795</v>
      </c>
    </row>
    <row r="1138">
      <c r="A1138" s="18" t="s">
        <v>4470</v>
      </c>
      <c r="B1138" s="18" t="s">
        <v>791</v>
      </c>
      <c r="C1138" s="18" t="s">
        <v>4471</v>
      </c>
      <c r="D1138" s="18"/>
      <c r="E1138" s="24">
        <v>8.5235040123E10</v>
      </c>
      <c r="F1138" s="24">
        <v>1.0</v>
      </c>
      <c r="G1138" s="18" t="s">
        <v>4471</v>
      </c>
      <c r="H1138" s="18"/>
      <c r="I1138" s="24">
        <v>8.5235040123E10</v>
      </c>
      <c r="J1138" s="18" t="s">
        <v>4326</v>
      </c>
      <c r="K1138" s="18"/>
      <c r="L1138" s="18" t="s">
        <v>4472</v>
      </c>
    </row>
    <row r="1139">
      <c r="A1139" s="18" t="s">
        <v>4473</v>
      </c>
      <c r="B1139" s="18" t="s">
        <v>791</v>
      </c>
      <c r="C1139" s="18" t="s">
        <v>4474</v>
      </c>
      <c r="D1139" s="18"/>
      <c r="E1139" s="24">
        <v>8.1249391445E10</v>
      </c>
      <c r="F1139" s="24">
        <v>1.0</v>
      </c>
      <c r="G1139" s="18" t="s">
        <v>4474</v>
      </c>
      <c r="H1139" s="18"/>
      <c r="I1139" s="24">
        <v>8.1249391445E10</v>
      </c>
      <c r="J1139" s="18" t="s">
        <v>4475</v>
      </c>
      <c r="K1139" s="18"/>
      <c r="L1139" s="18" t="s">
        <v>2423</v>
      </c>
    </row>
    <row r="1140">
      <c r="A1140" s="18" t="s">
        <v>4477</v>
      </c>
      <c r="B1140" s="18" t="s">
        <v>791</v>
      </c>
      <c r="C1140" s="18" t="s">
        <v>4478</v>
      </c>
      <c r="D1140" s="18"/>
      <c r="E1140" s="24">
        <v>8.5259661259E10</v>
      </c>
      <c r="F1140" s="24">
        <v>1.0</v>
      </c>
      <c r="G1140" s="18" t="s">
        <v>4478</v>
      </c>
      <c r="H1140" s="18"/>
      <c r="I1140" s="24">
        <v>8.5259661259E10</v>
      </c>
      <c r="J1140" s="18" t="s">
        <v>4159</v>
      </c>
      <c r="K1140" s="18"/>
      <c r="L1140" s="18" t="s">
        <v>4479</v>
      </c>
    </row>
    <row r="1141">
      <c r="A1141" s="18" t="s">
        <v>4480</v>
      </c>
      <c r="B1141" s="18" t="s">
        <v>791</v>
      </c>
      <c r="C1141" s="18" t="s">
        <v>4481</v>
      </c>
      <c r="D1141" s="18"/>
      <c r="E1141" s="24">
        <v>8.5733881471E10</v>
      </c>
      <c r="F1141" s="24">
        <v>1.0</v>
      </c>
      <c r="G1141" s="18" t="s">
        <v>4481</v>
      </c>
      <c r="H1141" s="18"/>
      <c r="I1141" s="24">
        <v>8.5733881471E10</v>
      </c>
      <c r="J1141" s="18" t="s">
        <v>4483</v>
      </c>
      <c r="K1141" s="18"/>
      <c r="L1141" s="18" t="s">
        <v>4484</v>
      </c>
    </row>
    <row r="1142">
      <c r="A1142" s="18" t="s">
        <v>4485</v>
      </c>
      <c r="B1142" s="18" t="s">
        <v>791</v>
      </c>
      <c r="C1142" s="18" t="s">
        <v>4486</v>
      </c>
      <c r="D1142" s="18"/>
      <c r="E1142" s="24">
        <v>8.817124623E9</v>
      </c>
      <c r="F1142" s="24">
        <v>1.0</v>
      </c>
      <c r="G1142" s="18" t="s">
        <v>4486</v>
      </c>
      <c r="H1142" s="18"/>
      <c r="I1142" s="24">
        <v>8.817124623E9</v>
      </c>
      <c r="J1142" s="18" t="s">
        <v>4487</v>
      </c>
      <c r="K1142" s="18"/>
      <c r="L1142" s="18" t="s">
        <v>4488</v>
      </c>
    </row>
    <row r="1143">
      <c r="A1143" s="18" t="s">
        <v>4489</v>
      </c>
      <c r="B1143" s="18" t="s">
        <v>791</v>
      </c>
      <c r="C1143" s="18" t="s">
        <v>4490</v>
      </c>
      <c r="D1143" s="18"/>
      <c r="E1143" s="24">
        <v>8.5259838445E10</v>
      </c>
      <c r="F1143" s="24">
        <v>1.0</v>
      </c>
      <c r="G1143" s="18" t="s">
        <v>4490</v>
      </c>
      <c r="H1143" s="18"/>
      <c r="I1143" s="24">
        <v>8.5259838445E10</v>
      </c>
      <c r="J1143" s="18" t="s">
        <v>4463</v>
      </c>
      <c r="K1143" s="18"/>
      <c r="L1143" s="18" t="s">
        <v>4491</v>
      </c>
    </row>
    <row r="1144">
      <c r="A1144" s="18" t="s">
        <v>4492</v>
      </c>
      <c r="B1144" s="18" t="s">
        <v>791</v>
      </c>
      <c r="C1144" s="18" t="s">
        <v>4493</v>
      </c>
      <c r="D1144" s="18"/>
      <c r="E1144" s="24">
        <v>8.5806844018E10</v>
      </c>
      <c r="F1144" s="24">
        <v>1.0</v>
      </c>
      <c r="G1144" s="18" t="s">
        <v>4493</v>
      </c>
      <c r="H1144" s="18"/>
      <c r="I1144" s="24">
        <v>8.5806844018E10</v>
      </c>
      <c r="J1144" s="18" t="s">
        <v>4494</v>
      </c>
      <c r="K1144" s="18"/>
      <c r="L1144" s="18" t="s">
        <v>4495</v>
      </c>
    </row>
    <row r="1145">
      <c r="A1145" s="18" t="s">
        <v>4496</v>
      </c>
      <c r="B1145" s="18" t="s">
        <v>791</v>
      </c>
      <c r="C1145" s="18" t="s">
        <v>4497</v>
      </c>
      <c r="D1145" s="18"/>
      <c r="E1145" s="24">
        <v>8.2330220693E10</v>
      </c>
      <c r="F1145" s="24">
        <v>1.0</v>
      </c>
      <c r="G1145" s="18" t="s">
        <v>4497</v>
      </c>
      <c r="H1145" s="18"/>
      <c r="I1145" s="24">
        <v>8.2330220693E10</v>
      </c>
      <c r="J1145" s="18" t="s">
        <v>4498</v>
      </c>
      <c r="K1145" s="18"/>
      <c r="L1145" s="18" t="s">
        <v>4499</v>
      </c>
    </row>
    <row r="1146">
      <c r="A1146" s="18" t="s">
        <v>4501</v>
      </c>
      <c r="B1146" s="18" t="s">
        <v>791</v>
      </c>
      <c r="C1146" s="18" t="s">
        <v>4502</v>
      </c>
      <c r="D1146" s="18"/>
      <c r="E1146" s="24">
        <v>8.5235379687E10</v>
      </c>
      <c r="F1146" s="24">
        <v>1.0</v>
      </c>
      <c r="G1146" s="18" t="s">
        <v>4502</v>
      </c>
      <c r="H1146" s="18"/>
      <c r="I1146" s="24">
        <v>8.5235379687E10</v>
      </c>
      <c r="J1146" s="18" t="s">
        <v>4503</v>
      </c>
      <c r="K1146" s="18"/>
      <c r="L1146" s="18" t="s">
        <v>4504</v>
      </c>
    </row>
    <row r="1147">
      <c r="A1147" s="18" t="s">
        <v>4505</v>
      </c>
      <c r="B1147" s="18" t="s">
        <v>791</v>
      </c>
      <c r="C1147" s="18" t="s">
        <v>4506</v>
      </c>
      <c r="D1147" s="18"/>
      <c r="E1147" s="24">
        <v>8.133598367E10</v>
      </c>
      <c r="F1147" s="24">
        <v>1.0</v>
      </c>
      <c r="G1147" s="18" t="s">
        <v>4506</v>
      </c>
      <c r="H1147" s="18"/>
      <c r="I1147" s="24">
        <v>8.133598367E10</v>
      </c>
      <c r="J1147" s="18" t="s">
        <v>4507</v>
      </c>
      <c r="K1147" s="18"/>
      <c r="L1147" s="18" t="s">
        <v>1623</v>
      </c>
    </row>
    <row r="1148">
      <c r="A1148" s="18" t="s">
        <v>4508</v>
      </c>
      <c r="B1148" s="18" t="s">
        <v>791</v>
      </c>
      <c r="C1148" s="18" t="s">
        <v>4509</v>
      </c>
      <c r="D1148" s="18"/>
      <c r="E1148" s="24">
        <v>8.5235854516E10</v>
      </c>
      <c r="F1148" s="24">
        <v>1.0</v>
      </c>
      <c r="G1148" s="18" t="s">
        <v>4509</v>
      </c>
      <c r="H1148" s="18"/>
      <c r="I1148" s="24">
        <v>8.5235854516E10</v>
      </c>
      <c r="J1148" s="18" t="s">
        <v>4510</v>
      </c>
      <c r="K1148" s="18"/>
      <c r="L1148" s="18" t="s">
        <v>4511</v>
      </c>
    </row>
    <row r="1149">
      <c r="A1149" s="18" t="s">
        <v>4512</v>
      </c>
      <c r="B1149" s="18" t="s">
        <v>791</v>
      </c>
      <c r="C1149" s="18" t="s">
        <v>4513</v>
      </c>
      <c r="D1149" s="18"/>
      <c r="E1149" s="24">
        <v>8.1333906122E10</v>
      </c>
      <c r="F1149" s="24">
        <v>1.0</v>
      </c>
      <c r="G1149" s="18" t="s">
        <v>4513</v>
      </c>
      <c r="H1149" s="18"/>
      <c r="I1149" s="24">
        <v>8.1333906122E10</v>
      </c>
      <c r="J1149" s="18" t="s">
        <v>4514</v>
      </c>
      <c r="K1149" s="18"/>
      <c r="L1149" s="18" t="s">
        <v>1633</v>
      </c>
    </row>
    <row r="1150">
      <c r="A1150" s="18" t="s">
        <v>4515</v>
      </c>
      <c r="B1150" s="18" t="s">
        <v>791</v>
      </c>
      <c r="C1150" s="18" t="s">
        <v>4517</v>
      </c>
      <c r="D1150" s="18"/>
      <c r="E1150" s="24">
        <v>1.0</v>
      </c>
      <c r="F1150" s="24">
        <v>1.0</v>
      </c>
      <c r="G1150" s="18" t="s">
        <v>4517</v>
      </c>
      <c r="H1150" s="18"/>
      <c r="I1150" s="24">
        <v>1.0</v>
      </c>
      <c r="J1150" s="18" t="s">
        <v>4518</v>
      </c>
      <c r="K1150" s="18"/>
      <c r="L1150" s="18" t="s">
        <v>3178</v>
      </c>
    </row>
    <row r="1151">
      <c r="A1151" s="18" t="s">
        <v>4519</v>
      </c>
      <c r="B1151" s="18" t="s">
        <v>791</v>
      </c>
      <c r="C1151" s="18" t="s">
        <v>4517</v>
      </c>
      <c r="D1151" s="18"/>
      <c r="E1151" s="24">
        <v>8.1330720631E10</v>
      </c>
      <c r="F1151" s="24">
        <v>1.0</v>
      </c>
      <c r="G1151" s="18" t="s">
        <v>4517</v>
      </c>
      <c r="H1151" s="18"/>
      <c r="I1151" s="24">
        <v>8.1330720631E10</v>
      </c>
      <c r="J1151" s="18" t="s">
        <v>4520</v>
      </c>
      <c r="K1151" s="18"/>
      <c r="L1151" s="18" t="s">
        <v>1681</v>
      </c>
    </row>
    <row r="1152">
      <c r="A1152" s="18" t="s">
        <v>4521</v>
      </c>
      <c r="B1152" s="18" t="s">
        <v>791</v>
      </c>
      <c r="C1152" s="18" t="s">
        <v>4522</v>
      </c>
      <c r="D1152" s="18"/>
      <c r="E1152" s="24">
        <v>8.1359556087E10</v>
      </c>
      <c r="F1152" s="24">
        <v>1.0</v>
      </c>
      <c r="G1152" s="18" t="s">
        <v>4522</v>
      </c>
      <c r="H1152" s="18"/>
      <c r="I1152" s="24">
        <v>8.1359556087E10</v>
      </c>
      <c r="J1152" s="18" t="s">
        <v>4523</v>
      </c>
      <c r="K1152" s="18"/>
      <c r="L1152" s="18" t="s">
        <v>1549</v>
      </c>
    </row>
    <row r="1153">
      <c r="A1153" s="18" t="s">
        <v>4524</v>
      </c>
      <c r="B1153" s="18" t="s">
        <v>791</v>
      </c>
      <c r="C1153" s="18" t="s">
        <v>4525</v>
      </c>
      <c r="D1153" s="18"/>
      <c r="E1153" s="24">
        <v>8.5334523413E10</v>
      </c>
      <c r="F1153" s="24">
        <v>1.0</v>
      </c>
      <c r="G1153" s="18" t="s">
        <v>4525</v>
      </c>
      <c r="H1153" s="18"/>
      <c r="I1153" s="24">
        <v>8.5334523413E10</v>
      </c>
      <c r="J1153" s="18" t="s">
        <v>4526</v>
      </c>
      <c r="K1153" s="18"/>
      <c r="L1153" s="18" t="s">
        <v>197</v>
      </c>
    </row>
    <row r="1154">
      <c r="A1154" s="18" t="s">
        <v>4527</v>
      </c>
      <c r="B1154" s="18" t="s">
        <v>791</v>
      </c>
      <c r="C1154" s="18" t="s">
        <v>4528</v>
      </c>
      <c r="D1154" s="18"/>
      <c r="E1154" s="24">
        <v>8.5649315581E10</v>
      </c>
      <c r="F1154" s="24">
        <v>1.0</v>
      </c>
      <c r="G1154" s="18" t="s">
        <v>4528</v>
      </c>
      <c r="H1154" s="18"/>
      <c r="I1154" s="24">
        <v>8.5649315581E10</v>
      </c>
      <c r="J1154" s="24">
        <v>3.52116300658003E15</v>
      </c>
      <c r="K1154" s="18"/>
      <c r="L1154" s="18" t="s">
        <v>3863</v>
      </c>
    </row>
    <row r="1155">
      <c r="A1155" s="18" t="s">
        <v>4530</v>
      </c>
      <c r="B1155" s="18" t="s">
        <v>791</v>
      </c>
      <c r="C1155" s="18" t="s">
        <v>4531</v>
      </c>
      <c r="D1155" s="18"/>
      <c r="E1155" s="24">
        <v>8.5336760229E10</v>
      </c>
      <c r="F1155" s="24">
        <v>1.0</v>
      </c>
      <c r="G1155" s="18" t="s">
        <v>4531</v>
      </c>
      <c r="H1155" s="18"/>
      <c r="I1155" s="24">
        <v>8.5336760229E10</v>
      </c>
      <c r="J1155" s="18" t="s">
        <v>4532</v>
      </c>
      <c r="K1155" s="18"/>
      <c r="L1155" s="18" t="s">
        <v>1722</v>
      </c>
    </row>
    <row r="1156">
      <c r="A1156" s="18" t="s">
        <v>4533</v>
      </c>
      <c r="B1156" s="18" t="s">
        <v>791</v>
      </c>
      <c r="C1156" s="18" t="s">
        <v>4534</v>
      </c>
      <c r="D1156" s="18"/>
      <c r="E1156" s="24">
        <v>8.1946181206E10</v>
      </c>
      <c r="F1156" s="24">
        <v>1.0</v>
      </c>
      <c r="G1156" s="18" t="s">
        <v>4534</v>
      </c>
      <c r="H1156" s="18"/>
      <c r="I1156" s="24">
        <v>8.1946181206E10</v>
      </c>
      <c r="J1156" s="18" t="s">
        <v>4535</v>
      </c>
      <c r="K1156" s="18"/>
      <c r="L1156" s="18" t="s">
        <v>1503</v>
      </c>
    </row>
    <row r="1157">
      <c r="A1157" s="18" t="s">
        <v>4536</v>
      </c>
      <c r="B1157" s="18" t="s">
        <v>791</v>
      </c>
      <c r="C1157" s="18" t="s">
        <v>4528</v>
      </c>
      <c r="D1157" s="18"/>
      <c r="E1157" s="24">
        <v>8.1359240487E10</v>
      </c>
      <c r="F1157" s="24">
        <v>1.0</v>
      </c>
      <c r="G1157" s="18" t="s">
        <v>4528</v>
      </c>
      <c r="H1157" s="18"/>
      <c r="I1157" s="24">
        <v>8.1359240487E10</v>
      </c>
      <c r="J1157" s="18" t="s">
        <v>4537</v>
      </c>
      <c r="K1157" s="18"/>
      <c r="L1157" s="18" t="s">
        <v>3060</v>
      </c>
    </row>
    <row r="1158">
      <c r="A1158" s="18" t="s">
        <v>4538</v>
      </c>
      <c r="B1158" s="18" t="s">
        <v>791</v>
      </c>
      <c r="C1158" s="18" t="s">
        <v>4534</v>
      </c>
      <c r="D1158" s="18"/>
      <c r="E1158" s="24">
        <v>8.5736858598E10</v>
      </c>
      <c r="F1158" s="24">
        <v>1.0</v>
      </c>
      <c r="G1158" s="18" t="s">
        <v>4534</v>
      </c>
      <c r="H1158" s="18"/>
      <c r="I1158" s="24">
        <v>8.5736858598E10</v>
      </c>
      <c r="J1158" s="18" t="s">
        <v>4539</v>
      </c>
      <c r="K1158" s="18"/>
      <c r="L1158" s="18" t="s">
        <v>4540</v>
      </c>
    </row>
    <row r="1159">
      <c r="A1159" s="18" t="s">
        <v>4541</v>
      </c>
      <c r="B1159" s="18" t="s">
        <v>791</v>
      </c>
      <c r="C1159" s="18" t="s">
        <v>4534</v>
      </c>
      <c r="D1159" s="18"/>
      <c r="E1159" s="24">
        <v>8.5330279021E10</v>
      </c>
      <c r="F1159" s="24">
        <v>1.0</v>
      </c>
      <c r="G1159" s="18" t="s">
        <v>4534</v>
      </c>
      <c r="H1159" s="18"/>
      <c r="I1159" s="24">
        <v>8.5330279021E10</v>
      </c>
      <c r="J1159" s="18" t="s">
        <v>4542</v>
      </c>
      <c r="K1159" s="18"/>
      <c r="L1159" s="18" t="s">
        <v>1470</v>
      </c>
    </row>
    <row r="1160">
      <c r="A1160" s="18" t="s">
        <v>4543</v>
      </c>
      <c r="B1160" s="18" t="s">
        <v>791</v>
      </c>
      <c r="C1160" s="18" t="s">
        <v>4528</v>
      </c>
      <c r="D1160" s="18"/>
      <c r="E1160" s="24">
        <v>8.5749394927E10</v>
      </c>
      <c r="F1160" s="24">
        <v>1.0</v>
      </c>
      <c r="G1160" s="18" t="s">
        <v>4528</v>
      </c>
      <c r="H1160" s="18"/>
      <c r="I1160" s="24">
        <v>8.5749394927E10</v>
      </c>
      <c r="J1160" s="18" t="s">
        <v>4544</v>
      </c>
      <c r="K1160" s="18"/>
      <c r="L1160" s="18" t="s">
        <v>2003</v>
      </c>
    </row>
    <row r="1161">
      <c r="A1161" s="18" t="s">
        <v>4545</v>
      </c>
      <c r="B1161" s="18" t="s">
        <v>791</v>
      </c>
      <c r="C1161" s="18" t="s">
        <v>4528</v>
      </c>
      <c r="D1161" s="18"/>
      <c r="E1161" s="24">
        <v>8.1229666655E10</v>
      </c>
      <c r="F1161" s="24">
        <v>1.0</v>
      </c>
      <c r="G1161" s="18" t="s">
        <v>4528</v>
      </c>
      <c r="H1161" s="18"/>
      <c r="I1161" s="24">
        <v>8.1229666655E10</v>
      </c>
      <c r="J1161" s="18" t="s">
        <v>4547</v>
      </c>
      <c r="K1161" s="18"/>
      <c r="L1161" s="18" t="s">
        <v>4548</v>
      </c>
    </row>
    <row r="1162">
      <c r="A1162" s="18" t="s">
        <v>4549</v>
      </c>
      <c r="B1162" s="18" t="s">
        <v>791</v>
      </c>
      <c r="C1162" s="18" t="s">
        <v>4528</v>
      </c>
      <c r="D1162" s="18"/>
      <c r="E1162" s="24">
        <v>8.3845898317E10</v>
      </c>
      <c r="F1162" s="24">
        <v>1.0</v>
      </c>
      <c r="G1162" s="18" t="s">
        <v>4528</v>
      </c>
      <c r="H1162" s="18"/>
      <c r="I1162" s="24">
        <v>8.3845898317E10</v>
      </c>
      <c r="J1162" s="18" t="s">
        <v>4550</v>
      </c>
      <c r="K1162" s="18"/>
      <c r="L1162" s="18" t="s">
        <v>949</v>
      </c>
    </row>
    <row r="1163">
      <c r="A1163" s="18" t="s">
        <v>4551</v>
      </c>
      <c r="B1163" s="18" t="s">
        <v>791</v>
      </c>
      <c r="C1163" s="18" t="s">
        <v>4534</v>
      </c>
      <c r="D1163" s="18"/>
      <c r="E1163" s="24">
        <v>8.5748519088E10</v>
      </c>
      <c r="F1163" s="24">
        <v>1.0</v>
      </c>
      <c r="G1163" s="18" t="s">
        <v>4534</v>
      </c>
      <c r="H1163" s="18"/>
      <c r="I1163" s="24">
        <v>8.5748519088E10</v>
      </c>
      <c r="J1163" s="18" t="s">
        <v>4552</v>
      </c>
      <c r="K1163" s="18"/>
      <c r="L1163" s="18" t="s">
        <v>1881</v>
      </c>
    </row>
    <row r="1164">
      <c r="A1164" s="18" t="s">
        <v>4553</v>
      </c>
      <c r="B1164" s="18" t="s">
        <v>791</v>
      </c>
      <c r="C1164" s="18" t="s">
        <v>4528</v>
      </c>
      <c r="D1164" s="18"/>
      <c r="E1164" s="24">
        <v>8.5230300182E10</v>
      </c>
      <c r="F1164" s="24">
        <v>1.0</v>
      </c>
      <c r="G1164" s="18" t="s">
        <v>4528</v>
      </c>
      <c r="H1164" s="18"/>
      <c r="I1164" s="24">
        <v>8.5230300182E10</v>
      </c>
      <c r="J1164" s="18" t="s">
        <v>4554</v>
      </c>
      <c r="K1164" s="18"/>
      <c r="L1164" s="18" t="s">
        <v>4555</v>
      </c>
    </row>
    <row r="1165">
      <c r="A1165" s="18" t="s">
        <v>4556</v>
      </c>
      <c r="B1165" s="18" t="s">
        <v>791</v>
      </c>
      <c r="C1165" s="18" t="s">
        <v>4557</v>
      </c>
      <c r="D1165" s="18"/>
      <c r="E1165" s="24">
        <v>8.5852865309E10</v>
      </c>
      <c r="F1165" s="24">
        <v>1.0</v>
      </c>
      <c r="G1165" s="18" t="s">
        <v>4557</v>
      </c>
      <c r="H1165" s="18"/>
      <c r="I1165" s="24">
        <v>8.5852865309E10</v>
      </c>
      <c r="J1165" s="18" t="s">
        <v>4558</v>
      </c>
      <c r="K1165" s="18"/>
      <c r="L1165" s="18" t="s">
        <v>4559</v>
      </c>
    </row>
    <row r="1166">
      <c r="A1166" s="18" t="s">
        <v>4560</v>
      </c>
      <c r="B1166" s="18" t="s">
        <v>791</v>
      </c>
      <c r="C1166" s="18" t="s">
        <v>4561</v>
      </c>
      <c r="D1166" s="18"/>
      <c r="E1166" s="24">
        <v>8.2337029948E10</v>
      </c>
      <c r="F1166" s="24">
        <v>1.0</v>
      </c>
      <c r="G1166" s="18" t="s">
        <v>4561</v>
      </c>
      <c r="H1166" s="18"/>
      <c r="I1166" s="24">
        <v>8.2337029948E10</v>
      </c>
      <c r="J1166" s="18" t="s">
        <v>4562</v>
      </c>
      <c r="K1166" s="18"/>
      <c r="L1166" s="18" t="s">
        <v>3202</v>
      </c>
    </row>
    <row r="1167">
      <c r="A1167" s="18" t="s">
        <v>4563</v>
      </c>
      <c r="B1167" s="18" t="s">
        <v>791</v>
      </c>
      <c r="C1167" s="18" t="s">
        <v>4564</v>
      </c>
      <c r="D1167" s="18"/>
      <c r="E1167" s="24">
        <v>8.2213806392E10</v>
      </c>
      <c r="F1167" s="24">
        <v>1.0</v>
      </c>
      <c r="G1167" s="18" t="s">
        <v>4564</v>
      </c>
      <c r="H1167" s="18"/>
      <c r="I1167" s="24">
        <v>8.2213806392E10</v>
      </c>
      <c r="J1167" s="18" t="s">
        <v>4565</v>
      </c>
      <c r="K1167" s="18"/>
      <c r="L1167" s="18" t="s">
        <v>3375</v>
      </c>
    </row>
    <row r="1168">
      <c r="A1168" s="18" t="s">
        <v>4566</v>
      </c>
      <c r="B1168" s="18" t="s">
        <v>791</v>
      </c>
      <c r="C1168" s="18" t="s">
        <v>4567</v>
      </c>
      <c r="D1168" s="18"/>
      <c r="E1168" s="24">
        <v>8.5330338332E10</v>
      </c>
      <c r="F1168" s="24">
        <v>1.0</v>
      </c>
      <c r="G1168" s="18" t="s">
        <v>4567</v>
      </c>
      <c r="H1168" s="18"/>
      <c r="I1168" s="24">
        <v>8.5330338332E10</v>
      </c>
      <c r="J1168" s="18" t="s">
        <v>4568</v>
      </c>
      <c r="K1168" s="18"/>
      <c r="L1168" s="18" t="s">
        <v>2843</v>
      </c>
    </row>
    <row r="1169">
      <c r="A1169" s="18" t="s">
        <v>4569</v>
      </c>
      <c r="B1169" s="18" t="s">
        <v>791</v>
      </c>
      <c r="C1169" s="18" t="s">
        <v>4567</v>
      </c>
      <c r="D1169" s="18"/>
      <c r="E1169" s="24">
        <v>8.585245612E10</v>
      </c>
      <c r="F1169" s="24">
        <v>1.0</v>
      </c>
      <c r="G1169" s="18" t="s">
        <v>4567</v>
      </c>
      <c r="H1169" s="18"/>
      <c r="I1169" s="24">
        <v>8.585245612E10</v>
      </c>
      <c r="J1169" s="18" t="s">
        <v>4570</v>
      </c>
      <c r="K1169" s="18"/>
      <c r="L1169" s="18" t="s">
        <v>2256</v>
      </c>
    </row>
    <row r="1170">
      <c r="A1170" s="18" t="s">
        <v>4571</v>
      </c>
      <c r="B1170" s="18" t="s">
        <v>791</v>
      </c>
      <c r="C1170" s="18" t="s">
        <v>4572</v>
      </c>
      <c r="D1170" s="18"/>
      <c r="E1170" s="24">
        <v>8.1335441183E10</v>
      </c>
      <c r="F1170" s="24">
        <v>1.0</v>
      </c>
      <c r="G1170" s="18" t="s">
        <v>4572</v>
      </c>
      <c r="H1170" s="18"/>
      <c r="I1170" s="24">
        <v>8.1335441183E10</v>
      </c>
      <c r="J1170" s="18" t="s">
        <v>4573</v>
      </c>
      <c r="K1170" s="18"/>
      <c r="L1170" s="18" t="s">
        <v>2146</v>
      </c>
    </row>
    <row r="1171">
      <c r="A1171" s="18" t="s">
        <v>4574</v>
      </c>
      <c r="B1171" s="18" t="s">
        <v>791</v>
      </c>
      <c r="C1171" s="18" t="s">
        <v>4575</v>
      </c>
      <c r="D1171" s="18"/>
      <c r="E1171" s="24">
        <v>8.5790607669E10</v>
      </c>
      <c r="F1171" s="24">
        <v>1.0</v>
      </c>
      <c r="G1171" s="18" t="s">
        <v>4575</v>
      </c>
      <c r="H1171" s="18"/>
      <c r="I1171" s="24">
        <v>8.5790607669E10</v>
      </c>
      <c r="J1171" s="18" t="s">
        <v>4576</v>
      </c>
      <c r="K1171" s="18"/>
      <c r="L1171" s="18" t="s">
        <v>2625</v>
      </c>
    </row>
    <row r="1172">
      <c r="A1172" s="18" t="s">
        <v>4578</v>
      </c>
      <c r="B1172" s="18" t="s">
        <v>791</v>
      </c>
      <c r="C1172" s="18" t="s">
        <v>4579</v>
      </c>
      <c r="D1172" s="18"/>
      <c r="E1172" s="24">
        <v>8.5335280985E10</v>
      </c>
      <c r="F1172" s="24">
        <v>1.0</v>
      </c>
      <c r="G1172" s="18" t="s">
        <v>4579</v>
      </c>
      <c r="H1172" s="18"/>
      <c r="I1172" s="24">
        <v>8.5335280985E10</v>
      </c>
      <c r="J1172" s="18" t="s">
        <v>4580</v>
      </c>
      <c r="K1172" s="18"/>
      <c r="L1172" s="18" t="s">
        <v>1914</v>
      </c>
    </row>
    <row r="1173">
      <c r="A1173" s="18" t="s">
        <v>4581</v>
      </c>
      <c r="B1173" s="18" t="s">
        <v>791</v>
      </c>
      <c r="C1173" s="18" t="s">
        <v>4582</v>
      </c>
      <c r="D1173" s="18"/>
      <c r="E1173" s="24">
        <v>8.1249465799E10</v>
      </c>
      <c r="F1173" s="24">
        <v>1.0</v>
      </c>
      <c r="G1173" s="18" t="s">
        <v>4582</v>
      </c>
      <c r="H1173" s="18"/>
      <c r="I1173" s="24">
        <v>8.1249465799E10</v>
      </c>
      <c r="J1173" s="18" t="s">
        <v>4583</v>
      </c>
      <c r="K1173" s="18"/>
      <c r="L1173" s="18" t="s">
        <v>3889</v>
      </c>
    </row>
    <row r="1174">
      <c r="A1174" s="18" t="s">
        <v>4584</v>
      </c>
      <c r="B1174" s="18" t="s">
        <v>791</v>
      </c>
      <c r="C1174" s="18" t="s">
        <v>4585</v>
      </c>
      <c r="D1174" s="18"/>
      <c r="E1174" s="24">
        <v>8.5748519088E10</v>
      </c>
      <c r="F1174" s="24">
        <v>1.0</v>
      </c>
      <c r="G1174" s="18" t="s">
        <v>4585</v>
      </c>
      <c r="H1174" s="18"/>
      <c r="I1174" s="24">
        <v>8.5748519088E10</v>
      </c>
      <c r="J1174" s="18" t="s">
        <v>4586</v>
      </c>
      <c r="K1174" s="18"/>
      <c r="L1174" s="18" t="s">
        <v>1881</v>
      </c>
    </row>
    <row r="1175">
      <c r="A1175" s="18" t="s">
        <v>4587</v>
      </c>
      <c r="B1175" s="18" t="s">
        <v>791</v>
      </c>
      <c r="C1175" s="18" t="s">
        <v>4588</v>
      </c>
      <c r="D1175" s="18"/>
      <c r="E1175" s="24">
        <v>8.1335441183E10</v>
      </c>
      <c r="F1175" s="24">
        <v>1.0</v>
      </c>
      <c r="G1175" s="18" t="s">
        <v>4588</v>
      </c>
      <c r="H1175" s="18"/>
      <c r="I1175" s="24">
        <v>8.1335441183E10</v>
      </c>
      <c r="J1175" s="18" t="s">
        <v>4589</v>
      </c>
      <c r="K1175" s="18"/>
      <c r="L1175" s="18" t="s">
        <v>2146</v>
      </c>
    </row>
    <row r="1176">
      <c r="A1176" s="18" t="s">
        <v>4590</v>
      </c>
      <c r="B1176" s="18" t="s">
        <v>791</v>
      </c>
      <c r="C1176" s="18" t="s">
        <v>4591</v>
      </c>
      <c r="D1176" s="18"/>
      <c r="E1176" s="24">
        <v>8.1335033177E10</v>
      </c>
      <c r="F1176" s="24">
        <v>1.0</v>
      </c>
      <c r="G1176" s="18" t="s">
        <v>4591</v>
      </c>
      <c r="H1176" s="18"/>
      <c r="I1176" s="24">
        <v>8.1335033177E10</v>
      </c>
      <c r="J1176" s="24">
        <v>3.52112301277001E15</v>
      </c>
      <c r="K1176" s="18"/>
      <c r="L1176" s="18" t="s">
        <v>4592</v>
      </c>
    </row>
    <row r="1177">
      <c r="A1177" s="18" t="s">
        <v>4593</v>
      </c>
      <c r="B1177" s="18" t="s">
        <v>791</v>
      </c>
      <c r="C1177" s="18" t="s">
        <v>4588</v>
      </c>
      <c r="D1177" s="18"/>
      <c r="E1177" s="24">
        <v>8.5770427416E10</v>
      </c>
      <c r="F1177" s="24">
        <v>1.0</v>
      </c>
      <c r="G1177" s="18" t="s">
        <v>4588</v>
      </c>
      <c r="H1177" s="18"/>
      <c r="I1177" s="24">
        <v>8.5770427416E10</v>
      </c>
      <c r="J1177" s="18" t="s">
        <v>4594</v>
      </c>
      <c r="K1177" s="18"/>
      <c r="L1177" s="18" t="s">
        <v>4595</v>
      </c>
    </row>
    <row r="1178">
      <c r="A1178" s="18" t="s">
        <v>1229</v>
      </c>
      <c r="B1178" s="18" t="s">
        <v>791</v>
      </c>
      <c r="C1178" s="18" t="s">
        <v>1231</v>
      </c>
      <c r="D1178" s="18"/>
      <c r="E1178" s="24">
        <v>8.5233915366E10</v>
      </c>
      <c r="F1178" s="24">
        <v>1.0</v>
      </c>
      <c r="G1178" s="18" t="s">
        <v>1231</v>
      </c>
      <c r="H1178" s="18"/>
      <c r="I1178" s="24">
        <v>8.5233915366E10</v>
      </c>
      <c r="J1178" s="18" t="s">
        <v>1230</v>
      </c>
      <c r="K1178" s="18"/>
      <c r="L1178" s="18" t="s">
        <v>1233</v>
      </c>
    </row>
    <row r="1179">
      <c r="A1179" s="18" t="s">
        <v>4596</v>
      </c>
      <c r="B1179" s="18" t="s">
        <v>791</v>
      </c>
      <c r="C1179" s="18" t="s">
        <v>4597</v>
      </c>
      <c r="D1179" s="18"/>
      <c r="E1179" s="24">
        <v>8.5735602442E10</v>
      </c>
      <c r="F1179" s="24">
        <v>1.0</v>
      </c>
      <c r="G1179" s="18" t="s">
        <v>4597</v>
      </c>
      <c r="H1179" s="18"/>
      <c r="I1179" s="24">
        <v>8.5735602442E10</v>
      </c>
      <c r="J1179" s="18" t="s">
        <v>4598</v>
      </c>
      <c r="K1179" s="18"/>
      <c r="L1179" s="18" t="s">
        <v>1531</v>
      </c>
    </row>
    <row r="1180">
      <c r="A1180" s="18" t="s">
        <v>4599</v>
      </c>
      <c r="B1180" s="18" t="s">
        <v>791</v>
      </c>
      <c r="C1180" s="18" t="s">
        <v>4597</v>
      </c>
      <c r="D1180" s="18"/>
      <c r="E1180" s="24">
        <v>8.2142967226E10</v>
      </c>
      <c r="F1180" s="24">
        <v>1.0</v>
      </c>
      <c r="G1180" s="18" t="s">
        <v>4597</v>
      </c>
      <c r="H1180" s="18"/>
      <c r="I1180" s="24">
        <v>8.2142967226E10</v>
      </c>
      <c r="J1180" s="18" t="s">
        <v>4600</v>
      </c>
      <c r="K1180" s="18"/>
      <c r="L1180" s="18" t="s">
        <v>1971</v>
      </c>
    </row>
    <row r="1181">
      <c r="A1181" s="18" t="s">
        <v>4601</v>
      </c>
      <c r="B1181" s="18" t="s">
        <v>791</v>
      </c>
      <c r="C1181" s="18" t="s">
        <v>4602</v>
      </c>
      <c r="D1181" s="18"/>
      <c r="E1181" s="24">
        <v>8.533547433E10</v>
      </c>
      <c r="F1181" s="24">
        <v>1.0</v>
      </c>
      <c r="G1181" s="18" t="s">
        <v>4602</v>
      </c>
      <c r="H1181" s="18"/>
      <c r="I1181" s="24">
        <v>8.533547433E10</v>
      </c>
      <c r="J1181" s="18" t="s">
        <v>4603</v>
      </c>
      <c r="K1181" s="18"/>
      <c r="L1181" s="18" t="s">
        <v>2269</v>
      </c>
    </row>
    <row r="1182">
      <c r="A1182" s="18" t="s">
        <v>4604</v>
      </c>
      <c r="B1182" s="18" t="s">
        <v>791</v>
      </c>
      <c r="C1182" s="18" t="s">
        <v>4605</v>
      </c>
      <c r="D1182" s="18"/>
      <c r="E1182" s="24">
        <v>8.2312388907E10</v>
      </c>
      <c r="F1182" s="24">
        <v>1.0</v>
      </c>
      <c r="G1182" s="18" t="s">
        <v>4605</v>
      </c>
      <c r="H1182" s="18"/>
      <c r="I1182" s="24">
        <v>8.2312388907E10</v>
      </c>
      <c r="J1182" s="18" t="s">
        <v>4606</v>
      </c>
      <c r="K1182" s="18"/>
      <c r="L1182" s="18" t="s">
        <v>1914</v>
      </c>
    </row>
    <row r="1183">
      <c r="A1183" s="18" t="s">
        <v>4607</v>
      </c>
      <c r="B1183" s="18" t="s">
        <v>791</v>
      </c>
      <c r="C1183" s="18" t="s">
        <v>4608</v>
      </c>
      <c r="D1183" s="18"/>
      <c r="E1183" s="24">
        <v>8.223018766E10</v>
      </c>
      <c r="F1183" s="24">
        <v>1.0</v>
      </c>
      <c r="G1183" s="18" t="s">
        <v>4608</v>
      </c>
      <c r="H1183" s="18"/>
      <c r="I1183" s="24">
        <v>8.223018766E10</v>
      </c>
      <c r="J1183" s="18" t="s">
        <v>4609</v>
      </c>
      <c r="K1183" s="18"/>
      <c r="L1183" s="18" t="s">
        <v>1689</v>
      </c>
    </row>
    <row r="1184">
      <c r="A1184" s="18" t="s">
        <v>4610</v>
      </c>
      <c r="B1184" s="18" t="s">
        <v>791</v>
      </c>
      <c r="C1184" s="18" t="s">
        <v>4611</v>
      </c>
      <c r="D1184" s="18"/>
      <c r="E1184" s="24">
        <v>8.5335703268E10</v>
      </c>
      <c r="F1184" s="24">
        <v>1.0</v>
      </c>
      <c r="G1184" s="18" t="s">
        <v>4611</v>
      </c>
      <c r="H1184" s="18"/>
      <c r="I1184" s="24">
        <v>8.5335703268E10</v>
      </c>
      <c r="J1184" s="18" t="s">
        <v>4612</v>
      </c>
      <c r="K1184" s="18"/>
      <c r="L1184" s="18" t="s">
        <v>4614</v>
      </c>
    </row>
    <row r="1185">
      <c r="A1185" s="18" t="s">
        <v>4615</v>
      </c>
      <c r="B1185" s="18" t="s">
        <v>791</v>
      </c>
      <c r="C1185" s="18" t="s">
        <v>4616</v>
      </c>
      <c r="D1185" s="18"/>
      <c r="E1185" s="24">
        <v>8.223018766E10</v>
      </c>
      <c r="F1185" s="24">
        <v>1.0</v>
      </c>
      <c r="G1185" s="18" t="s">
        <v>4616</v>
      </c>
      <c r="H1185" s="18"/>
      <c r="I1185" s="24">
        <v>8.223018766E10</v>
      </c>
      <c r="J1185" s="18" t="s">
        <v>4617</v>
      </c>
      <c r="K1185" s="18"/>
      <c r="L1185" s="18" t="s">
        <v>1689</v>
      </c>
    </row>
    <row r="1186">
      <c r="A1186" s="18" t="s">
        <v>4618</v>
      </c>
      <c r="B1186" s="18" t="s">
        <v>791</v>
      </c>
      <c r="C1186" s="18" t="s">
        <v>4619</v>
      </c>
      <c r="D1186" s="18"/>
      <c r="E1186" s="24">
        <v>8.1259807738E10</v>
      </c>
      <c r="F1186" s="24">
        <v>1.0</v>
      </c>
      <c r="G1186" s="18" t="s">
        <v>4619</v>
      </c>
      <c r="H1186" s="18"/>
      <c r="I1186" s="24">
        <v>8.1259807738E10</v>
      </c>
      <c r="J1186" s="18" t="s">
        <v>4620</v>
      </c>
      <c r="K1186" s="18"/>
      <c r="L1186" s="18" t="s">
        <v>1515</v>
      </c>
    </row>
    <row r="1187">
      <c r="A1187" s="18" t="s">
        <v>4621</v>
      </c>
      <c r="B1187" s="18" t="s">
        <v>791</v>
      </c>
      <c r="C1187" s="18" t="s">
        <v>4623</v>
      </c>
      <c r="D1187" s="18"/>
      <c r="E1187" s="24">
        <v>8.5604388255E10</v>
      </c>
      <c r="F1187" s="24">
        <v>1.0</v>
      </c>
      <c r="G1187" s="18" t="s">
        <v>4623</v>
      </c>
      <c r="H1187" s="18"/>
      <c r="I1187" s="24">
        <v>8.5604388255E10</v>
      </c>
      <c r="J1187" s="18" t="s">
        <v>4454</v>
      </c>
      <c r="K1187" s="18"/>
      <c r="L1187" s="18" t="s">
        <v>4624</v>
      </c>
    </row>
    <row r="1188">
      <c r="A1188" s="18" t="s">
        <v>4625</v>
      </c>
      <c r="B1188" s="18" t="s">
        <v>791</v>
      </c>
      <c r="C1188" s="18" t="s">
        <v>4626</v>
      </c>
      <c r="D1188" s="18"/>
      <c r="E1188" s="24">
        <v>8.2312388907E10</v>
      </c>
      <c r="F1188" s="24">
        <v>1.0</v>
      </c>
      <c r="G1188" s="18" t="s">
        <v>4626</v>
      </c>
      <c r="H1188" s="18"/>
      <c r="I1188" s="24">
        <v>8.2312388907E10</v>
      </c>
      <c r="J1188" s="18" t="s">
        <v>4627</v>
      </c>
      <c r="K1188" s="18"/>
      <c r="L1188" s="18" t="s">
        <v>1914</v>
      </c>
    </row>
    <row r="1189">
      <c r="A1189" s="18" t="s">
        <v>4628</v>
      </c>
      <c r="B1189" s="18" t="s">
        <v>791</v>
      </c>
      <c r="C1189" s="18" t="s">
        <v>4629</v>
      </c>
      <c r="D1189" s="18"/>
      <c r="E1189" s="24">
        <v>8.134690852E9</v>
      </c>
      <c r="F1189" s="24">
        <v>1.0</v>
      </c>
      <c r="G1189" s="18" t="s">
        <v>4629</v>
      </c>
      <c r="H1189" s="18"/>
      <c r="I1189" s="24">
        <v>8.134690852E9</v>
      </c>
      <c r="J1189" s="18" t="s">
        <v>4630</v>
      </c>
      <c r="K1189" s="18"/>
      <c r="L1189" s="18" t="s">
        <v>4631</v>
      </c>
    </row>
    <row r="1190">
      <c r="A1190" s="18" t="s">
        <v>4632</v>
      </c>
      <c r="B1190" s="18" t="s">
        <v>791</v>
      </c>
      <c r="C1190" s="18" t="s">
        <v>4633</v>
      </c>
      <c r="D1190" s="18"/>
      <c r="E1190" s="24">
        <v>8.1218804597E10</v>
      </c>
      <c r="F1190" s="24">
        <v>1.0</v>
      </c>
      <c r="G1190" s="18" t="s">
        <v>4633</v>
      </c>
      <c r="H1190" s="18"/>
      <c r="I1190" s="24">
        <v>8.1218804597E10</v>
      </c>
      <c r="J1190" s="18" t="s">
        <v>4634</v>
      </c>
      <c r="K1190" s="18"/>
      <c r="L1190" s="18" t="s">
        <v>949</v>
      </c>
    </row>
    <row r="1191">
      <c r="A1191" s="18" t="s">
        <v>4635</v>
      </c>
      <c r="B1191" s="18" t="s">
        <v>791</v>
      </c>
      <c r="C1191" s="18" t="s">
        <v>4636</v>
      </c>
      <c r="D1191" s="18"/>
      <c r="E1191" s="24">
        <v>8.1330720631E10</v>
      </c>
      <c r="F1191" s="24">
        <v>1.0</v>
      </c>
      <c r="G1191" s="18" t="s">
        <v>4636</v>
      </c>
      <c r="H1191" s="18"/>
      <c r="I1191" s="24">
        <v>8.1330720631E10</v>
      </c>
      <c r="J1191" s="18" t="s">
        <v>4637</v>
      </c>
      <c r="K1191" s="18"/>
      <c r="L1191" s="18" t="s">
        <v>1681</v>
      </c>
    </row>
    <row r="1192">
      <c r="A1192" s="18" t="s">
        <v>4638</v>
      </c>
      <c r="B1192" s="18" t="s">
        <v>791</v>
      </c>
      <c r="C1192" s="18" t="s">
        <v>4639</v>
      </c>
      <c r="D1192" s="18"/>
      <c r="E1192" s="24">
        <v>8.2311546765E10</v>
      </c>
      <c r="F1192" s="24">
        <v>1.0</v>
      </c>
      <c r="G1192" s="18" t="s">
        <v>4639</v>
      </c>
      <c r="H1192" s="18"/>
      <c r="I1192" s="24">
        <v>8.2311546765E10</v>
      </c>
      <c r="J1192" s="18" t="s">
        <v>4640</v>
      </c>
      <c r="K1192" s="18"/>
      <c r="L1192" s="18" t="s">
        <v>4641</v>
      </c>
    </row>
    <row r="1193">
      <c r="A1193" s="18" t="s">
        <v>4642</v>
      </c>
      <c r="B1193" s="18" t="s">
        <v>791</v>
      </c>
      <c r="C1193" s="18" t="s">
        <v>4643</v>
      </c>
      <c r="D1193" s="18"/>
      <c r="E1193" s="24">
        <v>8.5235630303E10</v>
      </c>
      <c r="F1193" s="24">
        <v>1.0</v>
      </c>
      <c r="G1193" s="18" t="s">
        <v>4643</v>
      </c>
      <c r="H1193" s="18"/>
      <c r="I1193" s="24">
        <v>8.5235630303E10</v>
      </c>
      <c r="J1193" s="18" t="s">
        <v>4644</v>
      </c>
      <c r="K1193" s="18"/>
      <c r="L1193" s="18" t="s">
        <v>1511</v>
      </c>
    </row>
    <row r="1194">
      <c r="A1194" s="18" t="s">
        <v>4645</v>
      </c>
      <c r="B1194" s="18" t="s">
        <v>791</v>
      </c>
      <c r="C1194" s="18" t="s">
        <v>4646</v>
      </c>
      <c r="D1194" s="18"/>
      <c r="E1194" s="24">
        <v>8.1359515561E10</v>
      </c>
      <c r="F1194" s="24">
        <v>1.0</v>
      </c>
      <c r="G1194" s="18" t="s">
        <v>4646</v>
      </c>
      <c r="H1194" s="18"/>
      <c r="I1194" s="24">
        <v>8.1359515561E10</v>
      </c>
      <c r="J1194" s="18" t="s">
        <v>4647</v>
      </c>
      <c r="K1194" s="18"/>
      <c r="L1194" s="18" t="s">
        <v>1466</v>
      </c>
    </row>
    <row r="1195">
      <c r="A1195" s="18" t="s">
        <v>4648</v>
      </c>
      <c r="B1195" s="18" t="s">
        <v>791</v>
      </c>
      <c r="C1195" s="18" t="s">
        <v>4649</v>
      </c>
      <c r="D1195" s="18"/>
      <c r="E1195" s="24">
        <v>8.5258857732E10</v>
      </c>
      <c r="F1195" s="24">
        <v>1.0</v>
      </c>
      <c r="G1195" s="18" t="s">
        <v>4649</v>
      </c>
      <c r="H1195" s="18"/>
      <c r="I1195" s="24">
        <v>8.5258857732E10</v>
      </c>
      <c r="J1195" s="18" t="s">
        <v>4650</v>
      </c>
      <c r="K1195" s="18"/>
      <c r="L1195" s="18" t="s">
        <v>1242</v>
      </c>
    </row>
    <row r="1196">
      <c r="A1196" s="18" t="s">
        <v>4651</v>
      </c>
      <c r="B1196" s="18" t="s">
        <v>791</v>
      </c>
      <c r="C1196" s="18" t="s">
        <v>4652</v>
      </c>
      <c r="D1196" s="18"/>
      <c r="E1196" s="24">
        <v>8.5330337644E10</v>
      </c>
      <c r="F1196" s="24">
        <v>1.0</v>
      </c>
      <c r="G1196" s="18" t="s">
        <v>4652</v>
      </c>
      <c r="H1196" s="18"/>
      <c r="I1196" s="24">
        <v>8.5330337644E10</v>
      </c>
      <c r="J1196" s="18" t="s">
        <v>4653</v>
      </c>
      <c r="K1196" s="18"/>
      <c r="L1196" s="18" t="s">
        <v>4654</v>
      </c>
    </row>
    <row r="1197">
      <c r="A1197" s="18" t="s">
        <v>4655</v>
      </c>
      <c r="B1197" s="18" t="s">
        <v>791</v>
      </c>
      <c r="C1197" s="18" t="s">
        <v>4656</v>
      </c>
      <c r="D1197" s="18"/>
      <c r="E1197" s="24">
        <v>8.5236049804E10</v>
      </c>
      <c r="F1197" s="24">
        <v>1.0</v>
      </c>
      <c r="G1197" s="18" t="s">
        <v>4656</v>
      </c>
      <c r="H1197" s="18"/>
      <c r="I1197" s="24">
        <v>8.5236049804E10</v>
      </c>
      <c r="J1197" s="18" t="s">
        <v>4420</v>
      </c>
      <c r="K1197" s="18"/>
      <c r="L1197" s="18" t="s">
        <v>4657</v>
      </c>
    </row>
    <row r="1198">
      <c r="A1198" s="18" t="s">
        <v>4658</v>
      </c>
      <c r="B1198" s="18" t="s">
        <v>791</v>
      </c>
      <c r="C1198" s="18" t="s">
        <v>4659</v>
      </c>
      <c r="D1198" s="18"/>
      <c r="E1198" s="24">
        <v>8.5735428448E10</v>
      </c>
      <c r="F1198" s="24">
        <v>1.0</v>
      </c>
      <c r="G1198" s="18" t="s">
        <v>4659</v>
      </c>
      <c r="H1198" s="18"/>
      <c r="I1198" s="24">
        <v>8.5735428448E10</v>
      </c>
      <c r="J1198" s="18" t="s">
        <v>4660</v>
      </c>
      <c r="K1198" s="18"/>
      <c r="L1198" s="18" t="s">
        <v>3689</v>
      </c>
    </row>
    <row r="1199">
      <c r="A1199" s="18" t="s">
        <v>4661</v>
      </c>
      <c r="B1199" s="18" t="s">
        <v>791</v>
      </c>
      <c r="C1199" s="18" t="s">
        <v>4662</v>
      </c>
      <c r="D1199" s="18"/>
      <c r="E1199" s="24">
        <v>8.5234937475E10</v>
      </c>
      <c r="F1199" s="24">
        <v>1.0</v>
      </c>
      <c r="G1199" s="18" t="s">
        <v>4662</v>
      </c>
      <c r="H1199" s="18"/>
      <c r="I1199" s="24">
        <v>8.5234937475E10</v>
      </c>
      <c r="J1199" s="18" t="s">
        <v>4663</v>
      </c>
      <c r="K1199" s="18"/>
      <c r="L1199" s="18" t="s">
        <v>2018</v>
      </c>
    </row>
    <row r="1200">
      <c r="A1200" s="18" t="s">
        <v>4664</v>
      </c>
      <c r="B1200" s="18" t="s">
        <v>791</v>
      </c>
      <c r="C1200" s="18" t="s">
        <v>4665</v>
      </c>
      <c r="D1200" s="18"/>
      <c r="E1200" s="24">
        <v>8.2140637531E10</v>
      </c>
      <c r="F1200" s="24">
        <v>1.0</v>
      </c>
      <c r="G1200" s="18" t="s">
        <v>4665</v>
      </c>
      <c r="H1200" s="18"/>
      <c r="I1200" s="24">
        <v>8.2140637531E10</v>
      </c>
      <c r="J1200" s="18" t="s">
        <v>4666</v>
      </c>
      <c r="K1200" s="18"/>
      <c r="L1200" s="18" t="s">
        <v>3511</v>
      </c>
    </row>
    <row r="1201">
      <c r="A1201" s="18" t="s">
        <v>4667</v>
      </c>
      <c r="B1201" s="18" t="s">
        <v>791</v>
      </c>
      <c r="C1201" s="18" t="s">
        <v>4668</v>
      </c>
      <c r="D1201" s="18"/>
      <c r="E1201" s="24">
        <v>8.526632055E9</v>
      </c>
      <c r="F1201" s="24">
        <v>1.0</v>
      </c>
      <c r="G1201" s="18" t="s">
        <v>4668</v>
      </c>
      <c r="H1201" s="18"/>
      <c r="I1201" s="24">
        <v>8.526632055E9</v>
      </c>
      <c r="J1201" s="18" t="s">
        <v>4669</v>
      </c>
      <c r="K1201" s="18"/>
      <c r="L1201" s="18" t="s">
        <v>4670</v>
      </c>
    </row>
    <row r="1202">
      <c r="A1202" s="18" t="s">
        <v>4671</v>
      </c>
      <c r="B1202" s="18" t="s">
        <v>791</v>
      </c>
      <c r="C1202" s="18" t="s">
        <v>4672</v>
      </c>
      <c r="D1202" s="18"/>
      <c r="E1202" s="24">
        <v>8.5649315581E10</v>
      </c>
      <c r="F1202" s="24">
        <v>1.0</v>
      </c>
      <c r="G1202" s="18" t="s">
        <v>4672</v>
      </c>
      <c r="H1202" s="18"/>
      <c r="I1202" s="24">
        <v>8.5649315581E10</v>
      </c>
      <c r="J1202" s="18" t="s">
        <v>4673</v>
      </c>
      <c r="K1202" s="18"/>
      <c r="L1202" s="18" t="s">
        <v>3863</v>
      </c>
    </row>
    <row r="1203">
      <c r="A1203" s="18" t="s">
        <v>4674</v>
      </c>
      <c r="B1203" s="18" t="s">
        <v>791</v>
      </c>
      <c r="C1203" s="18" t="s">
        <v>4675</v>
      </c>
      <c r="D1203" s="18"/>
      <c r="E1203" s="24">
        <v>8.564584087E10</v>
      </c>
      <c r="F1203" s="24">
        <v>1.0</v>
      </c>
      <c r="G1203" s="18" t="s">
        <v>4675</v>
      </c>
      <c r="H1203" s="18"/>
      <c r="I1203" s="24">
        <v>8.564584087E10</v>
      </c>
      <c r="J1203" s="18" t="s">
        <v>4676</v>
      </c>
      <c r="K1203" s="18"/>
      <c r="L1203" s="18" t="s">
        <v>2994</v>
      </c>
    </row>
    <row r="1204">
      <c r="A1204" s="18" t="s">
        <v>4678</v>
      </c>
      <c r="B1204" s="18" t="s">
        <v>791</v>
      </c>
      <c r="C1204" s="18" t="s">
        <v>4679</v>
      </c>
      <c r="D1204" s="18"/>
      <c r="E1204" s="24">
        <v>8.2312388907E10</v>
      </c>
      <c r="F1204" s="24">
        <v>1.0</v>
      </c>
      <c r="G1204" s="18" t="s">
        <v>4679</v>
      </c>
      <c r="H1204" s="18"/>
      <c r="I1204" s="24">
        <v>8.2312388907E10</v>
      </c>
      <c r="J1204" s="18" t="s">
        <v>4680</v>
      </c>
      <c r="K1204" s="18"/>
      <c r="L1204" s="18" t="s">
        <v>1914</v>
      </c>
    </row>
    <row r="1205">
      <c r="A1205" s="18" t="s">
        <v>4681</v>
      </c>
      <c r="B1205" s="18" t="s">
        <v>791</v>
      </c>
      <c r="C1205" s="18" t="s">
        <v>4682</v>
      </c>
      <c r="D1205" s="18"/>
      <c r="E1205" s="24">
        <v>8.1330860853E10</v>
      </c>
      <c r="F1205" s="24">
        <v>1.0</v>
      </c>
      <c r="G1205" s="18" t="s">
        <v>4682</v>
      </c>
      <c r="H1205" s="18"/>
      <c r="I1205" s="24">
        <v>8.1330860853E10</v>
      </c>
      <c r="J1205" s="18" t="s">
        <v>4683</v>
      </c>
      <c r="K1205" s="18"/>
      <c r="L1205" s="18" t="s">
        <v>4684</v>
      </c>
    </row>
    <row r="1206">
      <c r="A1206" s="18" t="s">
        <v>4685</v>
      </c>
      <c r="B1206" s="18" t="s">
        <v>791</v>
      </c>
      <c r="C1206" s="18" t="s">
        <v>4687</v>
      </c>
      <c r="D1206" s="18"/>
      <c r="E1206" s="24">
        <v>8.1359240487E10</v>
      </c>
      <c r="F1206" s="24">
        <v>1.0</v>
      </c>
      <c r="G1206" s="18" t="s">
        <v>4687</v>
      </c>
      <c r="H1206" s="18"/>
      <c r="I1206" s="24">
        <v>8.1359240487E10</v>
      </c>
      <c r="J1206" s="18" t="s">
        <v>4688</v>
      </c>
      <c r="K1206" s="18"/>
      <c r="L1206" s="18" t="s">
        <v>3060</v>
      </c>
    </row>
    <row r="1207">
      <c r="A1207" s="18" t="s">
        <v>4689</v>
      </c>
      <c r="B1207" s="18" t="s">
        <v>791</v>
      </c>
      <c r="C1207" s="18" t="s">
        <v>4690</v>
      </c>
      <c r="D1207" s="18"/>
      <c r="E1207" s="24">
        <v>8.5259568016E10</v>
      </c>
      <c r="F1207" s="24">
        <v>1.0</v>
      </c>
      <c r="G1207" s="18" t="s">
        <v>4690</v>
      </c>
      <c r="H1207" s="18"/>
      <c r="I1207" s="24">
        <v>8.5259568016E10</v>
      </c>
      <c r="J1207" s="18" t="s">
        <v>4691</v>
      </c>
      <c r="K1207" s="18"/>
      <c r="L1207" s="18" t="s">
        <v>1996</v>
      </c>
    </row>
    <row r="1208">
      <c r="A1208" s="18" t="s">
        <v>4692</v>
      </c>
      <c r="B1208" s="18" t="s">
        <v>791</v>
      </c>
      <c r="C1208" s="18" t="s">
        <v>4693</v>
      </c>
      <c r="D1208" s="18"/>
      <c r="E1208" s="24">
        <v>8.5231194243E10</v>
      </c>
      <c r="F1208" s="24">
        <v>1.0</v>
      </c>
      <c r="G1208" s="18" t="s">
        <v>4693</v>
      </c>
      <c r="H1208" s="18"/>
      <c r="I1208" s="24">
        <v>8.5231194243E10</v>
      </c>
      <c r="J1208" s="18" t="s">
        <v>4695</v>
      </c>
      <c r="K1208" s="18"/>
      <c r="L1208" s="18" t="s">
        <v>2584</v>
      </c>
    </row>
    <row r="1209">
      <c r="A1209" s="18" t="s">
        <v>4696</v>
      </c>
      <c r="B1209" s="18" t="s">
        <v>791</v>
      </c>
      <c r="C1209" s="18" t="s">
        <v>4697</v>
      </c>
      <c r="D1209" s="18"/>
      <c r="E1209" s="24">
        <v>8.1330860853E10</v>
      </c>
      <c r="F1209" s="24">
        <v>1.0</v>
      </c>
      <c r="G1209" s="18" t="s">
        <v>4697</v>
      </c>
      <c r="H1209" s="18"/>
      <c r="I1209" s="24">
        <v>8.1330860853E10</v>
      </c>
      <c r="J1209" s="18" t="s">
        <v>4698</v>
      </c>
      <c r="K1209" s="18"/>
      <c r="L1209" s="18" t="s">
        <v>4684</v>
      </c>
    </row>
    <row r="1210">
      <c r="A1210" s="18" t="s">
        <v>4699</v>
      </c>
      <c r="B1210" s="18" t="s">
        <v>791</v>
      </c>
      <c r="C1210" s="18" t="s">
        <v>4700</v>
      </c>
      <c r="D1210" s="18"/>
      <c r="E1210" s="24">
        <v>8.5645723997E10</v>
      </c>
      <c r="F1210" s="24">
        <v>1.0</v>
      </c>
      <c r="G1210" s="18" t="s">
        <v>4700</v>
      </c>
      <c r="H1210" s="18"/>
      <c r="I1210" s="24">
        <v>8.5645723997E10</v>
      </c>
      <c r="J1210" s="18" t="s">
        <v>4701</v>
      </c>
      <c r="K1210" s="18"/>
      <c r="L1210" s="18" t="s">
        <v>1482</v>
      </c>
    </row>
    <row r="1211">
      <c r="A1211" s="18" t="s">
        <v>4702</v>
      </c>
      <c r="B1211" s="18" t="s">
        <v>791</v>
      </c>
      <c r="C1211" s="18" t="s">
        <v>4703</v>
      </c>
      <c r="D1211" s="18"/>
      <c r="E1211" s="24">
        <v>8.5335383546E10</v>
      </c>
      <c r="F1211" s="24">
        <v>1.0</v>
      </c>
      <c r="G1211" s="18" t="s">
        <v>4703</v>
      </c>
      <c r="H1211" s="18"/>
      <c r="I1211" s="24">
        <v>8.5335383546E10</v>
      </c>
      <c r="J1211" s="18" t="s">
        <v>4704</v>
      </c>
      <c r="K1211" s="18"/>
      <c r="L1211" s="18" t="s">
        <v>3367</v>
      </c>
    </row>
    <row r="1212">
      <c r="A1212" s="18" t="s">
        <v>4705</v>
      </c>
      <c r="B1212" s="18" t="s">
        <v>791</v>
      </c>
      <c r="C1212" s="18" t="s">
        <v>4706</v>
      </c>
      <c r="D1212" s="18"/>
      <c r="E1212" s="24">
        <v>8.5649315581E10</v>
      </c>
      <c r="F1212" s="24">
        <v>1.0</v>
      </c>
      <c r="G1212" s="18" t="s">
        <v>4706</v>
      </c>
      <c r="H1212" s="18"/>
      <c r="I1212" s="24">
        <v>8.5649315581E10</v>
      </c>
      <c r="J1212" s="18" t="s">
        <v>4707</v>
      </c>
      <c r="K1212" s="18"/>
      <c r="L1212" s="18" t="s">
        <v>3863</v>
      </c>
    </row>
    <row r="1213">
      <c r="A1213" s="18" t="s">
        <v>4708</v>
      </c>
      <c r="B1213" s="18" t="s">
        <v>791</v>
      </c>
      <c r="C1213" s="18" t="s">
        <v>4709</v>
      </c>
      <c r="D1213" s="18"/>
      <c r="E1213" s="24">
        <v>8.5645810617E10</v>
      </c>
      <c r="F1213" s="24">
        <v>1.0</v>
      </c>
      <c r="G1213" s="18" t="s">
        <v>4709</v>
      </c>
      <c r="H1213" s="18"/>
      <c r="I1213" s="24">
        <v>8.5645810617E10</v>
      </c>
      <c r="J1213" s="18" t="s">
        <v>4710</v>
      </c>
      <c r="K1213" s="18"/>
      <c r="L1213" s="18" t="s">
        <v>2955</v>
      </c>
    </row>
    <row r="1214">
      <c r="A1214" s="18" t="s">
        <v>4711</v>
      </c>
      <c r="B1214" s="18" t="s">
        <v>791</v>
      </c>
      <c r="C1214" s="18" t="s">
        <v>4712</v>
      </c>
      <c r="D1214" s="18"/>
      <c r="E1214" s="24">
        <v>8.5335280985E10</v>
      </c>
      <c r="F1214" s="24">
        <v>1.0</v>
      </c>
      <c r="G1214" s="18" t="s">
        <v>4712</v>
      </c>
      <c r="H1214" s="18"/>
      <c r="I1214" s="24">
        <v>8.5335280985E10</v>
      </c>
      <c r="J1214" s="18" t="s">
        <v>4713</v>
      </c>
      <c r="K1214" s="18"/>
      <c r="L1214" s="18" t="s">
        <v>1914</v>
      </c>
    </row>
    <row r="1215">
      <c r="A1215" s="18" t="s">
        <v>4714</v>
      </c>
      <c r="B1215" s="18" t="s">
        <v>791</v>
      </c>
      <c r="C1215" s="18" t="s">
        <v>4715</v>
      </c>
      <c r="D1215" s="18"/>
      <c r="E1215" s="24">
        <v>8.1335441183E10</v>
      </c>
      <c r="F1215" s="24">
        <v>1.0</v>
      </c>
      <c r="G1215" s="18" t="s">
        <v>4715</v>
      </c>
      <c r="H1215" s="18"/>
      <c r="I1215" s="24">
        <v>8.1335441183E10</v>
      </c>
      <c r="J1215" s="18" t="s">
        <v>4716</v>
      </c>
      <c r="K1215" s="18"/>
      <c r="L1215" s="18" t="s">
        <v>2146</v>
      </c>
    </row>
    <row r="1216">
      <c r="A1216" s="18" t="s">
        <v>4717</v>
      </c>
      <c r="B1216" s="18" t="s">
        <v>791</v>
      </c>
      <c r="C1216" s="18" t="s">
        <v>4718</v>
      </c>
      <c r="D1216" s="18"/>
      <c r="E1216" s="24">
        <v>8.1359240487E10</v>
      </c>
      <c r="F1216" s="24">
        <v>1.0</v>
      </c>
      <c r="G1216" s="18" t="s">
        <v>4718</v>
      </c>
      <c r="H1216" s="18"/>
      <c r="I1216" s="24">
        <v>8.1359240487E10</v>
      </c>
      <c r="J1216" s="18" t="s">
        <v>4719</v>
      </c>
      <c r="K1216" s="18"/>
      <c r="L1216" s="18" t="s">
        <v>3060</v>
      </c>
    </row>
    <row r="1217">
      <c r="A1217" s="18" t="s">
        <v>4720</v>
      </c>
      <c r="B1217" s="18" t="s">
        <v>791</v>
      </c>
      <c r="C1217" s="18" t="s">
        <v>4721</v>
      </c>
      <c r="D1217" s="18"/>
      <c r="E1217" s="24">
        <v>8.5141565285E10</v>
      </c>
      <c r="F1217" s="24">
        <v>1.0</v>
      </c>
      <c r="G1217" s="18" t="s">
        <v>4721</v>
      </c>
      <c r="H1217" s="18"/>
      <c r="I1217" s="24">
        <v>8.5141565285E10</v>
      </c>
      <c r="J1217" s="18" t="s">
        <v>4722</v>
      </c>
      <c r="K1217" s="18"/>
      <c r="L1217" s="18" t="s">
        <v>3188</v>
      </c>
    </row>
    <row r="1218">
      <c r="A1218" s="18" t="s">
        <v>4723</v>
      </c>
      <c r="B1218" s="18" t="s">
        <v>791</v>
      </c>
      <c r="C1218" s="18" t="s">
        <v>4724</v>
      </c>
      <c r="D1218" s="18"/>
      <c r="E1218" s="24">
        <v>8.2312388907E10</v>
      </c>
      <c r="F1218" s="24">
        <v>1.0</v>
      </c>
      <c r="G1218" s="18" t="s">
        <v>4724</v>
      </c>
      <c r="H1218" s="18"/>
      <c r="I1218" s="24">
        <v>8.2312388907E10</v>
      </c>
      <c r="J1218" s="18" t="s">
        <v>4725</v>
      </c>
      <c r="K1218" s="18"/>
      <c r="L1218" s="18" t="s">
        <v>1914</v>
      </c>
    </row>
    <row r="1219">
      <c r="A1219" s="18" t="s">
        <v>4726</v>
      </c>
      <c r="B1219" s="18" t="s">
        <v>791</v>
      </c>
      <c r="C1219" s="18" t="s">
        <v>4724</v>
      </c>
      <c r="D1219" s="18"/>
      <c r="E1219" s="24">
        <v>8.1335052884E10</v>
      </c>
      <c r="F1219" s="24">
        <v>1.0</v>
      </c>
      <c r="G1219" s="18" t="s">
        <v>4724</v>
      </c>
      <c r="H1219" s="18"/>
      <c r="I1219" s="24">
        <v>8.1335052884E10</v>
      </c>
      <c r="J1219" s="18" t="s">
        <v>4727</v>
      </c>
      <c r="K1219" s="18"/>
      <c r="L1219" s="18" t="s">
        <v>4728</v>
      </c>
    </row>
    <row r="1220">
      <c r="A1220" s="18" t="s">
        <v>4729</v>
      </c>
      <c r="B1220" s="18" t="s">
        <v>791</v>
      </c>
      <c r="C1220" s="18" t="s">
        <v>4730</v>
      </c>
      <c r="D1220" s="18"/>
      <c r="E1220" s="24">
        <v>8.5649315581E10</v>
      </c>
      <c r="F1220" s="24">
        <v>1.0</v>
      </c>
      <c r="G1220" s="18" t="s">
        <v>4730</v>
      </c>
      <c r="H1220" s="18"/>
      <c r="I1220" s="24">
        <v>8.5649315581E10</v>
      </c>
      <c r="J1220" s="18" t="s">
        <v>4731</v>
      </c>
      <c r="K1220" s="18"/>
      <c r="L1220" s="18" t="s">
        <v>3863</v>
      </c>
    </row>
    <row r="1221">
      <c r="A1221" s="18" t="s">
        <v>4732</v>
      </c>
      <c r="B1221" s="18" t="s">
        <v>791</v>
      </c>
      <c r="C1221" s="18" t="s">
        <v>4724</v>
      </c>
      <c r="D1221" s="18"/>
      <c r="E1221" s="24">
        <v>8.1332005425E10</v>
      </c>
      <c r="F1221" s="24">
        <v>1.0</v>
      </c>
      <c r="G1221" s="18" t="s">
        <v>4724</v>
      </c>
      <c r="H1221" s="18"/>
      <c r="I1221" s="24">
        <v>8.1332005425E10</v>
      </c>
      <c r="J1221" s="18" t="s">
        <v>4733</v>
      </c>
      <c r="K1221" s="18"/>
      <c r="L1221" s="18" t="s">
        <v>1474</v>
      </c>
    </row>
    <row r="1222">
      <c r="A1222" s="18" t="s">
        <v>4735</v>
      </c>
      <c r="B1222" s="18" t="s">
        <v>791</v>
      </c>
      <c r="C1222" s="18" t="s">
        <v>4736</v>
      </c>
      <c r="D1222" s="18"/>
      <c r="E1222" s="24">
        <v>8.5790364717E10</v>
      </c>
      <c r="F1222" s="24">
        <v>1.0</v>
      </c>
      <c r="G1222" s="18" t="s">
        <v>4736</v>
      </c>
      <c r="H1222" s="18"/>
      <c r="I1222" s="24">
        <v>8.5790364717E10</v>
      </c>
      <c r="J1222" s="18" t="s">
        <v>4738</v>
      </c>
      <c r="K1222" s="18"/>
      <c r="L1222" s="18" t="s">
        <v>3993</v>
      </c>
    </row>
    <row r="1223">
      <c r="A1223" s="18" t="s">
        <v>4739</v>
      </c>
      <c r="B1223" s="18" t="s">
        <v>791</v>
      </c>
      <c r="C1223" s="18" t="s">
        <v>4740</v>
      </c>
      <c r="D1223" s="18"/>
      <c r="E1223" s="24">
        <v>8.1335208367E10</v>
      </c>
      <c r="F1223" s="24">
        <v>1.0</v>
      </c>
      <c r="G1223" s="18" t="s">
        <v>4740</v>
      </c>
      <c r="H1223" s="18"/>
      <c r="I1223" s="24">
        <v>8.1335208367E10</v>
      </c>
      <c r="J1223" s="18" t="s">
        <v>4741</v>
      </c>
      <c r="K1223" s="18"/>
      <c r="L1223" s="18" t="s">
        <v>1914</v>
      </c>
    </row>
    <row r="1224">
      <c r="A1224" s="18" t="s">
        <v>4742</v>
      </c>
      <c r="B1224" s="18" t="s">
        <v>791</v>
      </c>
      <c r="C1224" s="18" t="s">
        <v>4743</v>
      </c>
      <c r="D1224" s="18"/>
      <c r="E1224" s="24">
        <v>8.223018766E10</v>
      </c>
      <c r="F1224" s="24">
        <v>1.0</v>
      </c>
      <c r="G1224" s="18" t="s">
        <v>4743</v>
      </c>
      <c r="H1224" s="18"/>
      <c r="I1224" s="24">
        <v>8.223018766E10</v>
      </c>
      <c r="J1224" s="18" t="s">
        <v>4744</v>
      </c>
      <c r="K1224" s="18"/>
      <c r="L1224" s="18" t="s">
        <v>1689</v>
      </c>
    </row>
    <row r="1225">
      <c r="A1225" s="18" t="s">
        <v>4745</v>
      </c>
      <c r="B1225" s="18" t="s">
        <v>791</v>
      </c>
      <c r="C1225" s="18" t="s">
        <v>4746</v>
      </c>
      <c r="D1225" s="18"/>
      <c r="E1225" s="24">
        <v>8.223018766E10</v>
      </c>
      <c r="F1225" s="24">
        <v>1.0</v>
      </c>
      <c r="G1225" s="18" t="s">
        <v>4746</v>
      </c>
      <c r="H1225" s="18"/>
      <c r="I1225" s="24">
        <v>8.223018766E10</v>
      </c>
      <c r="J1225" s="18" t="s">
        <v>4747</v>
      </c>
      <c r="K1225" s="18"/>
      <c r="L1225" s="18" t="s">
        <v>1689</v>
      </c>
    </row>
    <row r="1226">
      <c r="A1226" s="18" t="s">
        <v>4748</v>
      </c>
      <c r="B1226" s="18" t="s">
        <v>791</v>
      </c>
      <c r="C1226" s="18" t="s">
        <v>4746</v>
      </c>
      <c r="D1226" s="18"/>
      <c r="E1226" s="24">
        <v>8.2230187659E10</v>
      </c>
      <c r="F1226" s="24">
        <v>1.0</v>
      </c>
      <c r="G1226" s="18" t="s">
        <v>4746</v>
      </c>
      <c r="H1226" s="18"/>
      <c r="I1226" s="24">
        <v>8.2230187659E10</v>
      </c>
      <c r="J1226" s="18" t="s">
        <v>4750</v>
      </c>
      <c r="K1226" s="18"/>
      <c r="L1226" s="18" t="s">
        <v>1689</v>
      </c>
    </row>
    <row r="1227">
      <c r="A1227" s="18" t="s">
        <v>4751</v>
      </c>
      <c r="B1227" s="18" t="s">
        <v>791</v>
      </c>
      <c r="C1227" s="18" t="s">
        <v>4752</v>
      </c>
      <c r="D1227" s="18"/>
      <c r="E1227" s="24">
        <v>8.2312388907E10</v>
      </c>
      <c r="F1227" s="24">
        <v>1.0</v>
      </c>
      <c r="G1227" s="18" t="s">
        <v>4752</v>
      </c>
      <c r="H1227" s="18"/>
      <c r="I1227" s="24">
        <v>8.2312388907E10</v>
      </c>
      <c r="J1227" s="18" t="s">
        <v>4753</v>
      </c>
      <c r="K1227" s="18"/>
      <c r="L1227" s="18" t="s">
        <v>1914</v>
      </c>
    </row>
    <row r="1228">
      <c r="A1228" s="18" t="s">
        <v>4754</v>
      </c>
      <c r="B1228" s="18" t="s">
        <v>791</v>
      </c>
      <c r="C1228" s="18" t="s">
        <v>4755</v>
      </c>
      <c r="D1228" s="18"/>
      <c r="E1228" s="24">
        <v>8.523504118E10</v>
      </c>
      <c r="F1228" s="24">
        <v>1.0</v>
      </c>
      <c r="G1228" s="18" t="s">
        <v>4755</v>
      </c>
      <c r="H1228" s="18"/>
      <c r="I1228" s="24">
        <v>8.523504118E10</v>
      </c>
      <c r="J1228" s="18" t="s">
        <v>4756</v>
      </c>
      <c r="K1228" s="18"/>
      <c r="L1228" s="18" t="s">
        <v>4414</v>
      </c>
    </row>
    <row r="1229">
      <c r="A1229" s="18" t="s">
        <v>4757</v>
      </c>
      <c r="B1229" s="18" t="s">
        <v>791</v>
      </c>
      <c r="C1229" s="18" t="s">
        <v>4758</v>
      </c>
      <c r="D1229" s="18"/>
      <c r="E1229" s="24">
        <v>8.573590502E10</v>
      </c>
      <c r="F1229" s="24">
        <v>1.0</v>
      </c>
      <c r="G1229" s="18" t="s">
        <v>4758</v>
      </c>
      <c r="H1229" s="18"/>
      <c r="I1229" s="24">
        <v>8.573590502E10</v>
      </c>
      <c r="J1229" s="18" t="s">
        <v>4760</v>
      </c>
      <c r="K1229" s="18"/>
      <c r="L1229" s="18" t="s">
        <v>4048</v>
      </c>
    </row>
    <row r="1230">
      <c r="A1230" s="18" t="s">
        <v>4761</v>
      </c>
      <c r="B1230" s="18" t="s">
        <v>791</v>
      </c>
      <c r="C1230" s="18" t="s">
        <v>4762</v>
      </c>
      <c r="D1230" s="18"/>
      <c r="E1230" s="24">
        <v>8.5645731126E10</v>
      </c>
      <c r="F1230" s="24">
        <v>1.0</v>
      </c>
      <c r="G1230" s="18" t="s">
        <v>4762</v>
      </c>
      <c r="H1230" s="18"/>
      <c r="I1230" s="24">
        <v>8.5645731126E10</v>
      </c>
      <c r="J1230" s="18" t="s">
        <v>4763</v>
      </c>
      <c r="K1230" s="18"/>
      <c r="L1230" s="18" t="s">
        <v>3556</v>
      </c>
    </row>
    <row r="1231">
      <c r="A1231" s="18" t="s">
        <v>4764</v>
      </c>
      <c r="B1231" s="18" t="s">
        <v>791</v>
      </c>
      <c r="C1231" s="18" t="s">
        <v>4765</v>
      </c>
      <c r="D1231" s="18"/>
      <c r="E1231" s="24">
        <v>8.2325568205E10</v>
      </c>
      <c r="F1231" s="24">
        <v>1.0</v>
      </c>
      <c r="G1231" s="18" t="s">
        <v>4765</v>
      </c>
      <c r="H1231" s="18"/>
      <c r="I1231" s="24">
        <v>8.2325568205E10</v>
      </c>
      <c r="J1231" s="18" t="s">
        <v>4378</v>
      </c>
      <c r="K1231" s="18"/>
      <c r="L1231" s="18" t="s">
        <v>4766</v>
      </c>
    </row>
    <row r="1232">
      <c r="A1232" s="18" t="s">
        <v>4767</v>
      </c>
      <c r="B1232" s="18" t="s">
        <v>791</v>
      </c>
      <c r="C1232" s="18" t="s">
        <v>4768</v>
      </c>
      <c r="D1232" s="18"/>
      <c r="E1232" s="24">
        <v>8.5259224597E10</v>
      </c>
      <c r="F1232" s="24">
        <v>1.0</v>
      </c>
      <c r="G1232" s="18" t="s">
        <v>4768</v>
      </c>
      <c r="H1232" s="18"/>
      <c r="I1232" s="24">
        <v>8.5259224597E10</v>
      </c>
      <c r="J1232" s="18" t="s">
        <v>4769</v>
      </c>
      <c r="K1232" s="18"/>
      <c r="L1232" s="18" t="s">
        <v>3137</v>
      </c>
    </row>
    <row r="1233">
      <c r="A1233" s="18" t="s">
        <v>4770</v>
      </c>
      <c r="B1233" s="18" t="s">
        <v>791</v>
      </c>
      <c r="C1233" s="18" t="s">
        <v>4771</v>
      </c>
      <c r="D1233" s="18"/>
      <c r="E1233" s="24">
        <v>8.233279389E10</v>
      </c>
      <c r="F1233" s="24">
        <v>1.0</v>
      </c>
      <c r="G1233" s="18" t="s">
        <v>4771</v>
      </c>
      <c r="H1233" s="18"/>
      <c r="I1233" s="24">
        <v>8.233279389E10</v>
      </c>
      <c r="J1233" s="18" t="s">
        <v>4772</v>
      </c>
      <c r="K1233" s="18"/>
      <c r="L1233" s="18" t="s">
        <v>1560</v>
      </c>
    </row>
    <row r="1234">
      <c r="A1234" s="18" t="s">
        <v>4773</v>
      </c>
      <c r="B1234" s="18" t="s">
        <v>791</v>
      </c>
      <c r="C1234" s="18" t="s">
        <v>4774</v>
      </c>
      <c r="D1234" s="18"/>
      <c r="E1234" s="24">
        <v>8.5233685156E10</v>
      </c>
      <c r="F1234" s="24">
        <v>1.0</v>
      </c>
      <c r="G1234" s="18" t="s">
        <v>4774</v>
      </c>
      <c r="H1234" s="18"/>
      <c r="I1234" s="24">
        <v>8.5233685156E10</v>
      </c>
      <c r="J1234" s="18" t="s">
        <v>4775</v>
      </c>
      <c r="K1234" s="18"/>
      <c r="L1234" s="18" t="s">
        <v>4776</v>
      </c>
    </row>
    <row r="1235">
      <c r="A1235" s="18" t="s">
        <v>4778</v>
      </c>
      <c r="B1235" s="18" t="s">
        <v>791</v>
      </c>
      <c r="C1235" s="18" t="s">
        <v>4779</v>
      </c>
      <c r="D1235" s="18"/>
      <c r="E1235" s="24">
        <v>8.5233879971E10</v>
      </c>
      <c r="F1235" s="24">
        <v>1.0</v>
      </c>
      <c r="G1235" s="18" t="s">
        <v>4779</v>
      </c>
      <c r="H1235" s="18"/>
      <c r="I1235" s="24">
        <v>8.5233879971E10</v>
      </c>
      <c r="J1235" s="18" t="s">
        <v>4780</v>
      </c>
      <c r="K1235" s="18"/>
      <c r="L1235" s="18" t="s">
        <v>2230</v>
      </c>
    </row>
    <row r="1236">
      <c r="A1236" s="18" t="s">
        <v>4781</v>
      </c>
      <c r="B1236" s="18" t="s">
        <v>791</v>
      </c>
      <c r="C1236" s="18" t="s">
        <v>4782</v>
      </c>
      <c r="D1236" s="18"/>
      <c r="E1236" s="24">
        <v>8.2397562129E10</v>
      </c>
      <c r="F1236" s="24">
        <v>1.0</v>
      </c>
      <c r="G1236" s="18" t="s">
        <v>4782</v>
      </c>
      <c r="H1236" s="18"/>
      <c r="I1236" s="24">
        <v>8.2397562129E10</v>
      </c>
      <c r="J1236" s="18" t="s">
        <v>4783</v>
      </c>
      <c r="K1236" s="18"/>
      <c r="L1236" s="18" t="s">
        <v>4504</v>
      </c>
    </row>
    <row r="1237">
      <c r="A1237" s="18" t="s">
        <v>4784</v>
      </c>
      <c r="B1237" s="18" t="s">
        <v>791</v>
      </c>
      <c r="C1237" s="18" t="s">
        <v>4786</v>
      </c>
      <c r="D1237" s="18"/>
      <c r="E1237" s="24">
        <v>8.1293009692E10</v>
      </c>
      <c r="F1237" s="24">
        <v>1.0</v>
      </c>
      <c r="G1237" s="18" t="s">
        <v>4786</v>
      </c>
      <c r="H1237" s="18"/>
      <c r="I1237" s="24">
        <v>8.1293009692E10</v>
      </c>
      <c r="J1237" s="18" t="s">
        <v>4787</v>
      </c>
      <c r="K1237" s="18"/>
      <c r="L1237" s="18" t="s">
        <v>2098</v>
      </c>
    </row>
    <row r="1238">
      <c r="A1238" s="18" t="s">
        <v>4788</v>
      </c>
      <c r="B1238" s="18" t="s">
        <v>791</v>
      </c>
      <c r="C1238" s="18" t="s">
        <v>4789</v>
      </c>
      <c r="D1238" s="18"/>
      <c r="E1238" s="24">
        <v>8.135975241E10</v>
      </c>
      <c r="F1238" s="24">
        <v>1.0</v>
      </c>
      <c r="G1238" s="18" t="s">
        <v>4789</v>
      </c>
      <c r="H1238" s="18"/>
      <c r="I1238" s="24">
        <v>8.135975241E10</v>
      </c>
      <c r="J1238" s="18" t="s">
        <v>4791</v>
      </c>
      <c r="K1238" s="18"/>
      <c r="L1238" s="18" t="s">
        <v>1914</v>
      </c>
    </row>
    <row r="1239">
      <c r="A1239" s="18" t="s">
        <v>4792</v>
      </c>
      <c r="B1239" s="18" t="s">
        <v>791</v>
      </c>
      <c r="C1239" s="18" t="s">
        <v>4793</v>
      </c>
      <c r="D1239" s="18"/>
      <c r="E1239" s="24">
        <v>8.5736622942E10</v>
      </c>
      <c r="F1239" s="24">
        <v>1.0</v>
      </c>
      <c r="G1239" s="18" t="s">
        <v>4793</v>
      </c>
      <c r="H1239" s="18"/>
      <c r="I1239" s="24">
        <v>8.5736622942E10</v>
      </c>
      <c r="J1239" s="18" t="s">
        <v>4794</v>
      </c>
      <c r="K1239" s="18"/>
      <c r="L1239" s="18" t="s">
        <v>4795</v>
      </c>
    </row>
    <row r="1240">
      <c r="A1240" s="18" t="s">
        <v>4796</v>
      </c>
      <c r="B1240" s="18" t="s">
        <v>791</v>
      </c>
      <c r="C1240" s="18" t="s">
        <v>4797</v>
      </c>
      <c r="D1240" s="18"/>
      <c r="E1240" s="24">
        <v>8.134556766E10</v>
      </c>
      <c r="F1240" s="24">
        <v>1.0</v>
      </c>
      <c r="G1240" s="18" t="s">
        <v>4797</v>
      </c>
      <c r="H1240" s="18"/>
      <c r="I1240" s="24">
        <v>8.134556766E10</v>
      </c>
      <c r="J1240" s="18" t="s">
        <v>4798</v>
      </c>
      <c r="K1240" s="18"/>
      <c r="L1240" s="18" t="s">
        <v>3367</v>
      </c>
    </row>
    <row r="1241">
      <c r="A1241" s="18" t="s">
        <v>4799</v>
      </c>
      <c r="B1241" s="18" t="s">
        <v>791</v>
      </c>
      <c r="C1241" s="18" t="s">
        <v>4800</v>
      </c>
      <c r="D1241" s="18"/>
      <c r="E1241" s="24">
        <v>8.1252779695E10</v>
      </c>
      <c r="F1241" s="24">
        <v>1.0</v>
      </c>
      <c r="G1241" s="18" t="s">
        <v>4800</v>
      </c>
      <c r="H1241" s="18"/>
      <c r="I1241" s="24">
        <v>8.1252779695E10</v>
      </c>
      <c r="J1241" s="18" t="s">
        <v>4801</v>
      </c>
      <c r="K1241" s="18"/>
      <c r="L1241" s="18" t="s">
        <v>1850</v>
      </c>
    </row>
    <row r="1242">
      <c r="A1242" s="18" t="s">
        <v>4802</v>
      </c>
      <c r="B1242" s="18" t="s">
        <v>791</v>
      </c>
      <c r="C1242" s="18" t="s">
        <v>4803</v>
      </c>
      <c r="D1242" s="18"/>
      <c r="E1242" s="24">
        <v>8.1359556087E10</v>
      </c>
      <c r="F1242" s="24">
        <v>1.0</v>
      </c>
      <c r="G1242" s="18" t="s">
        <v>4803</v>
      </c>
      <c r="H1242" s="18"/>
      <c r="I1242" s="24">
        <v>8.1359556087E10</v>
      </c>
      <c r="J1242" s="18" t="s">
        <v>4804</v>
      </c>
      <c r="K1242" s="18"/>
      <c r="L1242" s="18" t="s">
        <v>1549</v>
      </c>
    </row>
    <row r="1243">
      <c r="A1243" s="18" t="s">
        <v>4805</v>
      </c>
      <c r="B1243" s="18" t="s">
        <v>791</v>
      </c>
      <c r="C1243" s="18" t="s">
        <v>4806</v>
      </c>
      <c r="D1243" s="18"/>
      <c r="E1243" s="24">
        <v>8.230185852E10</v>
      </c>
      <c r="F1243" s="24">
        <v>1.0</v>
      </c>
      <c r="G1243" s="18" t="s">
        <v>4806</v>
      </c>
      <c r="H1243" s="18"/>
      <c r="I1243" s="24">
        <v>8.230185852E10</v>
      </c>
      <c r="J1243" s="18" t="s">
        <v>4807</v>
      </c>
      <c r="K1243" s="18"/>
      <c r="L1243" s="18" t="s">
        <v>1854</v>
      </c>
    </row>
    <row r="1244">
      <c r="A1244" s="18" t="s">
        <v>4808</v>
      </c>
      <c r="B1244" s="18" t="s">
        <v>791</v>
      </c>
      <c r="C1244" s="18" t="s">
        <v>4809</v>
      </c>
      <c r="D1244" s="18"/>
      <c r="E1244" s="24">
        <v>8.1357319689E10</v>
      </c>
      <c r="F1244" s="24">
        <v>1.0</v>
      </c>
      <c r="G1244" s="18" t="s">
        <v>4809</v>
      </c>
      <c r="H1244" s="18"/>
      <c r="I1244" s="24">
        <v>8.1357319689E10</v>
      </c>
      <c r="J1244" s="18" t="s">
        <v>4810</v>
      </c>
      <c r="K1244" s="18"/>
      <c r="L1244" s="18" t="s">
        <v>4811</v>
      </c>
    </row>
    <row r="1245">
      <c r="A1245" s="18" t="s">
        <v>4812</v>
      </c>
      <c r="B1245" s="18" t="s">
        <v>791</v>
      </c>
      <c r="C1245" s="18" t="s">
        <v>4813</v>
      </c>
      <c r="D1245" s="18"/>
      <c r="E1245" s="24">
        <v>2.0</v>
      </c>
      <c r="F1245" s="24">
        <v>1.0</v>
      </c>
      <c r="G1245" s="18" t="s">
        <v>4813</v>
      </c>
      <c r="H1245" s="18"/>
      <c r="I1245" s="24">
        <v>2.0</v>
      </c>
      <c r="J1245" s="18" t="s">
        <v>4814</v>
      </c>
      <c r="K1245" s="18"/>
      <c r="L1245" s="18" t="s">
        <v>3178</v>
      </c>
    </row>
    <row r="1246">
      <c r="A1246" s="18" t="s">
        <v>4815</v>
      </c>
      <c r="B1246" s="18" t="s">
        <v>791</v>
      </c>
      <c r="C1246" s="18" t="s">
        <v>4816</v>
      </c>
      <c r="D1246" s="18"/>
      <c r="E1246" s="24">
        <v>8.155066711E9</v>
      </c>
      <c r="F1246" s="24">
        <v>1.0</v>
      </c>
      <c r="G1246" s="18" t="s">
        <v>4816</v>
      </c>
      <c r="H1246" s="18"/>
      <c r="I1246" s="24">
        <v>8.155066711E9</v>
      </c>
      <c r="J1246" s="18" t="s">
        <v>4817</v>
      </c>
      <c r="K1246" s="18"/>
      <c r="L1246" s="18" t="s">
        <v>4818</v>
      </c>
    </row>
    <row r="1247">
      <c r="A1247" s="18" t="s">
        <v>4819</v>
      </c>
      <c r="B1247" s="18" t="s">
        <v>791</v>
      </c>
      <c r="C1247" s="18" t="s">
        <v>4820</v>
      </c>
      <c r="D1247" s="18"/>
      <c r="E1247" s="24">
        <v>8.2141312355E10</v>
      </c>
      <c r="F1247" s="24">
        <v>1.0</v>
      </c>
      <c r="G1247" s="18" t="s">
        <v>4820</v>
      </c>
      <c r="H1247" s="18"/>
      <c r="I1247" s="24">
        <v>8.2141312355E10</v>
      </c>
      <c r="J1247" s="18" t="s">
        <v>4821</v>
      </c>
      <c r="K1247" s="18"/>
      <c r="L1247" s="18" t="s">
        <v>1764</v>
      </c>
    </row>
    <row r="1248">
      <c r="A1248" s="18" t="s">
        <v>4822</v>
      </c>
      <c r="B1248" s="18" t="s">
        <v>791</v>
      </c>
      <c r="C1248" s="18" t="s">
        <v>4823</v>
      </c>
      <c r="D1248" s="18"/>
      <c r="E1248" s="24">
        <v>8.5259661259E10</v>
      </c>
      <c r="F1248" s="24">
        <v>1.0</v>
      </c>
      <c r="G1248" s="18" t="s">
        <v>4823</v>
      </c>
      <c r="H1248" s="18"/>
      <c r="I1248" s="24">
        <v>8.5259661259E10</v>
      </c>
      <c r="J1248" s="18" t="s">
        <v>3544</v>
      </c>
      <c r="K1248" s="18"/>
      <c r="L1248" s="18" t="s">
        <v>4824</v>
      </c>
    </row>
    <row r="1249">
      <c r="A1249" s="18" t="s">
        <v>4825</v>
      </c>
      <c r="B1249" s="18" t="s">
        <v>791</v>
      </c>
      <c r="C1249" s="18" t="s">
        <v>4826</v>
      </c>
      <c r="D1249" s="18"/>
      <c r="E1249" s="24">
        <v>8.5235782242E10</v>
      </c>
      <c r="F1249" s="24">
        <v>1.0</v>
      </c>
      <c r="G1249" s="18" t="s">
        <v>4826</v>
      </c>
      <c r="H1249" s="18"/>
      <c r="I1249" s="24">
        <v>8.5235782242E10</v>
      </c>
      <c r="J1249" s="18" t="s">
        <v>4827</v>
      </c>
      <c r="K1249" s="18"/>
      <c r="L1249" s="18" t="s">
        <v>3286</v>
      </c>
    </row>
    <row r="1250">
      <c r="A1250" s="18" t="s">
        <v>4828</v>
      </c>
      <c r="B1250" s="18" t="s">
        <v>791</v>
      </c>
      <c r="C1250" s="18" t="s">
        <v>4829</v>
      </c>
      <c r="D1250" s="18"/>
      <c r="E1250" s="24">
        <v>8.1252779694E10</v>
      </c>
      <c r="F1250" s="24">
        <v>1.0</v>
      </c>
      <c r="G1250" s="18" t="s">
        <v>4829</v>
      </c>
      <c r="H1250" s="18"/>
      <c r="I1250" s="24">
        <v>8.1252779694E10</v>
      </c>
      <c r="J1250" s="18" t="s">
        <v>4830</v>
      </c>
      <c r="K1250" s="18"/>
      <c r="L1250" s="18" t="s">
        <v>1850</v>
      </c>
    </row>
    <row r="1251">
      <c r="A1251" s="18" t="s">
        <v>4831</v>
      </c>
      <c r="B1251" s="18" t="s">
        <v>791</v>
      </c>
      <c r="C1251" s="18" t="s">
        <v>4832</v>
      </c>
      <c r="D1251" s="18"/>
      <c r="E1251" s="24">
        <v>8.1335903738E10</v>
      </c>
      <c r="F1251" s="24">
        <v>1.0</v>
      </c>
      <c r="G1251" s="18" t="s">
        <v>4832</v>
      </c>
      <c r="H1251" s="18"/>
      <c r="I1251" s="24">
        <v>8.1335903738E10</v>
      </c>
      <c r="J1251" s="18" t="s">
        <v>4833</v>
      </c>
      <c r="K1251" s="18"/>
      <c r="L1251" s="18" t="s">
        <v>4387</v>
      </c>
    </row>
    <row r="1252">
      <c r="A1252" s="18" t="s">
        <v>4834</v>
      </c>
      <c r="B1252" s="18" t="s">
        <v>791</v>
      </c>
      <c r="C1252" s="18" t="s">
        <v>4835</v>
      </c>
      <c r="D1252" s="18"/>
      <c r="E1252" s="24">
        <v>8.1359556087E10</v>
      </c>
      <c r="F1252" s="24">
        <v>1.0</v>
      </c>
      <c r="G1252" s="18" t="s">
        <v>4835</v>
      </c>
      <c r="H1252" s="18"/>
      <c r="I1252" s="24">
        <v>8.1359556087E10</v>
      </c>
      <c r="J1252" s="18" t="s">
        <v>4836</v>
      </c>
      <c r="K1252" s="18"/>
      <c r="L1252" s="18" t="s">
        <v>1549</v>
      </c>
    </row>
    <row r="1253">
      <c r="A1253" s="18" t="s">
        <v>4837</v>
      </c>
      <c r="B1253" s="18" t="s">
        <v>791</v>
      </c>
      <c r="C1253" s="18" t="s">
        <v>4838</v>
      </c>
      <c r="D1253" s="18"/>
      <c r="E1253" s="24">
        <v>8.230185852E10</v>
      </c>
      <c r="F1253" s="24">
        <v>1.0</v>
      </c>
      <c r="G1253" s="18" t="s">
        <v>4838</v>
      </c>
      <c r="H1253" s="18"/>
      <c r="I1253" s="24">
        <v>8.230185852E10</v>
      </c>
      <c r="J1253" s="18" t="s">
        <v>4839</v>
      </c>
      <c r="K1253" s="18"/>
      <c r="L1253" s="18" t="s">
        <v>1854</v>
      </c>
    </row>
    <row r="1254">
      <c r="A1254" s="18" t="s">
        <v>4840</v>
      </c>
      <c r="B1254" s="18" t="s">
        <v>791</v>
      </c>
      <c r="C1254" s="18" t="s">
        <v>4841</v>
      </c>
      <c r="D1254" s="18"/>
      <c r="E1254" s="24">
        <v>8.5259755878E10</v>
      </c>
      <c r="F1254" s="24">
        <v>1.0</v>
      </c>
      <c r="G1254" s="18" t="s">
        <v>4841</v>
      </c>
      <c r="H1254" s="18"/>
      <c r="I1254" s="24">
        <v>8.5259755878E10</v>
      </c>
      <c r="J1254" s="18" t="s">
        <v>4843</v>
      </c>
      <c r="K1254" s="18"/>
      <c r="L1254" s="18" t="s">
        <v>3154</v>
      </c>
    </row>
    <row r="1255">
      <c r="A1255" s="18" t="s">
        <v>4844</v>
      </c>
      <c r="B1255" s="18" t="s">
        <v>791</v>
      </c>
      <c r="C1255" s="18" t="s">
        <v>4845</v>
      </c>
      <c r="D1255" s="18"/>
      <c r="E1255" s="24">
        <v>8.1234139591E10</v>
      </c>
      <c r="F1255" s="24">
        <v>1.0</v>
      </c>
      <c r="G1255" s="18" t="s">
        <v>4845</v>
      </c>
      <c r="H1255" s="18"/>
      <c r="I1255" s="24">
        <v>8.1234139591E10</v>
      </c>
      <c r="J1255" s="18" t="s">
        <v>4847</v>
      </c>
      <c r="K1255" s="18"/>
      <c r="L1255" s="18" t="s">
        <v>4848</v>
      </c>
    </row>
    <row r="1256">
      <c r="A1256" s="18" t="s">
        <v>4849</v>
      </c>
      <c r="B1256" s="18" t="s">
        <v>791</v>
      </c>
      <c r="C1256" s="18" t="s">
        <v>4850</v>
      </c>
      <c r="D1256" s="18"/>
      <c r="E1256" s="24">
        <v>8.2231787392E10</v>
      </c>
      <c r="F1256" s="24">
        <v>1.0</v>
      </c>
      <c r="G1256" s="18" t="s">
        <v>4850</v>
      </c>
      <c r="H1256" s="18"/>
      <c r="I1256" s="24">
        <v>8.2231787392E10</v>
      </c>
      <c r="J1256" s="18" t="s">
        <v>4851</v>
      </c>
      <c r="K1256" s="18"/>
      <c r="L1256" s="18" t="s">
        <v>3452</v>
      </c>
    </row>
    <row r="1257">
      <c r="A1257" s="18" t="s">
        <v>4852</v>
      </c>
      <c r="B1257" s="18" t="s">
        <v>791</v>
      </c>
      <c r="C1257" s="18" t="s">
        <v>4853</v>
      </c>
      <c r="D1257" s="18"/>
      <c r="E1257" s="24">
        <v>8.5649315581E10</v>
      </c>
      <c r="F1257" s="24">
        <v>1.0</v>
      </c>
      <c r="G1257" s="18" t="s">
        <v>4853</v>
      </c>
      <c r="H1257" s="18"/>
      <c r="I1257" s="24">
        <v>8.5649315581E10</v>
      </c>
      <c r="J1257" s="18" t="s">
        <v>4854</v>
      </c>
      <c r="K1257" s="18"/>
      <c r="L1257" s="18" t="s">
        <v>3863</v>
      </c>
    </row>
    <row r="1258">
      <c r="A1258" s="18" t="s">
        <v>4855</v>
      </c>
      <c r="B1258" s="18" t="s">
        <v>791</v>
      </c>
      <c r="C1258" s="18" t="s">
        <v>4853</v>
      </c>
      <c r="D1258" s="18"/>
      <c r="E1258" s="24">
        <v>8.1359240487E10</v>
      </c>
      <c r="F1258" s="24">
        <v>1.0</v>
      </c>
      <c r="G1258" s="18" t="s">
        <v>4853</v>
      </c>
      <c r="H1258" s="18"/>
      <c r="I1258" s="24">
        <v>8.1359240487E10</v>
      </c>
      <c r="J1258" s="18" t="s">
        <v>4856</v>
      </c>
      <c r="K1258" s="18"/>
      <c r="L1258" s="18" t="s">
        <v>3060</v>
      </c>
    </row>
    <row r="1259">
      <c r="A1259" s="18" t="s">
        <v>4857</v>
      </c>
      <c r="B1259" s="18" t="s">
        <v>791</v>
      </c>
      <c r="C1259" s="18" t="s">
        <v>4858</v>
      </c>
      <c r="D1259" s="18"/>
      <c r="E1259" s="24">
        <v>8.5649315581E10</v>
      </c>
      <c r="F1259" s="24">
        <v>1.0</v>
      </c>
      <c r="G1259" s="18" t="s">
        <v>4858</v>
      </c>
      <c r="H1259" s="18"/>
      <c r="I1259" s="24">
        <v>8.5649315581E10</v>
      </c>
      <c r="J1259" s="18" t="s">
        <v>4859</v>
      </c>
      <c r="K1259" s="18"/>
      <c r="L1259" s="18" t="s">
        <v>3863</v>
      </c>
    </row>
    <row r="1260">
      <c r="A1260" s="18" t="s">
        <v>4860</v>
      </c>
      <c r="B1260" s="18" t="s">
        <v>791</v>
      </c>
      <c r="C1260" s="18" t="s">
        <v>4861</v>
      </c>
      <c r="D1260" s="18"/>
      <c r="E1260" s="24">
        <v>8.523362704E10</v>
      </c>
      <c r="F1260" s="24">
        <v>1.0</v>
      </c>
      <c r="G1260" s="18" t="s">
        <v>4861</v>
      </c>
      <c r="H1260" s="18"/>
      <c r="I1260" s="24">
        <v>8.523362704E10</v>
      </c>
      <c r="J1260" s="18" t="s">
        <v>4862</v>
      </c>
      <c r="K1260" s="18"/>
      <c r="L1260" s="18" t="s">
        <v>3721</v>
      </c>
    </row>
    <row r="1261">
      <c r="A1261" s="18" t="s">
        <v>4863</v>
      </c>
      <c r="B1261" s="18" t="s">
        <v>791</v>
      </c>
      <c r="C1261" s="18" t="s">
        <v>4864</v>
      </c>
      <c r="D1261" s="18"/>
      <c r="E1261" s="24">
        <v>8.12592628E9</v>
      </c>
      <c r="F1261" s="24">
        <v>1.0</v>
      </c>
      <c r="G1261" s="18" t="s">
        <v>4864</v>
      </c>
      <c r="H1261" s="18"/>
      <c r="I1261" s="24">
        <v>8.12592628E9</v>
      </c>
      <c r="J1261" s="18" t="s">
        <v>4865</v>
      </c>
      <c r="K1261" s="18"/>
      <c r="L1261" s="18" t="s">
        <v>4866</v>
      </c>
    </row>
    <row r="1262">
      <c r="A1262" s="18" t="s">
        <v>4867</v>
      </c>
      <c r="B1262" s="18" t="s">
        <v>791</v>
      </c>
      <c r="C1262" s="18" t="s">
        <v>4868</v>
      </c>
      <c r="D1262" s="18"/>
      <c r="E1262" s="24">
        <v>8.2335045393E10</v>
      </c>
      <c r="F1262" s="24">
        <v>1.0</v>
      </c>
      <c r="G1262" s="18" t="s">
        <v>4868</v>
      </c>
      <c r="H1262" s="18"/>
      <c r="I1262" s="24">
        <v>8.2335045393E10</v>
      </c>
      <c r="J1262" s="18" t="s">
        <v>4869</v>
      </c>
      <c r="K1262" s="18"/>
      <c r="L1262" s="18" t="s">
        <v>3552</v>
      </c>
    </row>
    <row r="1263">
      <c r="A1263" s="18" t="s">
        <v>4871</v>
      </c>
      <c r="B1263" s="18" t="s">
        <v>791</v>
      </c>
      <c r="C1263" s="18" t="s">
        <v>4872</v>
      </c>
      <c r="D1263" s="18"/>
      <c r="E1263" s="24">
        <v>8.5259654152E10</v>
      </c>
      <c r="F1263" s="24">
        <v>1.0</v>
      </c>
      <c r="G1263" s="18" t="s">
        <v>4872</v>
      </c>
      <c r="H1263" s="18"/>
      <c r="I1263" s="24">
        <v>8.5259654152E10</v>
      </c>
      <c r="J1263" s="18" t="s">
        <v>4873</v>
      </c>
      <c r="K1263" s="18"/>
      <c r="L1263" s="18" t="s">
        <v>4874</v>
      </c>
    </row>
    <row r="1264">
      <c r="A1264" s="18" t="s">
        <v>4875</v>
      </c>
      <c r="B1264" s="18" t="s">
        <v>791</v>
      </c>
      <c r="C1264" s="18" t="s">
        <v>4876</v>
      </c>
      <c r="D1264" s="18"/>
      <c r="E1264" s="24">
        <v>8.1335760149E10</v>
      </c>
      <c r="F1264" s="24">
        <v>1.0</v>
      </c>
      <c r="G1264" s="18" t="s">
        <v>4876</v>
      </c>
      <c r="H1264" s="18"/>
      <c r="I1264" s="24">
        <v>8.1335760149E10</v>
      </c>
      <c r="J1264" s="18" t="s">
        <v>4877</v>
      </c>
      <c r="K1264" s="18"/>
      <c r="L1264" s="18" t="s">
        <v>2458</v>
      </c>
    </row>
    <row r="1265">
      <c r="A1265" s="18" t="s">
        <v>4878</v>
      </c>
      <c r="B1265" s="18" t="s">
        <v>791</v>
      </c>
      <c r="C1265" s="18" t="s">
        <v>4879</v>
      </c>
      <c r="D1265" s="18"/>
      <c r="E1265" s="24">
        <v>8.523362704E10</v>
      </c>
      <c r="F1265" s="24">
        <v>1.0</v>
      </c>
      <c r="G1265" s="18" t="s">
        <v>4879</v>
      </c>
      <c r="H1265" s="18"/>
      <c r="I1265" s="24">
        <v>8.523362704E10</v>
      </c>
      <c r="J1265" s="18" t="s">
        <v>4880</v>
      </c>
      <c r="K1265" s="18"/>
      <c r="L1265" s="18" t="s">
        <v>3721</v>
      </c>
    </row>
    <row r="1266">
      <c r="A1266" s="18" t="s">
        <v>4881</v>
      </c>
      <c r="B1266" s="18" t="s">
        <v>791</v>
      </c>
      <c r="C1266" s="18" t="s">
        <v>4882</v>
      </c>
      <c r="D1266" s="18"/>
      <c r="E1266" s="24">
        <v>8.5337321218E10</v>
      </c>
      <c r="F1266" s="24">
        <v>1.0</v>
      </c>
      <c r="G1266" s="18" t="s">
        <v>4882</v>
      </c>
      <c r="H1266" s="18"/>
      <c r="I1266" s="24">
        <v>8.5337321218E10</v>
      </c>
      <c r="J1266" s="18" t="s">
        <v>4883</v>
      </c>
      <c r="K1266" s="18"/>
      <c r="L1266" s="18" t="s">
        <v>3751</v>
      </c>
    </row>
    <row r="1267">
      <c r="A1267" s="18" t="s">
        <v>4884</v>
      </c>
      <c r="B1267" s="18" t="s">
        <v>791</v>
      </c>
      <c r="C1267" s="18" t="s">
        <v>4885</v>
      </c>
      <c r="D1267" s="18"/>
      <c r="E1267" s="18"/>
      <c r="F1267" s="24">
        <v>1.0</v>
      </c>
      <c r="G1267" s="18" t="s">
        <v>4885</v>
      </c>
      <c r="H1267" s="18"/>
      <c r="I1267" s="18"/>
      <c r="J1267" s="18" t="s">
        <v>4887</v>
      </c>
      <c r="K1267" s="18"/>
      <c r="L1267" s="18"/>
    </row>
    <row r="1268">
      <c r="A1268" s="18" t="s">
        <v>4888</v>
      </c>
      <c r="B1268" s="18" t="s">
        <v>791</v>
      </c>
      <c r="C1268" s="18" t="s">
        <v>4889</v>
      </c>
      <c r="D1268" s="18"/>
      <c r="E1268" s="24">
        <v>8.5103373232E10</v>
      </c>
      <c r="F1268" s="24">
        <v>1.0</v>
      </c>
      <c r="G1268" s="18" t="s">
        <v>4889</v>
      </c>
      <c r="H1268" s="18"/>
      <c r="I1268" s="24">
        <v>8.5103373232E10</v>
      </c>
      <c r="J1268" s="18" t="s">
        <v>4891</v>
      </c>
      <c r="K1268" s="18"/>
      <c r="L1268" s="18" t="s">
        <v>1519</v>
      </c>
    </row>
    <row r="1269">
      <c r="A1269" s="18" t="s">
        <v>4892</v>
      </c>
      <c r="B1269" s="18" t="s">
        <v>791</v>
      </c>
      <c r="C1269" s="18" t="s">
        <v>4893</v>
      </c>
      <c r="D1269" s="18"/>
      <c r="E1269" s="24">
        <v>8.2301858518E10</v>
      </c>
      <c r="F1269" s="24">
        <v>1.0</v>
      </c>
      <c r="G1269" s="18" t="s">
        <v>4893</v>
      </c>
      <c r="H1269" s="18"/>
      <c r="I1269" s="24">
        <v>8.2301858518E10</v>
      </c>
      <c r="J1269" s="18" t="s">
        <v>4894</v>
      </c>
      <c r="K1269" s="18"/>
      <c r="L1269" s="18" t="s">
        <v>1854</v>
      </c>
    </row>
    <row r="1270">
      <c r="A1270" s="18" t="s">
        <v>4895</v>
      </c>
      <c r="B1270" s="18" t="s">
        <v>791</v>
      </c>
      <c r="C1270" s="18" t="s">
        <v>4889</v>
      </c>
      <c r="D1270" s="18"/>
      <c r="E1270" s="24">
        <v>8.5730843531E10</v>
      </c>
      <c r="F1270" s="24">
        <v>1.0</v>
      </c>
      <c r="G1270" s="18" t="s">
        <v>4889</v>
      </c>
      <c r="H1270" s="18"/>
      <c r="I1270" s="24">
        <v>8.5730843531E10</v>
      </c>
      <c r="J1270" s="18" t="s">
        <v>4897</v>
      </c>
      <c r="K1270" s="18"/>
      <c r="L1270" s="18" t="s">
        <v>2308</v>
      </c>
    </row>
    <row r="1271">
      <c r="A1271" s="18" t="s">
        <v>4898</v>
      </c>
      <c r="B1271" s="18" t="s">
        <v>791</v>
      </c>
      <c r="C1271" s="18" t="s">
        <v>4899</v>
      </c>
      <c r="D1271" s="18"/>
      <c r="E1271" s="24">
        <v>8.5235630303E10</v>
      </c>
      <c r="F1271" s="24">
        <v>1.0</v>
      </c>
      <c r="G1271" s="18" t="s">
        <v>4899</v>
      </c>
      <c r="H1271" s="18"/>
      <c r="I1271" s="24">
        <v>8.5235630303E10</v>
      </c>
      <c r="J1271" s="18" t="s">
        <v>4900</v>
      </c>
      <c r="K1271" s="18"/>
      <c r="L1271" s="18" t="s">
        <v>1511</v>
      </c>
    </row>
    <row r="1272">
      <c r="A1272" s="18" t="s">
        <v>4901</v>
      </c>
      <c r="B1272" s="18" t="s">
        <v>791</v>
      </c>
      <c r="C1272" s="18" t="s">
        <v>4902</v>
      </c>
      <c r="D1272" s="18"/>
      <c r="E1272" s="24">
        <v>8.5645814004E10</v>
      </c>
      <c r="F1272" s="24">
        <v>1.0</v>
      </c>
      <c r="G1272" s="18" t="s">
        <v>4902</v>
      </c>
      <c r="H1272" s="18"/>
      <c r="I1272" s="24">
        <v>8.5645814004E10</v>
      </c>
      <c r="J1272" s="18" t="s">
        <v>4903</v>
      </c>
      <c r="K1272" s="18"/>
      <c r="L1272" s="18" t="s">
        <v>2843</v>
      </c>
    </row>
    <row r="1273">
      <c r="A1273" s="18" t="s">
        <v>4904</v>
      </c>
      <c r="B1273" s="18" t="s">
        <v>791</v>
      </c>
      <c r="C1273" s="18" t="s">
        <v>4905</v>
      </c>
      <c r="D1273" s="18"/>
      <c r="E1273" s="24">
        <v>8.2137436753E10</v>
      </c>
      <c r="F1273" s="24">
        <v>1.0</v>
      </c>
      <c r="G1273" s="18" t="s">
        <v>4905</v>
      </c>
      <c r="H1273" s="18"/>
      <c r="I1273" s="24">
        <v>8.2137436753E10</v>
      </c>
      <c r="J1273" s="18" t="s">
        <v>4906</v>
      </c>
      <c r="K1273" s="18"/>
      <c r="L1273" s="18" t="s">
        <v>2339</v>
      </c>
    </row>
    <row r="1274">
      <c r="A1274" s="18" t="s">
        <v>4907</v>
      </c>
      <c r="B1274" s="18" t="s">
        <v>791</v>
      </c>
      <c r="C1274" s="18" t="s">
        <v>4908</v>
      </c>
      <c r="D1274" s="18"/>
      <c r="E1274" s="24">
        <v>8.19732922E8</v>
      </c>
      <c r="F1274" s="24">
        <v>1.0</v>
      </c>
      <c r="G1274" s="18" t="s">
        <v>4908</v>
      </c>
      <c r="H1274" s="18"/>
      <c r="I1274" s="24">
        <v>8.19732922E8</v>
      </c>
      <c r="J1274" s="18" t="s">
        <v>4909</v>
      </c>
      <c r="K1274" s="18"/>
      <c r="L1274" s="18" t="s">
        <v>2189</v>
      </c>
    </row>
    <row r="1275">
      <c r="A1275" s="18" t="s">
        <v>4910</v>
      </c>
      <c r="B1275" s="18" t="s">
        <v>791</v>
      </c>
      <c r="C1275" s="18" t="s">
        <v>4911</v>
      </c>
      <c r="D1275" s="18"/>
      <c r="E1275" s="24">
        <v>8.3116606211E10</v>
      </c>
      <c r="F1275" s="24">
        <v>1.0</v>
      </c>
      <c r="G1275" s="18" t="s">
        <v>4911</v>
      </c>
      <c r="H1275" s="18"/>
      <c r="I1275" s="24">
        <v>8.3116606211E10</v>
      </c>
      <c r="J1275" s="18" t="s">
        <v>4913</v>
      </c>
      <c r="K1275" s="18"/>
      <c r="L1275" s="18" t="s">
        <v>4914</v>
      </c>
    </row>
    <row r="1276">
      <c r="A1276" s="18" t="s">
        <v>4915</v>
      </c>
      <c r="B1276" s="18" t="s">
        <v>791</v>
      </c>
      <c r="C1276" s="18" t="s">
        <v>4916</v>
      </c>
      <c r="D1276" s="18"/>
      <c r="E1276" s="24">
        <v>8.2132190159E10</v>
      </c>
      <c r="F1276" s="24">
        <v>1.0</v>
      </c>
      <c r="G1276" s="18" t="s">
        <v>4916</v>
      </c>
      <c r="H1276" s="18"/>
      <c r="I1276" s="24">
        <v>8.2132190159E10</v>
      </c>
      <c r="J1276" s="18" t="s">
        <v>4917</v>
      </c>
      <c r="K1276" s="18"/>
      <c r="L1276" s="18" t="s">
        <v>1681</v>
      </c>
    </row>
    <row r="1277">
      <c r="A1277" s="18" t="s">
        <v>4918</v>
      </c>
      <c r="B1277" s="18" t="s">
        <v>791</v>
      </c>
      <c r="C1277" s="18" t="s">
        <v>4919</v>
      </c>
      <c r="D1277" s="18"/>
      <c r="E1277" s="24">
        <v>8.533547433E10</v>
      </c>
      <c r="F1277" s="24">
        <v>1.0</v>
      </c>
      <c r="G1277" s="18" t="s">
        <v>4919</v>
      </c>
      <c r="H1277" s="18"/>
      <c r="I1277" s="24">
        <v>8.533547433E10</v>
      </c>
      <c r="J1277" s="18" t="s">
        <v>4921</v>
      </c>
      <c r="K1277" s="18"/>
      <c r="L1277" s="18" t="s">
        <v>2269</v>
      </c>
    </row>
    <row r="1278">
      <c r="A1278" s="18" t="s">
        <v>4922</v>
      </c>
      <c r="B1278" s="18" t="s">
        <v>791</v>
      </c>
      <c r="C1278" s="18" t="s">
        <v>4923</v>
      </c>
      <c r="D1278" s="18"/>
      <c r="E1278" s="18"/>
      <c r="F1278" s="24">
        <v>1.0</v>
      </c>
      <c r="G1278" s="18" t="s">
        <v>4923</v>
      </c>
      <c r="H1278" s="18"/>
      <c r="I1278" s="18"/>
      <c r="J1278" s="18" t="s">
        <v>4924</v>
      </c>
      <c r="K1278" s="18"/>
      <c r="L1278" s="18"/>
    </row>
    <row r="1279">
      <c r="A1279" s="18" t="s">
        <v>4925</v>
      </c>
      <c r="B1279" s="18" t="s">
        <v>791</v>
      </c>
      <c r="C1279" s="18" t="s">
        <v>4926</v>
      </c>
      <c r="D1279" s="18"/>
      <c r="E1279" s="24">
        <v>8.5233685156E10</v>
      </c>
      <c r="F1279" s="24">
        <v>1.0</v>
      </c>
      <c r="G1279" s="18" t="s">
        <v>4926</v>
      </c>
      <c r="H1279" s="18"/>
      <c r="I1279" s="24">
        <v>8.5233685156E10</v>
      </c>
      <c r="J1279" s="18" t="s">
        <v>4928</v>
      </c>
      <c r="K1279" s="18"/>
      <c r="L1279" s="18" t="s">
        <v>4776</v>
      </c>
    </row>
    <row r="1280">
      <c r="A1280" s="18" t="s">
        <v>4929</v>
      </c>
      <c r="B1280" s="18" t="s">
        <v>791</v>
      </c>
      <c r="C1280" s="18" t="s">
        <v>4930</v>
      </c>
      <c r="D1280" s="18"/>
      <c r="E1280" s="24">
        <v>8.5649005844E10</v>
      </c>
      <c r="F1280" s="24">
        <v>1.0</v>
      </c>
      <c r="G1280" s="18" t="s">
        <v>4930</v>
      </c>
      <c r="H1280" s="18"/>
      <c r="I1280" s="24">
        <v>8.5649005844E10</v>
      </c>
      <c r="J1280" s="18" t="s">
        <v>4931</v>
      </c>
      <c r="K1280" s="18"/>
      <c r="L1280" s="18" t="s">
        <v>4932</v>
      </c>
    </row>
    <row r="1281">
      <c r="A1281" s="18" t="s">
        <v>4933</v>
      </c>
      <c r="B1281" s="18" t="s">
        <v>791</v>
      </c>
      <c r="C1281" s="18" t="s">
        <v>4934</v>
      </c>
      <c r="D1281" s="18"/>
      <c r="E1281" s="24">
        <v>8.2245409733E10</v>
      </c>
      <c r="F1281" s="24">
        <v>1.0</v>
      </c>
      <c r="G1281" s="18" t="s">
        <v>4934</v>
      </c>
      <c r="H1281" s="18"/>
      <c r="I1281" s="24">
        <v>8.2245409733E10</v>
      </c>
      <c r="J1281" s="18" t="s">
        <v>4936</v>
      </c>
      <c r="K1281" s="18"/>
      <c r="L1281" s="18" t="s">
        <v>1503</v>
      </c>
    </row>
    <row r="1282">
      <c r="A1282" s="18" t="s">
        <v>4937</v>
      </c>
      <c r="B1282" s="18" t="s">
        <v>791</v>
      </c>
      <c r="C1282" s="18" t="s">
        <v>4938</v>
      </c>
      <c r="D1282" s="18"/>
      <c r="E1282" s="18"/>
      <c r="F1282" s="24">
        <v>1.0</v>
      </c>
      <c r="G1282" s="18" t="s">
        <v>4938</v>
      </c>
      <c r="H1282" s="18"/>
      <c r="I1282" s="18"/>
      <c r="J1282" s="18" t="s">
        <v>4939</v>
      </c>
      <c r="K1282" s="18"/>
      <c r="L1282" s="18"/>
    </row>
    <row r="1283">
      <c r="A1283" s="18" t="s">
        <v>4940</v>
      </c>
      <c r="B1283" s="18" t="s">
        <v>791</v>
      </c>
      <c r="C1283" s="18" t="s">
        <v>4942</v>
      </c>
      <c r="D1283" s="18"/>
      <c r="E1283" s="24">
        <v>8.5204514478E10</v>
      </c>
      <c r="F1283" s="24">
        <v>1.0</v>
      </c>
      <c r="G1283" s="18" t="s">
        <v>4942</v>
      </c>
      <c r="H1283" s="18"/>
      <c r="I1283" s="24">
        <v>8.5204514478E10</v>
      </c>
      <c r="J1283" s="18" t="s">
        <v>4943</v>
      </c>
      <c r="K1283" s="18"/>
      <c r="L1283" s="18" t="s">
        <v>4944</v>
      </c>
    </row>
    <row r="1284">
      <c r="A1284" s="18" t="s">
        <v>4945</v>
      </c>
      <c r="B1284" s="18" t="s">
        <v>791</v>
      </c>
      <c r="C1284" s="18" t="s">
        <v>4946</v>
      </c>
      <c r="D1284" s="18"/>
      <c r="E1284" s="24">
        <v>8.2335164088E10</v>
      </c>
      <c r="F1284" s="24">
        <v>1.0</v>
      </c>
      <c r="G1284" s="18" t="s">
        <v>4946</v>
      </c>
      <c r="H1284" s="18"/>
      <c r="I1284" s="24">
        <v>8.2335164088E10</v>
      </c>
      <c r="J1284" s="18" t="s">
        <v>4947</v>
      </c>
      <c r="K1284" s="18"/>
      <c r="L1284" s="18" t="s">
        <v>4949</v>
      </c>
    </row>
    <row r="1285">
      <c r="A1285" s="18" t="s">
        <v>4950</v>
      </c>
      <c r="B1285" s="18" t="s">
        <v>791</v>
      </c>
      <c r="C1285" s="18" t="s">
        <v>4951</v>
      </c>
      <c r="D1285" s="18"/>
      <c r="E1285" s="24">
        <v>8.2141746854E10</v>
      </c>
      <c r="F1285" s="24">
        <v>1.0</v>
      </c>
      <c r="G1285" s="18" t="s">
        <v>4951</v>
      </c>
      <c r="H1285" s="18"/>
      <c r="I1285" s="24">
        <v>8.2141746854E10</v>
      </c>
      <c r="J1285" s="18" t="s">
        <v>4677</v>
      </c>
      <c r="K1285" s="18"/>
      <c r="L1285" s="18" t="s">
        <v>4952</v>
      </c>
    </row>
    <row r="1286">
      <c r="A1286" s="18" t="s">
        <v>4953</v>
      </c>
      <c r="B1286" s="18" t="s">
        <v>791</v>
      </c>
      <c r="C1286" s="18" t="s">
        <v>4955</v>
      </c>
      <c r="D1286" s="18"/>
      <c r="E1286" s="24">
        <v>8.5749506287E10</v>
      </c>
      <c r="F1286" s="24">
        <v>1.0</v>
      </c>
      <c r="G1286" s="18" t="s">
        <v>4955</v>
      </c>
      <c r="H1286" s="18"/>
      <c r="I1286" s="24">
        <v>8.5749506287E10</v>
      </c>
      <c r="J1286" s="18" t="s">
        <v>4956</v>
      </c>
      <c r="K1286" s="18"/>
      <c r="L1286" s="18" t="s">
        <v>4380</v>
      </c>
    </row>
    <row r="1287">
      <c r="A1287" s="18" t="s">
        <v>4957</v>
      </c>
      <c r="B1287" s="18" t="s">
        <v>791</v>
      </c>
      <c r="C1287" s="18" t="s">
        <v>4958</v>
      </c>
      <c r="D1287" s="18"/>
      <c r="E1287" s="18"/>
      <c r="F1287" s="24">
        <v>1.0</v>
      </c>
      <c r="G1287" s="18" t="s">
        <v>4958</v>
      </c>
      <c r="H1287" s="18"/>
      <c r="I1287" s="18"/>
      <c r="J1287" s="18" t="s">
        <v>4959</v>
      </c>
      <c r="K1287" s="18"/>
      <c r="L1287" s="18"/>
    </row>
    <row r="1288">
      <c r="A1288" s="18" t="s">
        <v>4960</v>
      </c>
      <c r="B1288" s="18" t="s">
        <v>791</v>
      </c>
      <c r="C1288" s="18" t="s">
        <v>4958</v>
      </c>
      <c r="D1288" s="18"/>
      <c r="E1288" s="24">
        <v>8.58124772551E11</v>
      </c>
      <c r="F1288" s="24">
        <v>1.0</v>
      </c>
      <c r="G1288" s="18" t="s">
        <v>4958</v>
      </c>
      <c r="H1288" s="18"/>
      <c r="I1288" s="24">
        <v>8.58124772551E11</v>
      </c>
      <c r="J1288" s="18" t="s">
        <v>4961</v>
      </c>
      <c r="K1288" s="18"/>
      <c r="L1288" s="18" t="s">
        <v>4962</v>
      </c>
    </row>
    <row r="1289">
      <c r="A1289" s="18" t="s">
        <v>4963</v>
      </c>
      <c r="B1289" s="18" t="s">
        <v>791</v>
      </c>
      <c r="C1289" s="18" t="s">
        <v>4958</v>
      </c>
      <c r="D1289" s="18"/>
      <c r="E1289" s="24">
        <v>8.5648616315E10</v>
      </c>
      <c r="F1289" s="24">
        <v>1.0</v>
      </c>
      <c r="G1289" s="18" t="s">
        <v>4958</v>
      </c>
      <c r="H1289" s="18"/>
      <c r="I1289" s="24">
        <v>8.5648616315E10</v>
      </c>
      <c r="J1289" s="18" t="s">
        <v>4964</v>
      </c>
      <c r="K1289" s="18"/>
      <c r="L1289" s="18" t="s">
        <v>2991</v>
      </c>
    </row>
    <row r="1290">
      <c r="A1290" s="18" t="s">
        <v>4966</v>
      </c>
      <c r="B1290" s="18" t="s">
        <v>791</v>
      </c>
      <c r="C1290" s="18" t="s">
        <v>4967</v>
      </c>
      <c r="D1290" s="18"/>
      <c r="E1290" s="24">
        <v>8.1335706864E10</v>
      </c>
      <c r="F1290" s="24">
        <v>1.0</v>
      </c>
      <c r="G1290" s="18" t="s">
        <v>4967</v>
      </c>
      <c r="H1290" s="18"/>
      <c r="I1290" s="24">
        <v>8.1335706864E10</v>
      </c>
      <c r="J1290" s="18" t="s">
        <v>4968</v>
      </c>
      <c r="K1290" s="18"/>
      <c r="L1290" s="18" t="s">
        <v>2346</v>
      </c>
    </row>
    <row r="1291">
      <c r="A1291" s="18" t="s">
        <v>4969</v>
      </c>
      <c r="B1291" s="18" t="s">
        <v>791</v>
      </c>
      <c r="C1291" s="18" t="s">
        <v>4970</v>
      </c>
      <c r="D1291" s="18"/>
      <c r="E1291" s="24">
        <v>8.5235543827E10</v>
      </c>
      <c r="F1291" s="24">
        <v>1.0</v>
      </c>
      <c r="G1291" s="18" t="s">
        <v>4970</v>
      </c>
      <c r="H1291" s="18"/>
      <c r="I1291" s="24">
        <v>8.5235543827E10</v>
      </c>
      <c r="J1291" s="18" t="s">
        <v>4971</v>
      </c>
      <c r="K1291" s="18"/>
      <c r="L1291" s="18" t="s">
        <v>2358</v>
      </c>
    </row>
    <row r="1292">
      <c r="A1292" s="18" t="s">
        <v>4973</v>
      </c>
      <c r="B1292" s="18" t="s">
        <v>791</v>
      </c>
      <c r="C1292" s="18" t="s">
        <v>4974</v>
      </c>
      <c r="D1292" s="18"/>
      <c r="E1292" s="24">
        <v>8.5735622614E10</v>
      </c>
      <c r="F1292" s="24">
        <v>1.0</v>
      </c>
      <c r="G1292" s="18" t="s">
        <v>4974</v>
      </c>
      <c r="H1292" s="18" t="s">
        <v>1256</v>
      </c>
      <c r="I1292" s="24">
        <v>8.5735622614E10</v>
      </c>
      <c r="J1292" s="18" t="s">
        <v>4975</v>
      </c>
      <c r="K1292" s="18" t="s">
        <v>4975</v>
      </c>
      <c r="L1292" s="18" t="s">
        <v>4977</v>
      </c>
    </row>
    <row r="1293">
      <c r="A1293" s="18" t="s">
        <v>4978</v>
      </c>
      <c r="B1293" s="18" t="s">
        <v>791</v>
      </c>
      <c r="C1293" s="18" t="s">
        <v>4974</v>
      </c>
      <c r="D1293" s="18"/>
      <c r="E1293" s="24">
        <v>8.5100676445E10</v>
      </c>
      <c r="F1293" s="24">
        <v>1.0</v>
      </c>
      <c r="G1293" s="18" t="s">
        <v>4974</v>
      </c>
      <c r="H1293" s="18"/>
      <c r="I1293" s="24">
        <v>8.5100676445E10</v>
      </c>
      <c r="J1293" s="18" t="s">
        <v>4979</v>
      </c>
      <c r="K1293" s="18"/>
      <c r="L1293" s="18" t="s">
        <v>4980</v>
      </c>
    </row>
    <row r="1294">
      <c r="A1294" s="18" t="s">
        <v>4981</v>
      </c>
      <c r="B1294" s="18" t="s">
        <v>791</v>
      </c>
      <c r="C1294" s="18" t="s">
        <v>4982</v>
      </c>
      <c r="D1294" s="18"/>
      <c r="E1294" s="24">
        <v>8.5100341426E10</v>
      </c>
      <c r="F1294" s="24">
        <v>1.0</v>
      </c>
      <c r="G1294" s="18" t="s">
        <v>4982</v>
      </c>
      <c r="H1294" s="18"/>
      <c r="I1294" s="24">
        <v>8.5100341426E10</v>
      </c>
      <c r="J1294" s="18" t="s">
        <v>4983</v>
      </c>
      <c r="K1294" s="18"/>
      <c r="L1294" s="18" t="s">
        <v>3610</v>
      </c>
    </row>
    <row r="1295">
      <c r="A1295" s="18" t="s">
        <v>4984</v>
      </c>
      <c r="B1295" s="18" t="s">
        <v>791</v>
      </c>
      <c r="C1295" s="18" t="s">
        <v>4985</v>
      </c>
      <c r="D1295" s="18"/>
      <c r="E1295" s="24">
        <v>8.134556766E10</v>
      </c>
      <c r="F1295" s="24">
        <v>1.0</v>
      </c>
      <c r="G1295" s="18" t="s">
        <v>4985</v>
      </c>
      <c r="H1295" s="18"/>
      <c r="I1295" s="24">
        <v>8.134556766E10</v>
      </c>
      <c r="J1295" s="18" t="s">
        <v>4987</v>
      </c>
      <c r="K1295" s="18"/>
      <c r="L1295" s="18" t="s">
        <v>3367</v>
      </c>
    </row>
    <row r="1296">
      <c r="A1296" s="18" t="s">
        <v>4988</v>
      </c>
      <c r="B1296" s="18" t="s">
        <v>791</v>
      </c>
      <c r="C1296" s="18" t="s">
        <v>4989</v>
      </c>
      <c r="D1296" s="18"/>
      <c r="E1296" s="24">
        <v>8.1232023458E10</v>
      </c>
      <c r="F1296" s="24">
        <v>1.0</v>
      </c>
      <c r="G1296" s="18" t="s">
        <v>4989</v>
      </c>
      <c r="H1296" s="18"/>
      <c r="I1296" s="24">
        <v>8.1232023458E10</v>
      </c>
      <c r="J1296" s="18" t="s">
        <v>4990</v>
      </c>
      <c r="K1296" s="18"/>
      <c r="L1296" s="18" t="s">
        <v>4992</v>
      </c>
    </row>
    <row r="1297">
      <c r="A1297" s="18" t="s">
        <v>4993</v>
      </c>
      <c r="B1297" s="18" t="s">
        <v>791</v>
      </c>
      <c r="C1297" s="18" t="s">
        <v>4994</v>
      </c>
      <c r="D1297" s="18"/>
      <c r="E1297" s="24">
        <v>8.5235256947E10</v>
      </c>
      <c r="F1297" s="24">
        <v>1.0</v>
      </c>
      <c r="G1297" s="18" t="s">
        <v>4994</v>
      </c>
      <c r="H1297" s="18"/>
      <c r="I1297" s="24">
        <v>8.5235256947E10</v>
      </c>
      <c r="J1297" s="18" t="s">
        <v>4995</v>
      </c>
      <c r="K1297" s="18"/>
      <c r="L1297" s="18" t="s">
        <v>2689</v>
      </c>
    </row>
    <row r="1298">
      <c r="A1298" s="18" t="s">
        <v>4996</v>
      </c>
      <c r="B1298" s="18" t="s">
        <v>791</v>
      </c>
      <c r="C1298" s="18" t="s">
        <v>4998</v>
      </c>
      <c r="D1298" s="18"/>
      <c r="E1298" s="24">
        <v>8.1459114506E10</v>
      </c>
      <c r="F1298" s="24">
        <v>1.0</v>
      </c>
      <c r="G1298" s="18" t="s">
        <v>4998</v>
      </c>
      <c r="H1298" s="18"/>
      <c r="I1298" s="24">
        <v>8.1459114506E10</v>
      </c>
      <c r="J1298" s="18" t="s">
        <v>4999</v>
      </c>
      <c r="K1298" s="18"/>
      <c r="L1298" s="18" t="s">
        <v>3642</v>
      </c>
    </row>
    <row r="1299">
      <c r="A1299" s="18" t="s">
        <v>5000</v>
      </c>
      <c r="B1299" s="18" t="s">
        <v>791</v>
      </c>
      <c r="C1299" s="18" t="s">
        <v>5002</v>
      </c>
      <c r="D1299" s="18"/>
      <c r="E1299" s="24">
        <v>8.510251935E10</v>
      </c>
      <c r="F1299" s="24">
        <v>1.0</v>
      </c>
      <c r="G1299" s="18" t="s">
        <v>5002</v>
      </c>
      <c r="H1299" s="18"/>
      <c r="I1299" s="24">
        <v>8.510251935E10</v>
      </c>
      <c r="J1299" s="18" t="s">
        <v>5003</v>
      </c>
      <c r="K1299" s="18"/>
      <c r="L1299" s="18" t="s">
        <v>2013</v>
      </c>
    </row>
    <row r="1300">
      <c r="A1300" s="18" t="s">
        <v>5004</v>
      </c>
      <c r="B1300" s="18" t="s">
        <v>791</v>
      </c>
      <c r="C1300" s="18" t="s">
        <v>4998</v>
      </c>
      <c r="D1300" s="18"/>
      <c r="E1300" s="24">
        <v>8.5259568016E10</v>
      </c>
      <c r="F1300" s="24">
        <v>1.0</v>
      </c>
      <c r="G1300" s="18" t="s">
        <v>4998</v>
      </c>
      <c r="H1300" s="18"/>
      <c r="I1300" s="24">
        <v>8.5259568016E10</v>
      </c>
      <c r="J1300" s="18" t="s">
        <v>5005</v>
      </c>
      <c r="K1300" s="18"/>
      <c r="L1300" s="18" t="s">
        <v>1996</v>
      </c>
    </row>
    <row r="1301">
      <c r="A1301" s="18" t="s">
        <v>5007</v>
      </c>
      <c r="B1301" s="18" t="s">
        <v>791</v>
      </c>
      <c r="C1301" s="18" t="s">
        <v>5002</v>
      </c>
      <c r="D1301" s="18"/>
      <c r="E1301" s="24">
        <v>8.5736622942E10</v>
      </c>
      <c r="F1301" s="24">
        <v>1.0</v>
      </c>
      <c r="G1301" s="18" t="s">
        <v>5002</v>
      </c>
      <c r="H1301" s="18"/>
      <c r="I1301" s="24">
        <v>8.5736622942E10</v>
      </c>
      <c r="J1301" s="18" t="s">
        <v>5009</v>
      </c>
      <c r="K1301" s="18"/>
      <c r="L1301" s="18" t="s">
        <v>4795</v>
      </c>
    </row>
    <row r="1302">
      <c r="A1302" s="18" t="s">
        <v>5010</v>
      </c>
      <c r="B1302" s="18" t="s">
        <v>791</v>
      </c>
      <c r="C1302" s="18" t="s">
        <v>5011</v>
      </c>
      <c r="D1302" s="18"/>
      <c r="E1302" s="24">
        <v>8.5790364718E10</v>
      </c>
      <c r="F1302" s="24">
        <v>1.0</v>
      </c>
      <c r="G1302" s="18" t="s">
        <v>5011</v>
      </c>
      <c r="H1302" s="18"/>
      <c r="I1302" s="24">
        <v>8.5790364718E10</v>
      </c>
      <c r="J1302" s="18" t="s">
        <v>5012</v>
      </c>
      <c r="K1302" s="18"/>
      <c r="L1302" s="18" t="s">
        <v>3993</v>
      </c>
    </row>
    <row r="1303">
      <c r="A1303" s="18" t="s">
        <v>5013</v>
      </c>
      <c r="B1303" s="18" t="s">
        <v>791</v>
      </c>
      <c r="C1303" s="18" t="s">
        <v>5014</v>
      </c>
      <c r="D1303" s="18"/>
      <c r="E1303" s="24">
        <v>8.58124772551E11</v>
      </c>
      <c r="F1303" s="24">
        <v>1.0</v>
      </c>
      <c r="G1303" s="18" t="s">
        <v>5014</v>
      </c>
      <c r="H1303" s="18"/>
      <c r="I1303" s="24">
        <v>8.58124772551E11</v>
      </c>
      <c r="J1303" s="18" t="s">
        <v>5016</v>
      </c>
      <c r="K1303" s="18"/>
      <c r="L1303" s="18" t="s">
        <v>4962</v>
      </c>
    </row>
    <row r="1304">
      <c r="A1304" s="18" t="s">
        <v>5017</v>
      </c>
      <c r="B1304" s="18" t="s">
        <v>791</v>
      </c>
      <c r="C1304" s="18" t="s">
        <v>5018</v>
      </c>
      <c r="D1304" s="18"/>
      <c r="E1304" s="24">
        <v>8.564584087E10</v>
      </c>
      <c r="F1304" s="24">
        <v>1.0</v>
      </c>
      <c r="G1304" s="18" t="s">
        <v>5018</v>
      </c>
      <c r="H1304" s="18"/>
      <c r="I1304" s="24">
        <v>8.564584087E10</v>
      </c>
      <c r="J1304" s="18" t="s">
        <v>5019</v>
      </c>
      <c r="K1304" s="18"/>
      <c r="L1304" s="18" t="s">
        <v>2994</v>
      </c>
    </row>
    <row r="1305">
      <c r="A1305" s="18" t="s">
        <v>5020</v>
      </c>
      <c r="B1305" s="18" t="s">
        <v>791</v>
      </c>
      <c r="C1305" s="18" t="s">
        <v>5021</v>
      </c>
      <c r="D1305" s="18"/>
      <c r="E1305" s="24">
        <v>8.1252386006E10</v>
      </c>
      <c r="F1305" s="24">
        <v>1.0</v>
      </c>
      <c r="G1305" s="18" t="s">
        <v>5021</v>
      </c>
      <c r="H1305" s="18"/>
      <c r="I1305" s="24">
        <v>8.1252386006E10</v>
      </c>
      <c r="J1305" s="18" t="s">
        <v>5022</v>
      </c>
      <c r="K1305" s="18"/>
      <c r="L1305" s="18" t="s">
        <v>5023</v>
      </c>
    </row>
    <row r="1306">
      <c r="A1306" s="18" t="s">
        <v>5024</v>
      </c>
      <c r="B1306" s="18" t="s">
        <v>791</v>
      </c>
      <c r="C1306" s="18" t="s">
        <v>5025</v>
      </c>
      <c r="D1306" s="18"/>
      <c r="E1306" s="24">
        <v>8.15565894E10</v>
      </c>
      <c r="F1306" s="24">
        <v>1.0</v>
      </c>
      <c r="G1306" s="18" t="s">
        <v>5025</v>
      </c>
      <c r="H1306" s="18"/>
      <c r="I1306" s="24">
        <v>8.15565894E10</v>
      </c>
      <c r="J1306" s="18" t="s">
        <v>5026</v>
      </c>
      <c r="K1306" s="18"/>
      <c r="L1306" s="18" t="s">
        <v>5027</v>
      </c>
    </row>
    <row r="1307">
      <c r="A1307" s="18" t="s">
        <v>5028</v>
      </c>
      <c r="B1307" s="18" t="s">
        <v>791</v>
      </c>
      <c r="C1307" s="18" t="s">
        <v>5029</v>
      </c>
      <c r="D1307" s="18" t="s">
        <v>1880</v>
      </c>
      <c r="E1307" s="24">
        <v>8.5708503289E10</v>
      </c>
      <c r="F1307" s="24">
        <v>1.0</v>
      </c>
      <c r="G1307" s="18" t="s">
        <v>5029</v>
      </c>
      <c r="H1307" s="18" t="s">
        <v>1880</v>
      </c>
      <c r="I1307" s="24">
        <v>8.5708503289E10</v>
      </c>
      <c r="J1307" s="18" t="s">
        <v>5030</v>
      </c>
      <c r="K1307" s="18" t="s">
        <v>5030</v>
      </c>
      <c r="L1307" s="18" t="s">
        <v>5031</v>
      </c>
    </row>
    <row r="1308">
      <c r="A1308" s="18" t="s">
        <v>5032</v>
      </c>
      <c r="B1308" s="18" t="s">
        <v>791</v>
      </c>
      <c r="C1308" s="18" t="s">
        <v>5033</v>
      </c>
      <c r="D1308" s="18"/>
      <c r="E1308" s="24">
        <v>8.1359556087E10</v>
      </c>
      <c r="F1308" s="24">
        <v>1.0</v>
      </c>
      <c r="G1308" s="18" t="s">
        <v>5033</v>
      </c>
      <c r="H1308" s="18"/>
      <c r="I1308" s="24">
        <v>8.1359556087E10</v>
      </c>
      <c r="J1308" s="18" t="s">
        <v>5034</v>
      </c>
      <c r="K1308" s="18"/>
      <c r="L1308" s="18" t="s">
        <v>1549</v>
      </c>
    </row>
    <row r="1309">
      <c r="A1309" s="18" t="s">
        <v>5035</v>
      </c>
      <c r="B1309" s="18" t="s">
        <v>791</v>
      </c>
      <c r="C1309" s="18" t="s">
        <v>5036</v>
      </c>
      <c r="D1309" s="18"/>
      <c r="E1309" s="24">
        <v>8.133575526E10</v>
      </c>
      <c r="F1309" s="24">
        <v>1.0</v>
      </c>
      <c r="G1309" s="18" t="s">
        <v>5036</v>
      </c>
      <c r="H1309" s="18"/>
      <c r="I1309" s="24">
        <v>8.133575526E10</v>
      </c>
      <c r="J1309" s="18" t="s">
        <v>5037</v>
      </c>
      <c r="K1309" s="18"/>
      <c r="L1309" s="18" t="s">
        <v>2142</v>
      </c>
    </row>
    <row r="1310">
      <c r="A1310" s="18" t="s">
        <v>5038</v>
      </c>
      <c r="B1310" s="18" t="s">
        <v>791</v>
      </c>
      <c r="C1310" s="18" t="s">
        <v>5040</v>
      </c>
      <c r="D1310" s="18"/>
      <c r="E1310" s="24">
        <v>8.5259855444E10</v>
      </c>
      <c r="F1310" s="24">
        <v>1.0</v>
      </c>
      <c r="G1310" s="18" t="s">
        <v>5040</v>
      </c>
      <c r="H1310" s="18"/>
      <c r="I1310" s="24">
        <v>8.5259855444E10</v>
      </c>
      <c r="J1310" s="18" t="s">
        <v>5041</v>
      </c>
      <c r="K1310" s="18"/>
      <c r="L1310" s="18" t="s">
        <v>5042</v>
      </c>
    </row>
    <row r="1311">
      <c r="A1311" s="18" t="s">
        <v>5043</v>
      </c>
      <c r="B1311" s="18" t="s">
        <v>791</v>
      </c>
      <c r="C1311" s="18" t="s">
        <v>5044</v>
      </c>
      <c r="D1311" s="18"/>
      <c r="E1311" s="24">
        <v>8.1336178537E10</v>
      </c>
      <c r="F1311" s="24">
        <v>1.0</v>
      </c>
      <c r="G1311" s="18" t="s">
        <v>5044</v>
      </c>
      <c r="H1311" s="18"/>
      <c r="I1311" s="24">
        <v>8.1336178537E10</v>
      </c>
      <c r="J1311" s="18" t="s">
        <v>5045</v>
      </c>
      <c r="K1311" s="18"/>
      <c r="L1311" s="18" t="s">
        <v>5046</v>
      </c>
    </row>
    <row r="1312">
      <c r="A1312" s="18" t="s">
        <v>5047</v>
      </c>
      <c r="B1312" s="18" t="s">
        <v>791</v>
      </c>
      <c r="C1312" s="18" t="s">
        <v>5048</v>
      </c>
      <c r="D1312" s="18"/>
      <c r="E1312" s="24">
        <v>-1.0</v>
      </c>
      <c r="F1312" s="24">
        <v>1.0</v>
      </c>
      <c r="G1312" s="18" t="s">
        <v>5048</v>
      </c>
      <c r="H1312" s="18"/>
      <c r="I1312" s="24">
        <v>-1.0</v>
      </c>
      <c r="J1312" s="18" t="s">
        <v>5050</v>
      </c>
      <c r="K1312" s="18"/>
      <c r="L1312" s="18" t="s">
        <v>2269</v>
      </c>
    </row>
    <row r="1313">
      <c r="A1313" s="18" t="s">
        <v>5051</v>
      </c>
      <c r="B1313" s="18" t="s">
        <v>791</v>
      </c>
      <c r="C1313" s="18" t="s">
        <v>5052</v>
      </c>
      <c r="D1313" s="18"/>
      <c r="E1313" s="24">
        <v>8.5259908247E10</v>
      </c>
      <c r="F1313" s="24">
        <v>1.0</v>
      </c>
      <c r="G1313" s="18" t="s">
        <v>5052</v>
      </c>
      <c r="H1313" s="18"/>
      <c r="I1313" s="24">
        <v>8.5259908247E10</v>
      </c>
      <c r="J1313" s="18" t="s">
        <v>5053</v>
      </c>
      <c r="K1313" s="18"/>
      <c r="L1313" s="18" t="s">
        <v>3068</v>
      </c>
    </row>
    <row r="1314">
      <c r="A1314" s="18" t="s">
        <v>5054</v>
      </c>
      <c r="B1314" s="18" t="s">
        <v>791</v>
      </c>
      <c r="C1314" s="18" t="s">
        <v>5055</v>
      </c>
      <c r="D1314" s="18"/>
      <c r="E1314" s="24">
        <v>8.533445792E10</v>
      </c>
      <c r="F1314" s="24">
        <v>1.0</v>
      </c>
      <c r="G1314" s="18" t="s">
        <v>5055</v>
      </c>
      <c r="H1314" s="18"/>
      <c r="I1314" s="24">
        <v>8.533445792E10</v>
      </c>
      <c r="J1314" s="18" t="s">
        <v>5056</v>
      </c>
      <c r="K1314" s="18"/>
      <c r="L1314" s="18" t="s">
        <v>5057</v>
      </c>
    </row>
    <row r="1315">
      <c r="A1315" s="18" t="s">
        <v>5058</v>
      </c>
      <c r="B1315" s="18" t="s">
        <v>791</v>
      </c>
      <c r="C1315" s="18" t="s">
        <v>5059</v>
      </c>
      <c r="D1315" s="18"/>
      <c r="E1315" s="18"/>
      <c r="F1315" s="24">
        <v>1.0</v>
      </c>
      <c r="G1315" s="18" t="s">
        <v>5059</v>
      </c>
      <c r="H1315" s="18"/>
      <c r="I1315" s="18"/>
      <c r="J1315" s="18" t="s">
        <v>5060</v>
      </c>
      <c r="K1315" s="18"/>
      <c r="L1315" s="18"/>
    </row>
    <row r="1316">
      <c r="A1316" s="18" t="s">
        <v>5061</v>
      </c>
      <c r="B1316" s="18" t="s">
        <v>791</v>
      </c>
      <c r="C1316" s="18" t="s">
        <v>5062</v>
      </c>
      <c r="D1316" s="18"/>
      <c r="E1316" s="24">
        <v>8.573004391E10</v>
      </c>
      <c r="F1316" s="24">
        <v>1.0</v>
      </c>
      <c r="G1316" s="18" t="s">
        <v>5062</v>
      </c>
      <c r="H1316" s="18"/>
      <c r="I1316" s="24">
        <v>8.573004391E10</v>
      </c>
      <c r="J1316" s="18" t="s">
        <v>5063</v>
      </c>
      <c r="K1316" s="18"/>
      <c r="L1316" s="18" t="s">
        <v>2532</v>
      </c>
    </row>
    <row r="1317">
      <c r="A1317" s="18" t="s">
        <v>5065</v>
      </c>
      <c r="B1317" s="18" t="s">
        <v>791</v>
      </c>
      <c r="C1317" s="18" t="s">
        <v>5066</v>
      </c>
      <c r="D1317" s="18"/>
      <c r="E1317" s="24">
        <v>8.125904136E9</v>
      </c>
      <c r="F1317" s="24">
        <v>1.0</v>
      </c>
      <c r="G1317" s="18" t="s">
        <v>5066</v>
      </c>
      <c r="H1317" s="18"/>
      <c r="I1317" s="24">
        <v>8.125904136E9</v>
      </c>
      <c r="J1317" s="18" t="s">
        <v>5067</v>
      </c>
      <c r="K1317" s="18"/>
      <c r="L1317" s="18" t="s">
        <v>2125</v>
      </c>
    </row>
    <row r="1318">
      <c r="A1318" s="18" t="s">
        <v>5068</v>
      </c>
      <c r="B1318" s="18" t="s">
        <v>791</v>
      </c>
      <c r="C1318" s="18" t="s">
        <v>5066</v>
      </c>
      <c r="D1318" s="18"/>
      <c r="E1318" s="24">
        <v>8.2336841401E10</v>
      </c>
      <c r="F1318" s="24">
        <v>1.0</v>
      </c>
      <c r="G1318" s="18" t="s">
        <v>5066</v>
      </c>
      <c r="H1318" s="18"/>
      <c r="I1318" s="24">
        <v>8.2336841401E10</v>
      </c>
      <c r="J1318" s="18" t="s">
        <v>5069</v>
      </c>
      <c r="K1318" s="18"/>
      <c r="L1318" s="18" t="s">
        <v>1896</v>
      </c>
    </row>
    <row r="1319">
      <c r="A1319" s="18" t="s">
        <v>5071</v>
      </c>
      <c r="B1319" s="18" t="s">
        <v>791</v>
      </c>
      <c r="C1319" s="18" t="s">
        <v>5072</v>
      </c>
      <c r="D1319" s="18"/>
      <c r="E1319" s="24">
        <v>8.5235782242E10</v>
      </c>
      <c r="F1319" s="24">
        <v>1.0</v>
      </c>
      <c r="G1319" s="18" t="s">
        <v>5072</v>
      </c>
      <c r="H1319" s="18"/>
      <c r="I1319" s="24">
        <v>8.5235782242E10</v>
      </c>
      <c r="J1319" s="18" t="s">
        <v>5073</v>
      </c>
      <c r="K1319" s="18"/>
      <c r="L1319" s="18" t="s">
        <v>3286</v>
      </c>
    </row>
    <row r="1320">
      <c r="A1320" s="18" t="s">
        <v>5074</v>
      </c>
      <c r="B1320" s="18" t="s">
        <v>791</v>
      </c>
      <c r="C1320" s="18" t="s">
        <v>5075</v>
      </c>
      <c r="D1320" s="18"/>
      <c r="E1320" s="24">
        <v>8.5655633832E10</v>
      </c>
      <c r="F1320" s="24">
        <v>1.0</v>
      </c>
      <c r="G1320" s="18" t="s">
        <v>5075</v>
      </c>
      <c r="H1320" s="18"/>
      <c r="I1320" s="24">
        <v>8.5655633832E10</v>
      </c>
      <c r="J1320" s="18" t="s">
        <v>5076</v>
      </c>
      <c r="K1320" s="18"/>
      <c r="L1320" s="18" t="s">
        <v>3776</v>
      </c>
    </row>
    <row r="1321">
      <c r="A1321" s="18" t="s">
        <v>5077</v>
      </c>
      <c r="B1321" s="18" t="s">
        <v>791</v>
      </c>
      <c r="C1321" s="18" t="s">
        <v>5078</v>
      </c>
      <c r="D1321" s="18"/>
      <c r="E1321" s="24">
        <v>8.2141746854E10</v>
      </c>
      <c r="F1321" s="24">
        <v>1.0</v>
      </c>
      <c r="G1321" s="18" t="s">
        <v>5078</v>
      </c>
      <c r="H1321" s="18"/>
      <c r="I1321" s="24">
        <v>8.2141746854E10</v>
      </c>
      <c r="J1321" s="24">
        <v>3.52101100377E15</v>
      </c>
      <c r="K1321" s="18"/>
      <c r="L1321" s="18" t="s">
        <v>5079</v>
      </c>
    </row>
    <row r="1322">
      <c r="A1322" s="18" t="s">
        <v>5080</v>
      </c>
      <c r="B1322" s="18" t="s">
        <v>791</v>
      </c>
      <c r="C1322" s="18" t="s">
        <v>5081</v>
      </c>
      <c r="D1322" s="18"/>
      <c r="E1322" s="24">
        <v>8.5748519088E10</v>
      </c>
      <c r="F1322" s="24">
        <v>1.0</v>
      </c>
      <c r="G1322" s="18" t="s">
        <v>5081</v>
      </c>
      <c r="H1322" s="18"/>
      <c r="I1322" s="24">
        <v>8.5748519088E10</v>
      </c>
      <c r="J1322" s="18" t="s">
        <v>5082</v>
      </c>
      <c r="K1322" s="18"/>
      <c r="L1322" s="18" t="s">
        <v>1881</v>
      </c>
    </row>
    <row r="1323">
      <c r="A1323" s="18" t="s">
        <v>5083</v>
      </c>
      <c r="B1323" s="18" t="s">
        <v>791</v>
      </c>
      <c r="C1323" s="18" t="s">
        <v>5081</v>
      </c>
      <c r="D1323" s="18"/>
      <c r="E1323" s="24">
        <v>8.1249673469E10</v>
      </c>
      <c r="F1323" s="24">
        <v>1.0</v>
      </c>
      <c r="G1323" s="18" t="s">
        <v>5081</v>
      </c>
      <c r="H1323" s="18"/>
      <c r="I1323" s="24">
        <v>8.1249673469E10</v>
      </c>
      <c r="J1323" s="18" t="s">
        <v>5084</v>
      </c>
      <c r="K1323" s="18"/>
      <c r="L1323" s="18" t="s">
        <v>1830</v>
      </c>
    </row>
    <row r="1324">
      <c r="A1324" s="18" t="s">
        <v>5085</v>
      </c>
      <c r="B1324" s="18" t="s">
        <v>791</v>
      </c>
      <c r="C1324" s="18" t="s">
        <v>5081</v>
      </c>
      <c r="D1324" s="18"/>
      <c r="E1324" s="24">
        <v>8.1335663129E10</v>
      </c>
      <c r="F1324" s="24">
        <v>1.0</v>
      </c>
      <c r="G1324" s="18" t="s">
        <v>5081</v>
      </c>
      <c r="H1324" s="18"/>
      <c r="I1324" s="24">
        <v>8.1335663129E10</v>
      </c>
      <c r="J1324" s="18" t="s">
        <v>5086</v>
      </c>
      <c r="K1324" s="18"/>
      <c r="L1324" s="18" t="s">
        <v>1549</v>
      </c>
    </row>
    <row r="1325">
      <c r="A1325" s="18" t="s">
        <v>5087</v>
      </c>
      <c r="B1325" s="18" t="s">
        <v>791</v>
      </c>
      <c r="C1325" s="18" t="s">
        <v>5088</v>
      </c>
      <c r="D1325" s="18"/>
      <c r="E1325" s="24">
        <v>8.2262222073E10</v>
      </c>
      <c r="F1325" s="24">
        <v>1.0</v>
      </c>
      <c r="G1325" s="18" t="s">
        <v>5088</v>
      </c>
      <c r="H1325" s="18"/>
      <c r="I1325" s="24">
        <v>8.2262222073E10</v>
      </c>
      <c r="J1325" s="18" t="s">
        <v>5090</v>
      </c>
      <c r="K1325" s="18"/>
      <c r="L1325" s="18" t="s">
        <v>5091</v>
      </c>
    </row>
    <row r="1326">
      <c r="A1326" s="18" t="s">
        <v>5092</v>
      </c>
      <c r="B1326" s="18" t="s">
        <v>791</v>
      </c>
      <c r="C1326" s="18" t="s">
        <v>5093</v>
      </c>
      <c r="D1326" s="18"/>
      <c r="E1326" s="24">
        <v>8.5235543827E10</v>
      </c>
      <c r="F1326" s="24">
        <v>1.0</v>
      </c>
      <c r="G1326" s="18" t="s">
        <v>5093</v>
      </c>
      <c r="H1326" s="18"/>
      <c r="I1326" s="24">
        <v>8.5235543827E10</v>
      </c>
      <c r="J1326" s="18" t="s">
        <v>5094</v>
      </c>
      <c r="K1326" s="18"/>
      <c r="L1326" s="18" t="s">
        <v>2358</v>
      </c>
    </row>
    <row r="1327">
      <c r="A1327" s="18" t="s">
        <v>5095</v>
      </c>
      <c r="B1327" s="18" t="s">
        <v>791</v>
      </c>
      <c r="C1327" s="18" t="s">
        <v>5096</v>
      </c>
      <c r="D1327" s="18"/>
      <c r="E1327" s="24">
        <v>8.2331695666E10</v>
      </c>
      <c r="F1327" s="24">
        <v>1.0</v>
      </c>
      <c r="G1327" s="18" t="s">
        <v>5096</v>
      </c>
      <c r="H1327" s="18"/>
      <c r="I1327" s="24">
        <v>8.2331695666E10</v>
      </c>
      <c r="J1327" s="18" t="s">
        <v>5097</v>
      </c>
      <c r="K1327" s="18"/>
      <c r="L1327" s="18" t="s">
        <v>1958</v>
      </c>
    </row>
    <row r="1328">
      <c r="A1328" s="18" t="s">
        <v>5098</v>
      </c>
      <c r="B1328" s="18" t="s">
        <v>791</v>
      </c>
      <c r="C1328" s="18" t="s">
        <v>5099</v>
      </c>
      <c r="D1328" s="18"/>
      <c r="E1328" s="24">
        <v>8.2140520824E10</v>
      </c>
      <c r="F1328" s="24">
        <v>1.0</v>
      </c>
      <c r="G1328" s="18" t="s">
        <v>5099</v>
      </c>
      <c r="H1328" s="18"/>
      <c r="I1328" s="24">
        <v>8.2140520824E10</v>
      </c>
      <c r="J1328" s="18" t="s">
        <v>5100</v>
      </c>
      <c r="K1328" s="18"/>
      <c r="L1328" s="18" t="s">
        <v>3556</v>
      </c>
    </row>
    <row r="1329">
      <c r="A1329" s="18" t="s">
        <v>5101</v>
      </c>
      <c r="B1329" s="18" t="s">
        <v>791</v>
      </c>
      <c r="C1329" s="18" t="s">
        <v>5102</v>
      </c>
      <c r="D1329" s="18"/>
      <c r="E1329" s="24">
        <v>8.1249434025E10</v>
      </c>
      <c r="F1329" s="24">
        <v>1.0</v>
      </c>
      <c r="G1329" s="18" t="s">
        <v>5102</v>
      </c>
      <c r="H1329" s="18"/>
      <c r="I1329" s="24">
        <v>8.1249434025E10</v>
      </c>
      <c r="J1329" s="18" t="s">
        <v>5103</v>
      </c>
      <c r="K1329" s="18"/>
      <c r="L1329" s="18" t="s">
        <v>1806</v>
      </c>
    </row>
    <row r="1330">
      <c r="A1330" s="18" t="s">
        <v>5104</v>
      </c>
      <c r="B1330" s="18" t="s">
        <v>791</v>
      </c>
      <c r="C1330" s="18" t="s">
        <v>5105</v>
      </c>
      <c r="D1330" s="18"/>
      <c r="E1330" s="24">
        <v>8.5303510261E10</v>
      </c>
      <c r="F1330" s="24">
        <v>1.0</v>
      </c>
      <c r="G1330" s="18" t="s">
        <v>5105</v>
      </c>
      <c r="H1330" s="18"/>
      <c r="I1330" s="24">
        <v>8.5303510261E10</v>
      </c>
      <c r="J1330" s="18" t="s">
        <v>5106</v>
      </c>
      <c r="K1330" s="18"/>
      <c r="L1330" s="18" t="s">
        <v>1493</v>
      </c>
    </row>
    <row r="1331">
      <c r="A1331" s="18" t="s">
        <v>5107</v>
      </c>
      <c r="B1331" s="18" t="s">
        <v>791</v>
      </c>
      <c r="C1331" s="18" t="s">
        <v>5108</v>
      </c>
      <c r="D1331" s="18"/>
      <c r="E1331" s="24">
        <v>8.5235052947E10</v>
      </c>
      <c r="F1331" s="24">
        <v>1.0</v>
      </c>
      <c r="G1331" s="18" t="s">
        <v>5108</v>
      </c>
      <c r="H1331" s="18"/>
      <c r="I1331" s="24">
        <v>8.5235052947E10</v>
      </c>
      <c r="J1331" s="18" t="s">
        <v>4927</v>
      </c>
      <c r="K1331" s="18"/>
      <c r="L1331" s="18" t="s">
        <v>5109</v>
      </c>
    </row>
    <row r="1332">
      <c r="A1332" s="18" t="s">
        <v>5110</v>
      </c>
      <c r="B1332" s="18" t="s">
        <v>791</v>
      </c>
      <c r="C1332" s="18" t="s">
        <v>5111</v>
      </c>
      <c r="D1332" s="18"/>
      <c r="E1332" s="24">
        <v>8.1336496787E10</v>
      </c>
      <c r="F1332" s="24">
        <v>1.0</v>
      </c>
      <c r="G1332" s="18" t="s">
        <v>5111</v>
      </c>
      <c r="H1332" s="18"/>
      <c r="I1332" s="24">
        <v>8.1336496787E10</v>
      </c>
      <c r="J1332" s="18" t="s">
        <v>5112</v>
      </c>
      <c r="K1332" s="18"/>
      <c r="L1332" s="18" t="s">
        <v>2876</v>
      </c>
    </row>
    <row r="1333">
      <c r="A1333" s="18" t="s">
        <v>5113</v>
      </c>
      <c r="B1333" s="18" t="s">
        <v>791</v>
      </c>
      <c r="C1333" s="18" t="s">
        <v>5114</v>
      </c>
      <c r="D1333" s="18"/>
      <c r="E1333" s="24">
        <v>8.1335428544E10</v>
      </c>
      <c r="F1333" s="24">
        <v>1.0</v>
      </c>
      <c r="G1333" s="18" t="s">
        <v>5114</v>
      </c>
      <c r="H1333" s="18"/>
      <c r="I1333" s="24">
        <v>8.1335428544E10</v>
      </c>
      <c r="J1333" s="18" t="s">
        <v>5115</v>
      </c>
      <c r="K1333" s="18"/>
      <c r="L1333" s="18" t="s">
        <v>2237</v>
      </c>
    </row>
    <row r="1334">
      <c r="A1334" s="18" t="s">
        <v>5116</v>
      </c>
      <c r="B1334" s="18" t="s">
        <v>791</v>
      </c>
      <c r="C1334" s="18" t="s">
        <v>5117</v>
      </c>
      <c r="D1334" s="18"/>
      <c r="E1334" s="24">
        <v>8.2336649669E10</v>
      </c>
      <c r="F1334" s="24">
        <v>1.0</v>
      </c>
      <c r="G1334" s="18" t="s">
        <v>5117</v>
      </c>
      <c r="H1334" s="18"/>
      <c r="I1334" s="24">
        <v>8.2336649669E10</v>
      </c>
      <c r="J1334" s="18" t="s">
        <v>5118</v>
      </c>
      <c r="K1334" s="18"/>
      <c r="L1334" s="18" t="s">
        <v>3650</v>
      </c>
    </row>
    <row r="1335">
      <c r="A1335" s="18" t="s">
        <v>5119</v>
      </c>
      <c r="B1335" s="18" t="s">
        <v>791</v>
      </c>
      <c r="C1335" s="18" t="s">
        <v>5120</v>
      </c>
      <c r="D1335" s="18"/>
      <c r="E1335" s="24">
        <v>8.2334717274E10</v>
      </c>
      <c r="F1335" s="24">
        <v>1.0</v>
      </c>
      <c r="G1335" s="18" t="s">
        <v>5120</v>
      </c>
      <c r="H1335" s="18"/>
      <c r="I1335" s="24">
        <v>8.2334717274E10</v>
      </c>
      <c r="J1335" s="18" t="s">
        <v>4920</v>
      </c>
      <c r="K1335" s="18"/>
      <c r="L1335" s="18" t="s">
        <v>5122</v>
      </c>
    </row>
    <row r="1336">
      <c r="A1336" s="18" t="s">
        <v>5123</v>
      </c>
      <c r="B1336" s="18" t="s">
        <v>791</v>
      </c>
      <c r="C1336" s="18" t="s">
        <v>5124</v>
      </c>
      <c r="D1336" s="18"/>
      <c r="E1336" s="24">
        <v>8.1252779695E10</v>
      </c>
      <c r="F1336" s="24">
        <v>1.0</v>
      </c>
      <c r="G1336" s="18" t="s">
        <v>5124</v>
      </c>
      <c r="H1336" s="18"/>
      <c r="I1336" s="24">
        <v>8.1252779695E10</v>
      </c>
      <c r="J1336" s="18" t="s">
        <v>5125</v>
      </c>
      <c r="K1336" s="18"/>
      <c r="L1336" s="18" t="s">
        <v>1850</v>
      </c>
    </row>
    <row r="1337">
      <c r="A1337" s="18" t="s">
        <v>5126</v>
      </c>
      <c r="B1337" s="18" t="s">
        <v>791</v>
      </c>
      <c r="C1337" s="18" t="s">
        <v>5127</v>
      </c>
      <c r="D1337" s="18"/>
      <c r="E1337" s="24">
        <v>8.5852330425E10</v>
      </c>
      <c r="F1337" s="24">
        <v>1.0</v>
      </c>
      <c r="G1337" s="18" t="s">
        <v>5127</v>
      </c>
      <c r="H1337" s="18"/>
      <c r="I1337" s="24">
        <v>8.5852330425E10</v>
      </c>
      <c r="J1337" s="18" t="s">
        <v>5129</v>
      </c>
      <c r="K1337" s="18"/>
      <c r="L1337" s="18" t="s">
        <v>4559</v>
      </c>
    </row>
    <row r="1338">
      <c r="A1338" s="18" t="s">
        <v>5130</v>
      </c>
      <c r="B1338" s="18" t="s">
        <v>791</v>
      </c>
      <c r="C1338" s="18" t="s">
        <v>5131</v>
      </c>
      <c r="D1338" s="18"/>
      <c r="E1338" s="24">
        <v>8.523455327E10</v>
      </c>
      <c r="F1338" s="24">
        <v>1.0</v>
      </c>
      <c r="G1338" s="18" t="s">
        <v>5131</v>
      </c>
      <c r="H1338" s="18"/>
      <c r="I1338" s="24">
        <v>8.523455327E10</v>
      </c>
      <c r="J1338" s="18" t="s">
        <v>4935</v>
      </c>
      <c r="K1338" s="18"/>
      <c r="L1338" s="18" t="s">
        <v>5132</v>
      </c>
    </row>
    <row r="1339">
      <c r="A1339" s="18" t="s">
        <v>5133</v>
      </c>
      <c r="B1339" s="18" t="s">
        <v>791</v>
      </c>
      <c r="C1339" s="18" t="s">
        <v>5134</v>
      </c>
      <c r="D1339" s="18"/>
      <c r="E1339" s="24">
        <v>8.1259100393E10</v>
      </c>
      <c r="F1339" s="24">
        <v>1.0</v>
      </c>
      <c r="G1339" s="18" t="s">
        <v>5134</v>
      </c>
      <c r="H1339" s="18"/>
      <c r="I1339" s="24">
        <v>8.1259100393E10</v>
      </c>
      <c r="J1339" s="18" t="s">
        <v>5136</v>
      </c>
      <c r="K1339" s="18"/>
      <c r="L1339" s="18" t="s">
        <v>1519</v>
      </c>
    </row>
    <row r="1340">
      <c r="A1340" s="18" t="s">
        <v>5137</v>
      </c>
      <c r="B1340" s="18" t="s">
        <v>791</v>
      </c>
      <c r="C1340" s="18" t="s">
        <v>5138</v>
      </c>
      <c r="D1340" s="18"/>
      <c r="E1340" s="18"/>
      <c r="F1340" s="24">
        <v>1.0</v>
      </c>
      <c r="G1340" s="18" t="s">
        <v>5138</v>
      </c>
      <c r="H1340" s="18"/>
      <c r="I1340" s="18"/>
      <c r="J1340" s="18" t="s">
        <v>4886</v>
      </c>
      <c r="K1340" s="18"/>
      <c r="L1340" s="18"/>
    </row>
    <row r="1341">
      <c r="A1341" s="18" t="s">
        <v>5139</v>
      </c>
      <c r="B1341" s="18" t="s">
        <v>791</v>
      </c>
      <c r="C1341" s="18" t="s">
        <v>5140</v>
      </c>
      <c r="D1341" s="18"/>
      <c r="E1341" s="24">
        <v>8.5335474331E10</v>
      </c>
      <c r="F1341" s="24">
        <v>1.0</v>
      </c>
      <c r="G1341" s="18" t="s">
        <v>5140</v>
      </c>
      <c r="H1341" s="18"/>
      <c r="I1341" s="24">
        <v>8.5335474331E10</v>
      </c>
      <c r="J1341" s="18" t="s">
        <v>5142</v>
      </c>
      <c r="K1341" s="18"/>
      <c r="L1341" s="18" t="s">
        <v>2269</v>
      </c>
    </row>
    <row r="1342">
      <c r="A1342" s="18" t="s">
        <v>5143</v>
      </c>
      <c r="B1342" s="18" t="s">
        <v>791</v>
      </c>
      <c r="C1342" s="18" t="s">
        <v>5144</v>
      </c>
      <c r="D1342" s="18"/>
      <c r="E1342" s="24">
        <v>8.1259000474E10</v>
      </c>
      <c r="F1342" s="24">
        <v>1.0</v>
      </c>
      <c r="G1342" s="18" t="s">
        <v>5144</v>
      </c>
      <c r="H1342" s="18"/>
      <c r="I1342" s="24">
        <v>8.1259000474E10</v>
      </c>
      <c r="J1342" s="18" t="s">
        <v>5145</v>
      </c>
      <c r="K1342" s="18"/>
      <c r="L1342" s="18" t="s">
        <v>1482</v>
      </c>
    </row>
    <row r="1343">
      <c r="A1343" s="18" t="s">
        <v>5146</v>
      </c>
      <c r="B1343" s="18" t="s">
        <v>791</v>
      </c>
      <c r="C1343" s="18" t="s">
        <v>5147</v>
      </c>
      <c r="D1343" s="18"/>
      <c r="E1343" s="24">
        <v>8.5859229259E10</v>
      </c>
      <c r="F1343" s="24">
        <v>1.0</v>
      </c>
      <c r="G1343" s="18" t="s">
        <v>5147</v>
      </c>
      <c r="H1343" s="18"/>
      <c r="I1343" s="24">
        <v>8.5859229259E10</v>
      </c>
      <c r="J1343" s="18" t="s">
        <v>5148</v>
      </c>
      <c r="K1343" s="18"/>
      <c r="L1343" s="18" t="s">
        <v>5149</v>
      </c>
    </row>
    <row r="1344">
      <c r="A1344" s="18" t="s">
        <v>5150</v>
      </c>
      <c r="B1344" s="18" t="s">
        <v>791</v>
      </c>
      <c r="C1344" s="18" t="s">
        <v>5151</v>
      </c>
      <c r="D1344" s="18"/>
      <c r="E1344" s="24">
        <v>8.5736672992E10</v>
      </c>
      <c r="F1344" s="24">
        <v>1.0</v>
      </c>
      <c r="G1344" s="18" t="s">
        <v>5151</v>
      </c>
      <c r="H1344" s="18"/>
      <c r="I1344" s="24">
        <v>8.5736672992E10</v>
      </c>
      <c r="J1344" s="18" t="s">
        <v>5152</v>
      </c>
      <c r="K1344" s="18"/>
      <c r="L1344" s="18" t="s">
        <v>5153</v>
      </c>
    </row>
    <row r="1345">
      <c r="A1345" s="18" t="s">
        <v>5154</v>
      </c>
      <c r="B1345" s="18" t="s">
        <v>791</v>
      </c>
      <c r="C1345" s="18" t="s">
        <v>5155</v>
      </c>
      <c r="D1345" s="18"/>
      <c r="E1345" s="24">
        <v>8.5815945336E10</v>
      </c>
      <c r="F1345" s="24">
        <v>1.0</v>
      </c>
      <c r="G1345" s="18" t="s">
        <v>5155</v>
      </c>
      <c r="H1345" s="18"/>
      <c r="I1345" s="24">
        <v>8.5815945336E10</v>
      </c>
      <c r="J1345" s="18" t="s">
        <v>5156</v>
      </c>
      <c r="K1345" s="18"/>
      <c r="L1345" s="18" t="s">
        <v>5158</v>
      </c>
    </row>
    <row r="1346">
      <c r="A1346" s="18" t="s">
        <v>5159</v>
      </c>
      <c r="B1346" s="18" t="s">
        <v>791</v>
      </c>
      <c r="C1346" s="18" t="s">
        <v>5160</v>
      </c>
      <c r="D1346" s="18"/>
      <c r="E1346" s="24">
        <v>8.1393031032E10</v>
      </c>
      <c r="F1346" s="24">
        <v>1.0</v>
      </c>
      <c r="G1346" s="18" t="s">
        <v>5160</v>
      </c>
      <c r="H1346" s="18"/>
      <c r="I1346" s="24">
        <v>8.1393031032E10</v>
      </c>
      <c r="J1346" s="18" t="s">
        <v>5161</v>
      </c>
      <c r="K1346" s="18"/>
      <c r="L1346" s="18" t="s">
        <v>3825</v>
      </c>
    </row>
    <row r="1347">
      <c r="A1347" s="18" t="s">
        <v>5162</v>
      </c>
      <c r="B1347" s="18" t="s">
        <v>791</v>
      </c>
      <c r="C1347" s="18" t="s">
        <v>5163</v>
      </c>
      <c r="D1347" s="18"/>
      <c r="E1347" s="24">
        <v>8.2335045393E10</v>
      </c>
      <c r="F1347" s="24">
        <v>1.0</v>
      </c>
      <c r="G1347" s="18" t="s">
        <v>5163</v>
      </c>
      <c r="H1347" s="18"/>
      <c r="I1347" s="24">
        <v>8.2335045393E10</v>
      </c>
      <c r="J1347" s="18" t="s">
        <v>5164</v>
      </c>
      <c r="K1347" s="18"/>
      <c r="L1347" s="18" t="s">
        <v>3552</v>
      </c>
    </row>
    <row r="1348">
      <c r="A1348" s="18" t="s">
        <v>5165</v>
      </c>
      <c r="B1348" s="18" t="s">
        <v>791</v>
      </c>
      <c r="C1348" s="18" t="s">
        <v>5166</v>
      </c>
      <c r="D1348" s="18"/>
      <c r="E1348" s="18"/>
      <c r="F1348" s="24">
        <v>1.0</v>
      </c>
      <c r="G1348" s="18" t="s">
        <v>5166</v>
      </c>
      <c r="H1348" s="18"/>
      <c r="I1348" s="18"/>
      <c r="J1348" s="18" t="s">
        <v>5167</v>
      </c>
      <c r="K1348" s="18"/>
      <c r="L1348" s="18"/>
    </row>
    <row r="1349">
      <c r="A1349" s="18" t="s">
        <v>5168</v>
      </c>
      <c r="B1349" s="18" t="s">
        <v>791</v>
      </c>
      <c r="C1349" s="18" t="s">
        <v>5166</v>
      </c>
      <c r="D1349" s="18"/>
      <c r="E1349" s="18"/>
      <c r="F1349" s="24">
        <v>1.0</v>
      </c>
      <c r="G1349" s="18" t="s">
        <v>5166</v>
      </c>
      <c r="H1349" s="18"/>
      <c r="I1349" s="18"/>
      <c r="J1349" s="24">
        <v>3.21052505860002E14</v>
      </c>
      <c r="K1349" s="18"/>
      <c r="L1349" s="18"/>
    </row>
    <row r="1350">
      <c r="A1350" s="18" t="s">
        <v>5169</v>
      </c>
      <c r="B1350" s="18" t="s">
        <v>791</v>
      </c>
      <c r="C1350" s="18" t="s">
        <v>5170</v>
      </c>
      <c r="D1350" s="18"/>
      <c r="E1350" s="24">
        <v>8.1319283688E10</v>
      </c>
      <c r="F1350" s="24">
        <v>1.0</v>
      </c>
      <c r="G1350" s="18" t="s">
        <v>5170</v>
      </c>
      <c r="H1350" s="18"/>
      <c r="I1350" s="24">
        <v>8.1319283688E10</v>
      </c>
      <c r="J1350" s="18" t="s">
        <v>5172</v>
      </c>
      <c r="K1350" s="18"/>
      <c r="L1350" s="18" t="s">
        <v>2827</v>
      </c>
    </row>
    <row r="1351">
      <c r="A1351" s="18" t="s">
        <v>5173</v>
      </c>
      <c r="B1351" s="18" t="s">
        <v>791</v>
      </c>
      <c r="C1351" s="18" t="s">
        <v>5174</v>
      </c>
      <c r="D1351" s="18"/>
      <c r="E1351" s="24">
        <v>8.5853639904E10</v>
      </c>
      <c r="F1351" s="24">
        <v>1.0</v>
      </c>
      <c r="G1351" s="18" t="s">
        <v>5174</v>
      </c>
      <c r="H1351" s="18"/>
      <c r="I1351" s="24">
        <v>8.5853639904E10</v>
      </c>
      <c r="J1351" s="18" t="s">
        <v>5175</v>
      </c>
      <c r="K1351" s="18"/>
      <c r="L1351" s="18" t="s">
        <v>5176</v>
      </c>
    </row>
    <row r="1352">
      <c r="A1352" s="18" t="s">
        <v>5177</v>
      </c>
      <c r="B1352" s="18" t="s">
        <v>791</v>
      </c>
      <c r="C1352" s="18" t="s">
        <v>5178</v>
      </c>
      <c r="D1352" s="18"/>
      <c r="E1352" s="24">
        <v>8.5735093371E10</v>
      </c>
      <c r="F1352" s="24">
        <v>1.0</v>
      </c>
      <c r="G1352" s="18" t="s">
        <v>5178</v>
      </c>
      <c r="H1352" s="18"/>
      <c r="I1352" s="24">
        <v>8.5735093371E10</v>
      </c>
      <c r="J1352" s="18" t="s">
        <v>5180</v>
      </c>
      <c r="K1352" s="18"/>
      <c r="L1352" s="18" t="s">
        <v>5181</v>
      </c>
    </row>
    <row r="1353">
      <c r="A1353" s="18" t="s">
        <v>5182</v>
      </c>
      <c r="B1353" s="18" t="s">
        <v>791</v>
      </c>
      <c r="C1353" s="18" t="s">
        <v>5183</v>
      </c>
      <c r="D1353" s="18"/>
      <c r="E1353" s="24">
        <v>8.1252779695E10</v>
      </c>
      <c r="F1353" s="24">
        <v>1.0</v>
      </c>
      <c r="G1353" s="18" t="s">
        <v>5183</v>
      </c>
      <c r="H1353" s="18"/>
      <c r="I1353" s="24">
        <v>8.1252779695E10</v>
      </c>
      <c r="J1353" s="18" t="s">
        <v>4965</v>
      </c>
      <c r="K1353" s="18"/>
      <c r="L1353" s="18" t="s">
        <v>1850</v>
      </c>
    </row>
    <row r="1354">
      <c r="A1354" s="18" t="s">
        <v>5184</v>
      </c>
      <c r="B1354" s="18" t="s">
        <v>791</v>
      </c>
      <c r="C1354" s="18" t="s">
        <v>5185</v>
      </c>
      <c r="D1354" s="18"/>
      <c r="E1354" s="24">
        <v>8.573510564E10</v>
      </c>
      <c r="F1354" s="24">
        <v>1.0</v>
      </c>
      <c r="G1354" s="18" t="s">
        <v>5185</v>
      </c>
      <c r="H1354" s="18"/>
      <c r="I1354" s="24">
        <v>8.573510564E10</v>
      </c>
      <c r="J1354" s="18" t="s">
        <v>5186</v>
      </c>
      <c r="K1354" s="18"/>
      <c r="L1354" s="18" t="s">
        <v>3263</v>
      </c>
    </row>
    <row r="1355">
      <c r="A1355" s="18" t="s">
        <v>5187</v>
      </c>
      <c r="B1355" s="18" t="s">
        <v>791</v>
      </c>
      <c r="C1355" s="18" t="s">
        <v>5188</v>
      </c>
      <c r="D1355" s="18"/>
      <c r="E1355" s="24">
        <v>8.1359556087E10</v>
      </c>
      <c r="F1355" s="24">
        <v>1.0</v>
      </c>
      <c r="G1355" s="18" t="s">
        <v>5188</v>
      </c>
      <c r="H1355" s="18"/>
      <c r="I1355" s="24">
        <v>8.1359556087E10</v>
      </c>
      <c r="J1355" s="18" t="s">
        <v>5189</v>
      </c>
      <c r="K1355" s="18"/>
      <c r="L1355" s="18" t="s">
        <v>1549</v>
      </c>
    </row>
    <row r="1356">
      <c r="A1356" s="18" t="s">
        <v>5190</v>
      </c>
      <c r="B1356" s="18" t="s">
        <v>791</v>
      </c>
      <c r="C1356" s="18" t="s">
        <v>5191</v>
      </c>
      <c r="D1356" s="18"/>
      <c r="E1356" s="24">
        <v>8.5141565285E10</v>
      </c>
      <c r="F1356" s="24">
        <v>1.0</v>
      </c>
      <c r="G1356" s="18" t="s">
        <v>5191</v>
      </c>
      <c r="H1356" s="18"/>
      <c r="I1356" s="24">
        <v>8.5141565285E10</v>
      </c>
      <c r="J1356" s="18" t="s">
        <v>5192</v>
      </c>
      <c r="K1356" s="18"/>
      <c r="L1356" s="18" t="s">
        <v>3188</v>
      </c>
    </row>
    <row r="1357">
      <c r="A1357" s="18" t="s">
        <v>5193</v>
      </c>
      <c r="B1357" s="18" t="s">
        <v>791</v>
      </c>
      <c r="C1357" s="18" t="s">
        <v>5194</v>
      </c>
      <c r="D1357" s="18"/>
      <c r="E1357" s="24">
        <v>8.5784518176E10</v>
      </c>
      <c r="F1357" s="24">
        <v>1.0</v>
      </c>
      <c r="G1357" s="18" t="s">
        <v>5194</v>
      </c>
      <c r="H1357" s="18"/>
      <c r="I1357" s="24">
        <v>8.5784518176E10</v>
      </c>
      <c r="J1357" s="18" t="s">
        <v>5195</v>
      </c>
      <c r="K1357" s="18"/>
      <c r="L1357" s="18" t="s">
        <v>1052</v>
      </c>
    </row>
    <row r="1358">
      <c r="A1358" s="18" t="s">
        <v>5196</v>
      </c>
      <c r="B1358" s="18" t="s">
        <v>791</v>
      </c>
      <c r="C1358" s="18" t="s">
        <v>5194</v>
      </c>
      <c r="D1358" s="18"/>
      <c r="E1358" s="24">
        <v>8.1335208367E10</v>
      </c>
      <c r="F1358" s="24">
        <v>1.0</v>
      </c>
      <c r="G1358" s="18" t="s">
        <v>5194</v>
      </c>
      <c r="H1358" s="18"/>
      <c r="I1358" s="24">
        <v>8.1335208367E10</v>
      </c>
      <c r="J1358" s="18" t="s">
        <v>4954</v>
      </c>
      <c r="K1358" s="18"/>
      <c r="L1358" s="18" t="s">
        <v>1914</v>
      </c>
    </row>
    <row r="1359">
      <c r="A1359" s="18" t="s">
        <v>5197</v>
      </c>
      <c r="B1359" s="18" t="s">
        <v>791</v>
      </c>
      <c r="C1359" s="18" t="s">
        <v>5191</v>
      </c>
      <c r="D1359" s="18"/>
      <c r="E1359" s="24">
        <v>8.5708666077E10</v>
      </c>
      <c r="F1359" s="24">
        <v>1.0</v>
      </c>
      <c r="G1359" s="18" t="s">
        <v>5191</v>
      </c>
      <c r="H1359" s="18"/>
      <c r="I1359" s="24">
        <v>8.5708666077E10</v>
      </c>
      <c r="J1359" s="18" t="s">
        <v>5198</v>
      </c>
      <c r="K1359" s="18"/>
      <c r="L1359" s="18" t="s">
        <v>5199</v>
      </c>
    </row>
    <row r="1360">
      <c r="A1360" s="18" t="s">
        <v>5200</v>
      </c>
      <c r="B1360" s="18" t="s">
        <v>791</v>
      </c>
      <c r="C1360" s="18" t="s">
        <v>5201</v>
      </c>
      <c r="D1360" s="18"/>
      <c r="E1360" s="24">
        <v>8.1230925577E10</v>
      </c>
      <c r="F1360" s="24">
        <v>1.0</v>
      </c>
      <c r="G1360" s="18" t="s">
        <v>5201</v>
      </c>
      <c r="H1360" s="18"/>
      <c r="I1360" s="24">
        <v>8.1230925577E10</v>
      </c>
      <c r="J1360" s="18" t="s">
        <v>4785</v>
      </c>
      <c r="K1360" s="18"/>
      <c r="L1360" s="18" t="s">
        <v>5202</v>
      </c>
    </row>
    <row r="1361">
      <c r="A1361" s="18" t="s">
        <v>5203</v>
      </c>
      <c r="B1361" s="18" t="s">
        <v>791</v>
      </c>
      <c r="C1361" s="18" t="s">
        <v>5204</v>
      </c>
      <c r="D1361" s="18"/>
      <c r="E1361" s="24">
        <v>8.1335706863E10</v>
      </c>
      <c r="F1361" s="24">
        <v>1.0</v>
      </c>
      <c r="G1361" s="18" t="s">
        <v>5204</v>
      </c>
      <c r="H1361" s="18"/>
      <c r="I1361" s="24">
        <v>8.1335706863E10</v>
      </c>
      <c r="J1361" s="18" t="s">
        <v>5205</v>
      </c>
      <c r="K1361" s="18"/>
      <c r="L1361" s="18" t="s">
        <v>2346</v>
      </c>
    </row>
    <row r="1362">
      <c r="A1362" s="18" t="s">
        <v>5206</v>
      </c>
      <c r="B1362" s="18" t="s">
        <v>791</v>
      </c>
      <c r="C1362" s="18" t="s">
        <v>5207</v>
      </c>
      <c r="D1362" s="18"/>
      <c r="E1362" s="24">
        <v>8.1615600615E10</v>
      </c>
      <c r="F1362" s="24">
        <v>1.0</v>
      </c>
      <c r="G1362" s="18" t="s">
        <v>5207</v>
      </c>
      <c r="H1362" s="18"/>
      <c r="I1362" s="24">
        <v>8.1615600615E10</v>
      </c>
      <c r="J1362" s="18" t="s">
        <v>5208</v>
      </c>
      <c r="K1362" s="18"/>
      <c r="L1362" s="18" t="s">
        <v>3986</v>
      </c>
    </row>
    <row r="1363">
      <c r="A1363" s="18" t="s">
        <v>5209</v>
      </c>
      <c r="B1363" s="18" t="s">
        <v>791</v>
      </c>
      <c r="C1363" s="18" t="s">
        <v>5210</v>
      </c>
      <c r="D1363" s="18"/>
      <c r="E1363" s="24">
        <v>8.1252779693E10</v>
      </c>
      <c r="F1363" s="24">
        <v>1.0</v>
      </c>
      <c r="G1363" s="18" t="s">
        <v>5210</v>
      </c>
      <c r="H1363" s="18"/>
      <c r="I1363" s="24">
        <v>8.1252779693E10</v>
      </c>
      <c r="J1363" s="18" t="s">
        <v>5157</v>
      </c>
      <c r="K1363" s="18"/>
      <c r="L1363" s="18" t="s">
        <v>1850</v>
      </c>
    </row>
    <row r="1364">
      <c r="A1364" s="18" t="s">
        <v>1038</v>
      </c>
      <c r="B1364" s="18" t="s">
        <v>791</v>
      </c>
      <c r="C1364" s="18" t="s">
        <v>1041</v>
      </c>
      <c r="D1364" s="18" t="s">
        <v>279</v>
      </c>
      <c r="E1364" s="24">
        <v>8.1332576177E10</v>
      </c>
      <c r="F1364" s="24">
        <v>1.0</v>
      </c>
      <c r="G1364" s="18" t="s">
        <v>1041</v>
      </c>
      <c r="H1364" s="18" t="s">
        <v>279</v>
      </c>
      <c r="I1364" s="24">
        <v>8.1332576177E10</v>
      </c>
      <c r="J1364" s="18" t="s">
        <v>1039</v>
      </c>
      <c r="K1364" s="18" t="s">
        <v>1039</v>
      </c>
      <c r="L1364" s="18" t="s">
        <v>1037</v>
      </c>
    </row>
    <row r="1365">
      <c r="A1365" s="18" t="s">
        <v>5212</v>
      </c>
      <c r="B1365" s="18" t="s">
        <v>791</v>
      </c>
      <c r="C1365" s="18" t="s">
        <v>5213</v>
      </c>
      <c r="D1365" s="18"/>
      <c r="E1365" s="24">
        <v>8.5335474331E10</v>
      </c>
      <c r="F1365" s="24">
        <v>1.0</v>
      </c>
      <c r="G1365" s="18" t="s">
        <v>5213</v>
      </c>
      <c r="H1365" s="18"/>
      <c r="I1365" s="24">
        <v>8.5335474331E10</v>
      </c>
      <c r="J1365" s="18" t="s">
        <v>5214</v>
      </c>
      <c r="K1365" s="18"/>
      <c r="L1365" s="18" t="s">
        <v>2269</v>
      </c>
    </row>
    <row r="1366">
      <c r="A1366" s="18" t="s">
        <v>5215</v>
      </c>
      <c r="B1366" s="18" t="s">
        <v>791</v>
      </c>
      <c r="C1366" s="18" t="s">
        <v>5216</v>
      </c>
      <c r="D1366" s="18"/>
      <c r="E1366" s="24">
        <v>8.13359905E10</v>
      </c>
      <c r="F1366" s="24">
        <v>1.0</v>
      </c>
      <c r="G1366" s="18" t="s">
        <v>5216</v>
      </c>
      <c r="H1366" s="18"/>
      <c r="I1366" s="24">
        <v>8.13359905E10</v>
      </c>
      <c r="J1366" s="18" t="s">
        <v>5217</v>
      </c>
      <c r="K1366" s="18"/>
      <c r="L1366" s="18" t="s">
        <v>1623</v>
      </c>
    </row>
    <row r="1367">
      <c r="A1367" s="18" t="s">
        <v>5218</v>
      </c>
      <c r="B1367" s="18" t="s">
        <v>791</v>
      </c>
      <c r="C1367" s="18" t="s">
        <v>5220</v>
      </c>
      <c r="D1367" s="18"/>
      <c r="E1367" s="24">
        <v>8.5225637405E10</v>
      </c>
      <c r="F1367" s="24">
        <v>1.0</v>
      </c>
      <c r="G1367" s="18" t="s">
        <v>5220</v>
      </c>
      <c r="H1367" s="18"/>
      <c r="I1367" s="24">
        <v>8.5225637405E10</v>
      </c>
      <c r="J1367" s="18" t="s">
        <v>5221</v>
      </c>
      <c r="K1367" s="18"/>
      <c r="L1367" s="18" t="s">
        <v>129</v>
      </c>
    </row>
    <row r="1368">
      <c r="A1368" s="18" t="s">
        <v>5222</v>
      </c>
      <c r="B1368" s="18" t="s">
        <v>791</v>
      </c>
      <c r="C1368" s="18" t="s">
        <v>5223</v>
      </c>
      <c r="D1368" s="18"/>
      <c r="E1368" s="24">
        <v>8.572155759E10</v>
      </c>
      <c r="F1368" s="24">
        <v>1.0</v>
      </c>
      <c r="G1368" s="18" t="s">
        <v>5223</v>
      </c>
      <c r="H1368" s="18"/>
      <c r="I1368" s="24">
        <v>8.572155759E10</v>
      </c>
      <c r="J1368" s="18" t="s">
        <v>5224</v>
      </c>
      <c r="K1368" s="18"/>
      <c r="L1368" s="18" t="s">
        <v>5225</v>
      </c>
    </row>
    <row r="1369">
      <c r="A1369" s="18" t="s">
        <v>5226</v>
      </c>
      <c r="B1369" s="18" t="s">
        <v>791</v>
      </c>
      <c r="C1369" s="18" t="s">
        <v>5227</v>
      </c>
      <c r="D1369" s="18"/>
      <c r="E1369" s="24">
        <v>8.5103373232E10</v>
      </c>
      <c r="F1369" s="24">
        <v>1.0</v>
      </c>
      <c r="G1369" s="18" t="s">
        <v>5227</v>
      </c>
      <c r="H1369" s="18"/>
      <c r="I1369" s="24">
        <v>8.5103373232E10</v>
      </c>
      <c r="J1369" s="18" t="s">
        <v>5228</v>
      </c>
      <c r="K1369" s="18"/>
      <c r="L1369" s="18" t="s">
        <v>1519</v>
      </c>
    </row>
    <row r="1370">
      <c r="A1370" s="18" t="s">
        <v>5229</v>
      </c>
      <c r="B1370" s="18" t="s">
        <v>791</v>
      </c>
      <c r="C1370" s="18" t="s">
        <v>5230</v>
      </c>
      <c r="D1370" s="18"/>
      <c r="E1370" s="24">
        <v>8.2133903151E10</v>
      </c>
      <c r="F1370" s="24">
        <v>1.0</v>
      </c>
      <c r="G1370" s="18" t="s">
        <v>5230</v>
      </c>
      <c r="H1370" s="18"/>
      <c r="I1370" s="24">
        <v>8.2133903151E10</v>
      </c>
      <c r="J1370" s="18" t="s">
        <v>5231</v>
      </c>
      <c r="K1370" s="18"/>
      <c r="L1370" s="18" t="s">
        <v>2339</v>
      </c>
    </row>
    <row r="1371">
      <c r="A1371" s="18" t="s">
        <v>5232</v>
      </c>
      <c r="B1371" s="18" t="s">
        <v>791</v>
      </c>
      <c r="C1371" s="18" t="s">
        <v>5233</v>
      </c>
      <c r="D1371" s="18"/>
      <c r="E1371" s="24">
        <v>8.5856092275E10</v>
      </c>
      <c r="F1371" s="24">
        <v>1.0</v>
      </c>
      <c r="G1371" s="18" t="s">
        <v>5233</v>
      </c>
      <c r="H1371" s="18"/>
      <c r="I1371" s="24">
        <v>8.5856092275E10</v>
      </c>
      <c r="J1371" s="18" t="s">
        <v>5234</v>
      </c>
      <c r="K1371" s="18"/>
      <c r="L1371" s="18" t="s">
        <v>1673</v>
      </c>
    </row>
    <row r="1372">
      <c r="A1372" s="18" t="s">
        <v>5235</v>
      </c>
      <c r="B1372" s="18" t="s">
        <v>791</v>
      </c>
      <c r="C1372" s="18" t="s">
        <v>5236</v>
      </c>
      <c r="D1372" s="18"/>
      <c r="E1372" s="24">
        <v>8.2331695666E10</v>
      </c>
      <c r="F1372" s="24">
        <v>1.0</v>
      </c>
      <c r="G1372" s="18" t="s">
        <v>5236</v>
      </c>
      <c r="H1372" s="18"/>
      <c r="I1372" s="24">
        <v>8.2331695666E10</v>
      </c>
      <c r="J1372" s="18" t="s">
        <v>5237</v>
      </c>
      <c r="K1372" s="18"/>
      <c r="L1372" s="18" t="s">
        <v>1958</v>
      </c>
    </row>
    <row r="1373">
      <c r="A1373" s="18" t="s">
        <v>5239</v>
      </c>
      <c r="B1373" s="18" t="s">
        <v>791</v>
      </c>
      <c r="C1373" s="18" t="s">
        <v>5240</v>
      </c>
      <c r="D1373" s="18"/>
      <c r="E1373" s="24">
        <v>8.5645477374E10</v>
      </c>
      <c r="F1373" s="24">
        <v>1.0</v>
      </c>
      <c r="G1373" s="18" t="s">
        <v>5240</v>
      </c>
      <c r="H1373" s="18"/>
      <c r="I1373" s="24">
        <v>8.5645477374E10</v>
      </c>
      <c r="J1373" s="18" t="s">
        <v>5241</v>
      </c>
      <c r="K1373" s="18"/>
      <c r="L1373" s="18" t="s">
        <v>1830</v>
      </c>
    </row>
    <row r="1374">
      <c r="A1374" s="18" t="s">
        <v>5242</v>
      </c>
      <c r="B1374" s="18" t="s">
        <v>791</v>
      </c>
      <c r="C1374" s="18" t="s">
        <v>5243</v>
      </c>
      <c r="D1374" s="18"/>
      <c r="E1374" s="24">
        <v>8.2141816903E10</v>
      </c>
      <c r="F1374" s="24">
        <v>1.0</v>
      </c>
      <c r="G1374" s="18" t="s">
        <v>5243</v>
      </c>
      <c r="H1374" s="18"/>
      <c r="I1374" s="24">
        <v>8.2141816903E10</v>
      </c>
      <c r="J1374" s="18" t="s">
        <v>5244</v>
      </c>
      <c r="K1374" s="18"/>
      <c r="L1374" s="18" t="s">
        <v>5245</v>
      </c>
    </row>
    <row r="1375">
      <c r="A1375" s="18" t="s">
        <v>5246</v>
      </c>
      <c r="B1375" s="18" t="s">
        <v>791</v>
      </c>
      <c r="C1375" s="18" t="s">
        <v>5248</v>
      </c>
      <c r="D1375" s="18"/>
      <c r="E1375" s="24">
        <v>8.5104622991E10</v>
      </c>
      <c r="F1375" s="24">
        <v>1.0</v>
      </c>
      <c r="G1375" s="18" t="s">
        <v>5248</v>
      </c>
      <c r="H1375" s="18"/>
      <c r="I1375" s="24">
        <v>8.5104622991E10</v>
      </c>
      <c r="J1375" s="18" t="s">
        <v>5249</v>
      </c>
      <c r="K1375" s="18"/>
      <c r="L1375" s="18" t="s">
        <v>2022</v>
      </c>
    </row>
    <row r="1376">
      <c r="A1376" s="18" t="s">
        <v>5250</v>
      </c>
      <c r="B1376" s="18" t="s">
        <v>791</v>
      </c>
      <c r="C1376" s="18" t="s">
        <v>5251</v>
      </c>
      <c r="D1376" s="18"/>
      <c r="E1376" s="24">
        <v>8.1359559982E10</v>
      </c>
      <c r="F1376" s="24">
        <v>1.0</v>
      </c>
      <c r="G1376" s="18" t="s">
        <v>5251</v>
      </c>
      <c r="H1376" s="18"/>
      <c r="I1376" s="24">
        <v>8.1359559982E10</v>
      </c>
      <c r="J1376" s="18" t="s">
        <v>5252</v>
      </c>
      <c r="K1376" s="18"/>
      <c r="L1376" s="18" t="s">
        <v>3367</v>
      </c>
    </row>
    <row r="1377">
      <c r="A1377" s="18" t="s">
        <v>5253</v>
      </c>
      <c r="B1377" s="18" t="s">
        <v>791</v>
      </c>
      <c r="C1377" s="18" t="s">
        <v>5254</v>
      </c>
      <c r="D1377" s="18"/>
      <c r="E1377" s="24">
        <v>8.5259908247E10</v>
      </c>
      <c r="F1377" s="24">
        <v>1.0</v>
      </c>
      <c r="G1377" s="18" t="s">
        <v>5254</v>
      </c>
      <c r="H1377" s="18"/>
      <c r="I1377" s="24">
        <v>8.5259908247E10</v>
      </c>
      <c r="J1377" s="18" t="s">
        <v>5256</v>
      </c>
      <c r="K1377" s="18"/>
      <c r="L1377" s="18" t="s">
        <v>3068</v>
      </c>
    </row>
    <row r="1378">
      <c r="A1378" s="18" t="s">
        <v>5257</v>
      </c>
      <c r="B1378" s="18" t="s">
        <v>791</v>
      </c>
      <c r="C1378" s="18" t="s">
        <v>5258</v>
      </c>
      <c r="D1378" s="18"/>
      <c r="E1378" s="24">
        <v>8.21310086E10</v>
      </c>
      <c r="F1378" s="24">
        <v>1.0</v>
      </c>
      <c r="G1378" s="18" t="s">
        <v>5258</v>
      </c>
      <c r="H1378" s="18"/>
      <c r="I1378" s="24">
        <v>8.21310086E10</v>
      </c>
      <c r="J1378" s="18" t="s">
        <v>5259</v>
      </c>
      <c r="K1378" s="18"/>
      <c r="L1378" s="18" t="s">
        <v>2042</v>
      </c>
    </row>
    <row r="1379">
      <c r="A1379" s="18" t="s">
        <v>5260</v>
      </c>
      <c r="B1379" s="18" t="s">
        <v>791</v>
      </c>
      <c r="C1379" s="18" t="s">
        <v>5261</v>
      </c>
      <c r="D1379" s="18"/>
      <c r="E1379" s="24">
        <v>8.5733690458E10</v>
      </c>
      <c r="F1379" s="24">
        <v>1.0</v>
      </c>
      <c r="G1379" s="18" t="s">
        <v>5261</v>
      </c>
      <c r="H1379" s="18"/>
      <c r="I1379" s="24">
        <v>8.5733690458E10</v>
      </c>
      <c r="J1379" s="18" t="s">
        <v>4254</v>
      </c>
      <c r="K1379" s="18"/>
      <c r="L1379" s="18" t="s">
        <v>5262</v>
      </c>
    </row>
    <row r="1380">
      <c r="A1380" s="18" t="s">
        <v>5263</v>
      </c>
      <c r="B1380" s="18" t="s">
        <v>791</v>
      </c>
      <c r="C1380" s="18" t="s">
        <v>5264</v>
      </c>
      <c r="D1380" s="18"/>
      <c r="E1380" s="24">
        <v>8.1230925577E10</v>
      </c>
      <c r="F1380" s="24">
        <v>1.0</v>
      </c>
      <c r="G1380" s="18" t="s">
        <v>5264</v>
      </c>
      <c r="H1380" s="18"/>
      <c r="I1380" s="24">
        <v>8.1230925577E10</v>
      </c>
      <c r="J1380" s="18" t="s">
        <v>4870</v>
      </c>
      <c r="K1380" s="18"/>
      <c r="L1380" s="18" t="s">
        <v>4186</v>
      </c>
    </row>
    <row r="1381">
      <c r="A1381" s="18" t="s">
        <v>5265</v>
      </c>
      <c r="B1381" s="18" t="s">
        <v>791</v>
      </c>
      <c r="C1381" s="18" t="s">
        <v>5266</v>
      </c>
      <c r="D1381" s="18"/>
      <c r="E1381" s="24">
        <v>8.1234028225E10</v>
      </c>
      <c r="F1381" s="24">
        <v>1.0</v>
      </c>
      <c r="G1381" s="18" t="s">
        <v>5266</v>
      </c>
      <c r="H1381" s="18"/>
      <c r="I1381" s="24">
        <v>8.1234028225E10</v>
      </c>
      <c r="J1381" s="18" t="s">
        <v>5267</v>
      </c>
      <c r="K1381" s="18"/>
      <c r="L1381" s="18" t="s">
        <v>1546</v>
      </c>
    </row>
    <row r="1382">
      <c r="A1382" s="18" t="s">
        <v>5268</v>
      </c>
      <c r="B1382" s="18" t="s">
        <v>791</v>
      </c>
      <c r="C1382" s="18" t="s">
        <v>5269</v>
      </c>
      <c r="D1382" s="18"/>
      <c r="E1382" s="24">
        <v>8.1556715577E10</v>
      </c>
      <c r="F1382" s="24">
        <v>1.0</v>
      </c>
      <c r="G1382" s="18" t="s">
        <v>5269</v>
      </c>
      <c r="H1382" s="18"/>
      <c r="I1382" s="24">
        <v>8.1556715577E10</v>
      </c>
      <c r="J1382" s="18" t="s">
        <v>5270</v>
      </c>
      <c r="K1382" s="18"/>
      <c r="L1382" s="18" t="s">
        <v>5271</v>
      </c>
    </row>
    <row r="1383">
      <c r="A1383" s="18" t="s">
        <v>5272</v>
      </c>
      <c r="B1383" s="18" t="s">
        <v>791</v>
      </c>
      <c r="C1383" s="18" t="s">
        <v>5273</v>
      </c>
      <c r="D1383" s="18"/>
      <c r="E1383" s="24">
        <v>8.155066711E9</v>
      </c>
      <c r="F1383" s="24">
        <v>1.0</v>
      </c>
      <c r="G1383" s="18" t="s">
        <v>5273</v>
      </c>
      <c r="H1383" s="18"/>
      <c r="I1383" s="24">
        <v>8.155066711E9</v>
      </c>
      <c r="J1383" s="18" t="s">
        <v>5275</v>
      </c>
      <c r="K1383" s="18"/>
      <c r="L1383" s="18" t="s">
        <v>4818</v>
      </c>
    </row>
    <row r="1384">
      <c r="A1384" s="18" t="s">
        <v>5276</v>
      </c>
      <c r="B1384" s="18" t="s">
        <v>791</v>
      </c>
      <c r="C1384" s="18" t="s">
        <v>5277</v>
      </c>
      <c r="D1384" s="18"/>
      <c r="E1384" s="24">
        <v>8.1234251884E10</v>
      </c>
      <c r="F1384" s="24">
        <v>1.0</v>
      </c>
      <c r="G1384" s="18" t="s">
        <v>5277</v>
      </c>
      <c r="H1384" s="18"/>
      <c r="I1384" s="24">
        <v>8.1234251884E10</v>
      </c>
      <c r="J1384" s="18" t="s">
        <v>5278</v>
      </c>
      <c r="K1384" s="18"/>
      <c r="L1384" s="18" t="s">
        <v>5046</v>
      </c>
    </row>
    <row r="1385">
      <c r="A1385" s="18" t="s">
        <v>5279</v>
      </c>
      <c r="B1385" s="18" t="s">
        <v>791</v>
      </c>
      <c r="C1385" s="18" t="s">
        <v>5280</v>
      </c>
      <c r="D1385" s="18"/>
      <c r="E1385" s="24">
        <v>8.585245612E10</v>
      </c>
      <c r="F1385" s="24">
        <v>1.0</v>
      </c>
      <c r="G1385" s="18" t="s">
        <v>5280</v>
      </c>
      <c r="H1385" s="18"/>
      <c r="I1385" s="24">
        <v>8.585245612E10</v>
      </c>
      <c r="J1385" s="18" t="s">
        <v>5282</v>
      </c>
      <c r="K1385" s="18"/>
      <c r="L1385" s="18" t="s">
        <v>2256</v>
      </c>
    </row>
    <row r="1386">
      <c r="A1386" s="18" t="s">
        <v>5283</v>
      </c>
      <c r="B1386" s="18" t="s">
        <v>791</v>
      </c>
      <c r="C1386" s="18" t="s">
        <v>5284</v>
      </c>
      <c r="D1386" s="18"/>
      <c r="E1386" s="24">
        <v>8.5954447637E10</v>
      </c>
      <c r="F1386" s="24">
        <v>1.0</v>
      </c>
      <c r="G1386" s="18" t="s">
        <v>5284</v>
      </c>
      <c r="H1386" s="18"/>
      <c r="I1386" s="24">
        <v>8.5954447637E10</v>
      </c>
      <c r="J1386" s="18" t="s">
        <v>5285</v>
      </c>
      <c r="K1386" s="18"/>
      <c r="L1386" s="18" t="s">
        <v>5286</v>
      </c>
    </row>
    <row r="1387">
      <c r="A1387" s="18" t="s">
        <v>5287</v>
      </c>
      <c r="B1387" s="18" t="s">
        <v>791</v>
      </c>
      <c r="C1387" s="18" t="s">
        <v>5288</v>
      </c>
      <c r="D1387" s="18"/>
      <c r="E1387" s="24">
        <v>8.5233770937E10</v>
      </c>
      <c r="F1387" s="24">
        <v>1.0</v>
      </c>
      <c r="G1387" s="18" t="s">
        <v>5288</v>
      </c>
      <c r="H1387" s="18"/>
      <c r="I1387" s="24">
        <v>8.5233770937E10</v>
      </c>
      <c r="J1387" s="18" t="s">
        <v>5289</v>
      </c>
      <c r="K1387" s="18"/>
      <c r="L1387" s="18" t="s">
        <v>2423</v>
      </c>
    </row>
    <row r="1388">
      <c r="A1388" s="18" t="s">
        <v>5291</v>
      </c>
      <c r="B1388" s="18" t="s">
        <v>791</v>
      </c>
      <c r="C1388" s="18" t="s">
        <v>5292</v>
      </c>
      <c r="D1388" s="18"/>
      <c r="E1388" s="24">
        <v>8.2337454677E10</v>
      </c>
      <c r="F1388" s="24">
        <v>1.0</v>
      </c>
      <c r="G1388" s="18" t="s">
        <v>5292</v>
      </c>
      <c r="H1388" s="18"/>
      <c r="I1388" s="24">
        <v>8.2337454677E10</v>
      </c>
      <c r="J1388" s="18" t="s">
        <v>5293</v>
      </c>
      <c r="K1388" s="18"/>
      <c r="L1388" s="18" t="s">
        <v>5294</v>
      </c>
    </row>
    <row r="1389">
      <c r="A1389" s="18" t="s">
        <v>5295</v>
      </c>
      <c r="B1389" s="18" t="s">
        <v>791</v>
      </c>
      <c r="C1389" s="18" t="s">
        <v>5292</v>
      </c>
      <c r="D1389" s="18"/>
      <c r="E1389" s="24">
        <v>8.1359012432E10</v>
      </c>
      <c r="F1389" s="24">
        <v>1.0</v>
      </c>
      <c r="G1389" s="18" t="s">
        <v>5292</v>
      </c>
      <c r="H1389" s="18"/>
      <c r="I1389" s="24">
        <v>8.1359012432E10</v>
      </c>
      <c r="J1389" s="18" t="s">
        <v>5296</v>
      </c>
      <c r="K1389" s="18"/>
      <c r="L1389" s="18" t="s">
        <v>2652</v>
      </c>
    </row>
    <row r="1390">
      <c r="A1390" s="18" t="s">
        <v>5297</v>
      </c>
      <c r="B1390" s="18" t="s">
        <v>791</v>
      </c>
      <c r="C1390" s="18" t="s">
        <v>5298</v>
      </c>
      <c r="D1390" s="18"/>
      <c r="E1390" s="24">
        <v>8.8227786115E10</v>
      </c>
      <c r="F1390" s="24">
        <v>1.0</v>
      </c>
      <c r="G1390" s="18" t="s">
        <v>5298</v>
      </c>
      <c r="H1390" s="18"/>
      <c r="I1390" s="24">
        <v>8.8227786115E10</v>
      </c>
      <c r="J1390" s="18" t="s">
        <v>5299</v>
      </c>
      <c r="K1390" s="18"/>
      <c r="L1390" s="18" t="s">
        <v>2903</v>
      </c>
    </row>
    <row r="1391">
      <c r="A1391" s="18" t="s">
        <v>5300</v>
      </c>
      <c r="B1391" s="18" t="s">
        <v>791</v>
      </c>
      <c r="C1391" s="18" t="s">
        <v>5301</v>
      </c>
      <c r="D1391" s="18"/>
      <c r="E1391" s="24">
        <v>8.5235143317E10</v>
      </c>
      <c r="F1391" s="24">
        <v>1.0</v>
      </c>
      <c r="G1391" s="18" t="s">
        <v>5301</v>
      </c>
      <c r="H1391" s="18"/>
      <c r="I1391" s="24">
        <v>8.5235143317E10</v>
      </c>
      <c r="J1391" s="18" t="s">
        <v>5302</v>
      </c>
      <c r="K1391" s="18"/>
      <c r="L1391" s="18" t="s">
        <v>3350</v>
      </c>
    </row>
    <row r="1392">
      <c r="A1392" s="18" t="s">
        <v>5303</v>
      </c>
      <c r="B1392" s="18" t="s">
        <v>791</v>
      </c>
      <c r="C1392" s="18" t="s">
        <v>5304</v>
      </c>
      <c r="D1392" s="18"/>
      <c r="E1392" s="24">
        <v>8.3846966443E10</v>
      </c>
      <c r="F1392" s="24">
        <v>1.0</v>
      </c>
      <c r="G1392" s="18" t="s">
        <v>5304</v>
      </c>
      <c r="H1392" s="18"/>
      <c r="I1392" s="24">
        <v>8.3846966443E10</v>
      </c>
      <c r="J1392" s="18" t="s">
        <v>5305</v>
      </c>
      <c r="K1392" s="18"/>
      <c r="L1392" s="18" t="s">
        <v>5306</v>
      </c>
    </row>
    <row r="1393">
      <c r="A1393" s="18" t="s">
        <v>5308</v>
      </c>
      <c r="B1393" s="18" t="s">
        <v>791</v>
      </c>
      <c r="C1393" s="18" t="s">
        <v>5309</v>
      </c>
      <c r="D1393" s="18"/>
      <c r="E1393" s="24">
        <v>8.1216023265E10</v>
      </c>
      <c r="F1393" s="24">
        <v>1.0</v>
      </c>
      <c r="G1393" s="18" t="s">
        <v>5309</v>
      </c>
      <c r="H1393" s="18"/>
      <c r="I1393" s="24">
        <v>8.1216023265E10</v>
      </c>
      <c r="J1393" s="18" t="s">
        <v>5310</v>
      </c>
      <c r="K1393" s="18"/>
      <c r="L1393" s="18" t="s">
        <v>5311</v>
      </c>
    </row>
    <row r="1394">
      <c r="A1394" s="18" t="s">
        <v>5312</v>
      </c>
      <c r="B1394" s="18" t="s">
        <v>791</v>
      </c>
      <c r="C1394" s="18" t="s">
        <v>5313</v>
      </c>
      <c r="D1394" s="18"/>
      <c r="E1394" s="24">
        <v>8.2140637531E10</v>
      </c>
      <c r="F1394" s="24">
        <v>1.0</v>
      </c>
      <c r="G1394" s="18" t="s">
        <v>5313</v>
      </c>
      <c r="H1394" s="18"/>
      <c r="I1394" s="24">
        <v>8.2140637531E10</v>
      </c>
      <c r="J1394" s="18" t="s">
        <v>5314</v>
      </c>
      <c r="K1394" s="18"/>
      <c r="L1394" s="18" t="s">
        <v>3511</v>
      </c>
    </row>
    <row r="1395">
      <c r="A1395" s="18" t="s">
        <v>5315</v>
      </c>
      <c r="B1395" s="18" t="s">
        <v>791</v>
      </c>
      <c r="C1395" s="18" t="s">
        <v>5316</v>
      </c>
      <c r="D1395" s="18"/>
      <c r="E1395" s="24">
        <v>8.587922261E10</v>
      </c>
      <c r="F1395" s="24">
        <v>1.0</v>
      </c>
      <c r="G1395" s="18" t="s">
        <v>5316</v>
      </c>
      <c r="H1395" s="18"/>
      <c r="I1395" s="24">
        <v>8.587922261E10</v>
      </c>
      <c r="J1395" s="18" t="s">
        <v>5317</v>
      </c>
      <c r="K1395" s="18"/>
      <c r="L1395" s="18" t="s">
        <v>2903</v>
      </c>
    </row>
    <row r="1396">
      <c r="A1396" s="18" t="s">
        <v>5318</v>
      </c>
      <c r="B1396" s="18" t="s">
        <v>791</v>
      </c>
      <c r="C1396" s="18" t="s">
        <v>5319</v>
      </c>
      <c r="D1396" s="18"/>
      <c r="E1396" s="24">
        <v>8.5645810617E10</v>
      </c>
      <c r="F1396" s="24">
        <v>1.0</v>
      </c>
      <c r="G1396" s="18" t="s">
        <v>5319</v>
      </c>
      <c r="H1396" s="18"/>
      <c r="I1396" s="24">
        <v>8.5645810617E10</v>
      </c>
      <c r="J1396" s="18" t="s">
        <v>5320</v>
      </c>
      <c r="K1396" s="18"/>
      <c r="L1396" s="18" t="s">
        <v>2955</v>
      </c>
    </row>
    <row r="1397">
      <c r="A1397" s="18" t="s">
        <v>5321</v>
      </c>
      <c r="B1397" s="18" t="s">
        <v>791</v>
      </c>
      <c r="C1397" s="18" t="s">
        <v>5322</v>
      </c>
      <c r="D1397" s="18"/>
      <c r="E1397" s="24">
        <v>8.1359023919E10</v>
      </c>
      <c r="F1397" s="24">
        <v>1.0</v>
      </c>
      <c r="G1397" s="18" t="s">
        <v>5322</v>
      </c>
      <c r="H1397" s="18"/>
      <c r="I1397" s="24">
        <v>8.1359023919E10</v>
      </c>
      <c r="J1397" s="18" t="s">
        <v>5323</v>
      </c>
      <c r="K1397" s="18"/>
      <c r="L1397" s="18" t="s">
        <v>2412</v>
      </c>
    </row>
    <row r="1398">
      <c r="A1398" s="18" t="s">
        <v>5324</v>
      </c>
      <c r="B1398" s="18" t="s">
        <v>791</v>
      </c>
      <c r="C1398" s="18" t="s">
        <v>5325</v>
      </c>
      <c r="D1398" s="18"/>
      <c r="E1398" s="24">
        <v>8.2331794512E10</v>
      </c>
      <c r="F1398" s="24">
        <v>1.0</v>
      </c>
      <c r="G1398" s="18" t="s">
        <v>5325</v>
      </c>
      <c r="H1398" s="18"/>
      <c r="I1398" s="24">
        <v>8.2331794512E10</v>
      </c>
      <c r="J1398" s="18" t="s">
        <v>5326</v>
      </c>
      <c r="K1398" s="18"/>
      <c r="L1398" s="18" t="s">
        <v>5327</v>
      </c>
    </row>
    <row r="1399">
      <c r="A1399" s="18" t="s">
        <v>5328</v>
      </c>
      <c r="B1399" s="18" t="s">
        <v>791</v>
      </c>
      <c r="C1399" s="18" t="s">
        <v>5330</v>
      </c>
      <c r="D1399" s="18"/>
      <c r="E1399" s="24">
        <v>8.574901014E9</v>
      </c>
      <c r="F1399" s="24">
        <v>1.0</v>
      </c>
      <c r="G1399" s="18" t="s">
        <v>5330</v>
      </c>
      <c r="H1399" s="18"/>
      <c r="I1399" s="24">
        <v>8.574901014E9</v>
      </c>
      <c r="J1399" s="18" t="s">
        <v>5331</v>
      </c>
      <c r="K1399" s="18"/>
      <c r="L1399" s="18" t="s">
        <v>5332</v>
      </c>
    </row>
    <row r="1400">
      <c r="A1400" s="18" t="s">
        <v>5333</v>
      </c>
      <c r="B1400" s="18" t="s">
        <v>791</v>
      </c>
      <c r="C1400" s="18" t="s">
        <v>5334</v>
      </c>
      <c r="D1400" s="18"/>
      <c r="E1400" s="24">
        <v>8.1367225044E10</v>
      </c>
      <c r="F1400" s="24">
        <v>1.0</v>
      </c>
      <c r="G1400" s="18" t="s">
        <v>5334</v>
      </c>
      <c r="H1400" s="18"/>
      <c r="I1400" s="24">
        <v>8.1367225044E10</v>
      </c>
      <c r="J1400" s="24">
        <v>3.52112020483E15</v>
      </c>
      <c r="K1400" s="18"/>
      <c r="L1400" s="18" t="s">
        <v>5335</v>
      </c>
    </row>
    <row r="1401">
      <c r="A1401" s="18" t="s">
        <v>5336</v>
      </c>
      <c r="B1401" s="18" t="s">
        <v>791</v>
      </c>
      <c r="C1401" s="18" t="s">
        <v>5337</v>
      </c>
      <c r="D1401" s="18"/>
      <c r="E1401" s="24">
        <v>8.564584087E10</v>
      </c>
      <c r="F1401" s="24">
        <v>1.0</v>
      </c>
      <c r="G1401" s="18" t="s">
        <v>5337</v>
      </c>
      <c r="H1401" s="18"/>
      <c r="I1401" s="24">
        <v>8.564584087E10</v>
      </c>
      <c r="J1401" s="18" t="s">
        <v>5339</v>
      </c>
      <c r="K1401" s="18"/>
      <c r="L1401" s="18" t="s">
        <v>2994</v>
      </c>
    </row>
    <row r="1402">
      <c r="A1402" s="18" t="s">
        <v>5340</v>
      </c>
      <c r="B1402" s="18" t="s">
        <v>791</v>
      </c>
      <c r="C1402" s="18" t="s">
        <v>5341</v>
      </c>
      <c r="D1402" s="18"/>
      <c r="E1402" s="24">
        <v>8.5235231511E10</v>
      </c>
      <c r="F1402" s="24">
        <v>1.0</v>
      </c>
      <c r="G1402" s="18" t="s">
        <v>5341</v>
      </c>
      <c r="H1402" s="18"/>
      <c r="I1402" s="24">
        <v>8.5235231511E10</v>
      </c>
      <c r="J1402" s="18" t="s">
        <v>5342</v>
      </c>
      <c r="K1402" s="18"/>
      <c r="L1402" s="18" t="s">
        <v>5343</v>
      </c>
    </row>
    <row r="1403">
      <c r="A1403" s="18" t="s">
        <v>5344</v>
      </c>
      <c r="B1403" s="18" t="s">
        <v>791</v>
      </c>
      <c r="C1403" s="18" t="s">
        <v>5345</v>
      </c>
      <c r="D1403" s="18"/>
      <c r="E1403" s="24">
        <v>8.5235543827E10</v>
      </c>
      <c r="F1403" s="24">
        <v>1.0</v>
      </c>
      <c r="G1403" s="18" t="s">
        <v>5345</v>
      </c>
      <c r="H1403" s="18"/>
      <c r="I1403" s="24">
        <v>8.5235543827E10</v>
      </c>
      <c r="J1403" s="18" t="s">
        <v>5346</v>
      </c>
      <c r="K1403" s="18"/>
      <c r="L1403" s="18" t="s">
        <v>2358</v>
      </c>
    </row>
    <row r="1404">
      <c r="A1404" s="18" t="s">
        <v>5347</v>
      </c>
      <c r="B1404" s="18" t="s">
        <v>791</v>
      </c>
      <c r="C1404" s="18" t="s">
        <v>5348</v>
      </c>
      <c r="D1404" s="18"/>
      <c r="E1404" s="24">
        <v>8.5326632177E10</v>
      </c>
      <c r="F1404" s="24">
        <v>1.0</v>
      </c>
      <c r="G1404" s="18" t="s">
        <v>5348</v>
      </c>
      <c r="H1404" s="18"/>
      <c r="I1404" s="24">
        <v>8.5326632177E10</v>
      </c>
      <c r="J1404" s="18" t="s">
        <v>5349</v>
      </c>
      <c r="K1404" s="18"/>
      <c r="L1404" s="18" t="s">
        <v>5350</v>
      </c>
    </row>
    <row r="1405">
      <c r="A1405" s="18" t="s">
        <v>5351</v>
      </c>
      <c r="B1405" s="18" t="s">
        <v>791</v>
      </c>
      <c r="C1405" s="18" t="s">
        <v>5352</v>
      </c>
      <c r="D1405" s="18"/>
      <c r="E1405" s="24">
        <v>8.5235543827E10</v>
      </c>
      <c r="F1405" s="24">
        <v>1.0</v>
      </c>
      <c r="G1405" s="18" t="s">
        <v>5352</v>
      </c>
      <c r="H1405" s="18"/>
      <c r="I1405" s="24">
        <v>8.5235543827E10</v>
      </c>
      <c r="J1405" s="18" t="s">
        <v>5353</v>
      </c>
      <c r="K1405" s="18"/>
      <c r="L1405" s="18" t="s">
        <v>2358</v>
      </c>
    </row>
    <row r="1406">
      <c r="A1406" s="18" t="s">
        <v>5354</v>
      </c>
      <c r="B1406" s="18" t="s">
        <v>791</v>
      </c>
      <c r="C1406" s="18" t="s">
        <v>5355</v>
      </c>
      <c r="D1406" s="18"/>
      <c r="E1406" s="24">
        <v>8.1381996165E10</v>
      </c>
      <c r="F1406" s="24">
        <v>1.0</v>
      </c>
      <c r="G1406" s="18" t="s">
        <v>5355</v>
      </c>
      <c r="H1406" s="18"/>
      <c r="I1406" s="24">
        <v>8.1381996165E10</v>
      </c>
      <c r="J1406" s="18" t="s">
        <v>5356</v>
      </c>
      <c r="K1406" s="18"/>
      <c r="L1406" s="18" t="s">
        <v>5357</v>
      </c>
    </row>
    <row r="1407">
      <c r="A1407" s="18" t="s">
        <v>5358</v>
      </c>
      <c r="B1407" s="18" t="s">
        <v>791</v>
      </c>
      <c r="C1407" s="18" t="s">
        <v>5359</v>
      </c>
      <c r="D1407" s="18"/>
      <c r="E1407" s="24">
        <v>8.5655633834E10</v>
      </c>
      <c r="F1407" s="24">
        <v>1.0</v>
      </c>
      <c r="G1407" s="18" t="s">
        <v>5359</v>
      </c>
      <c r="H1407" s="18"/>
      <c r="I1407" s="24">
        <v>8.5655633834E10</v>
      </c>
      <c r="J1407" s="18" t="s">
        <v>5360</v>
      </c>
      <c r="K1407" s="18"/>
      <c r="L1407" s="18" t="s">
        <v>3776</v>
      </c>
    </row>
    <row r="1408">
      <c r="A1408" s="18" t="s">
        <v>5361</v>
      </c>
      <c r="B1408" s="18" t="s">
        <v>791</v>
      </c>
      <c r="C1408" s="18" t="s">
        <v>5362</v>
      </c>
      <c r="D1408" s="18"/>
      <c r="E1408" s="24">
        <v>8.1359023919E10</v>
      </c>
      <c r="F1408" s="24">
        <v>1.0</v>
      </c>
      <c r="G1408" s="18" t="s">
        <v>5362</v>
      </c>
      <c r="H1408" s="18"/>
      <c r="I1408" s="24">
        <v>8.1359023919E10</v>
      </c>
      <c r="J1408" s="18" t="s">
        <v>5363</v>
      </c>
      <c r="K1408" s="18"/>
      <c r="L1408" s="18" t="s">
        <v>2412</v>
      </c>
    </row>
    <row r="1409">
      <c r="A1409" s="18" t="s">
        <v>5364</v>
      </c>
      <c r="B1409" s="18" t="s">
        <v>791</v>
      </c>
      <c r="C1409" s="18" t="s">
        <v>5365</v>
      </c>
      <c r="D1409" s="18"/>
      <c r="E1409" s="24">
        <v>8.2333458543E10</v>
      </c>
      <c r="F1409" s="24">
        <v>1.0</v>
      </c>
      <c r="G1409" s="18" t="s">
        <v>5365</v>
      </c>
      <c r="H1409" s="18"/>
      <c r="I1409" s="24">
        <v>8.2333458543E10</v>
      </c>
      <c r="J1409" s="18" t="s">
        <v>5366</v>
      </c>
      <c r="K1409" s="18"/>
      <c r="L1409" s="18" t="s">
        <v>2652</v>
      </c>
    </row>
    <row r="1410">
      <c r="A1410" s="18" t="s">
        <v>5367</v>
      </c>
      <c r="B1410" s="18" t="s">
        <v>791</v>
      </c>
      <c r="C1410" s="18" t="s">
        <v>5368</v>
      </c>
      <c r="D1410" s="18"/>
      <c r="E1410" s="24">
        <v>8.522981918E10</v>
      </c>
      <c r="F1410" s="24">
        <v>1.0</v>
      </c>
      <c r="G1410" s="18" t="s">
        <v>5368</v>
      </c>
      <c r="H1410" s="18"/>
      <c r="I1410" s="24">
        <v>8.522981918E10</v>
      </c>
      <c r="J1410" s="18" t="s">
        <v>5369</v>
      </c>
      <c r="K1410" s="18"/>
      <c r="L1410" s="18" t="s">
        <v>2339</v>
      </c>
    </row>
    <row r="1411">
      <c r="A1411" s="18" t="s">
        <v>5370</v>
      </c>
      <c r="B1411" s="18" t="s">
        <v>791</v>
      </c>
      <c r="C1411" s="18" t="s">
        <v>5371</v>
      </c>
      <c r="D1411" s="18"/>
      <c r="E1411" s="24">
        <v>8.1335388765E10</v>
      </c>
      <c r="F1411" s="24">
        <v>1.0</v>
      </c>
      <c r="G1411" s="18" t="s">
        <v>5371</v>
      </c>
      <c r="H1411" s="18"/>
      <c r="I1411" s="24">
        <v>8.1335388765E10</v>
      </c>
      <c r="J1411" s="18" t="s">
        <v>4529</v>
      </c>
      <c r="K1411" s="18"/>
      <c r="L1411" s="18" t="s">
        <v>5372</v>
      </c>
    </row>
    <row r="1412">
      <c r="A1412" s="18" t="s">
        <v>5373</v>
      </c>
      <c r="B1412" s="18" t="s">
        <v>791</v>
      </c>
      <c r="C1412" s="18" t="s">
        <v>5374</v>
      </c>
      <c r="D1412" s="18"/>
      <c r="E1412" s="24">
        <v>8.5746879791E10</v>
      </c>
      <c r="F1412" s="24">
        <v>1.0</v>
      </c>
      <c r="G1412" s="18" t="s">
        <v>5374</v>
      </c>
      <c r="H1412" s="18"/>
      <c r="I1412" s="24">
        <v>8.5746879791E10</v>
      </c>
      <c r="J1412" s="18" t="s">
        <v>5376</v>
      </c>
      <c r="K1412" s="18"/>
      <c r="L1412" s="18" t="s">
        <v>4366</v>
      </c>
    </row>
    <row r="1413">
      <c r="A1413" s="18" t="s">
        <v>5377</v>
      </c>
      <c r="B1413" s="18" t="s">
        <v>791</v>
      </c>
      <c r="C1413" s="18" t="s">
        <v>5378</v>
      </c>
      <c r="D1413" s="18"/>
      <c r="E1413" s="18"/>
      <c r="F1413" s="24">
        <v>1.0</v>
      </c>
      <c r="G1413" s="18" t="s">
        <v>5378</v>
      </c>
      <c r="H1413" s="18"/>
      <c r="I1413" s="18"/>
      <c r="J1413" s="24">
        <v>3.52117280400001E14</v>
      </c>
      <c r="K1413" s="18"/>
      <c r="L1413" s="18"/>
    </row>
    <row r="1414">
      <c r="A1414" s="18" t="s">
        <v>5379</v>
      </c>
      <c r="B1414" s="18" t="s">
        <v>791</v>
      </c>
      <c r="C1414" s="18" t="s">
        <v>5380</v>
      </c>
      <c r="D1414" s="18"/>
      <c r="E1414" s="18"/>
      <c r="F1414" s="24">
        <v>1.0</v>
      </c>
      <c r="G1414" s="18" t="s">
        <v>5380</v>
      </c>
      <c r="H1414" s="18"/>
      <c r="I1414" s="18"/>
      <c r="J1414" s="18" t="s">
        <v>5381</v>
      </c>
      <c r="K1414" s="18"/>
      <c r="L1414" s="18"/>
    </row>
    <row r="1415">
      <c r="A1415" s="18" t="s">
        <v>5382</v>
      </c>
      <c r="B1415" s="18" t="s">
        <v>791</v>
      </c>
      <c r="C1415" s="18" t="s">
        <v>5383</v>
      </c>
      <c r="D1415" s="18"/>
      <c r="E1415" s="18"/>
      <c r="F1415" s="24">
        <v>1.0</v>
      </c>
      <c r="G1415" s="18" t="s">
        <v>5383</v>
      </c>
      <c r="H1415" s="18"/>
      <c r="I1415" s="18"/>
      <c r="J1415" s="18" t="s">
        <v>5384</v>
      </c>
      <c r="K1415" s="18"/>
      <c r="L1415" s="18"/>
    </row>
    <row r="1416">
      <c r="A1416" s="18" t="s">
        <v>5385</v>
      </c>
      <c r="B1416" s="18" t="s">
        <v>791</v>
      </c>
      <c r="C1416" s="18" t="s">
        <v>5386</v>
      </c>
      <c r="D1416" s="18"/>
      <c r="E1416" s="24">
        <v>8.5797064201E10</v>
      </c>
      <c r="F1416" s="24">
        <v>1.0</v>
      </c>
      <c r="G1416" s="18" t="s">
        <v>5386</v>
      </c>
      <c r="H1416" s="18"/>
      <c r="I1416" s="24">
        <v>8.5797064201E10</v>
      </c>
      <c r="J1416" s="18" t="s">
        <v>5387</v>
      </c>
      <c r="K1416" s="18"/>
      <c r="L1416" s="18" t="s">
        <v>2749</v>
      </c>
    </row>
    <row r="1417">
      <c r="A1417" s="18" t="s">
        <v>5388</v>
      </c>
      <c r="B1417" s="18" t="s">
        <v>791</v>
      </c>
      <c r="C1417" s="18" t="s">
        <v>5389</v>
      </c>
      <c r="D1417" s="18"/>
      <c r="E1417" s="24">
        <v>8.5330338332E10</v>
      </c>
      <c r="F1417" s="24">
        <v>1.0</v>
      </c>
      <c r="G1417" s="18" t="s">
        <v>5389</v>
      </c>
      <c r="H1417" s="18"/>
      <c r="I1417" s="24">
        <v>8.5330338332E10</v>
      </c>
      <c r="J1417" s="18" t="s">
        <v>5390</v>
      </c>
      <c r="K1417" s="18"/>
      <c r="L1417" s="18" t="s">
        <v>2843</v>
      </c>
    </row>
    <row r="1418">
      <c r="A1418" s="18" t="s">
        <v>5391</v>
      </c>
      <c r="B1418" s="18" t="s">
        <v>791</v>
      </c>
      <c r="C1418" s="18" t="s">
        <v>5389</v>
      </c>
      <c r="D1418" s="18"/>
      <c r="E1418" s="24">
        <v>8.2338058887E10</v>
      </c>
      <c r="F1418" s="24">
        <v>1.0</v>
      </c>
      <c r="G1418" s="18" t="s">
        <v>5389</v>
      </c>
      <c r="H1418" s="18"/>
      <c r="I1418" s="24">
        <v>8.2338058887E10</v>
      </c>
      <c r="J1418" s="18" t="s">
        <v>5392</v>
      </c>
      <c r="K1418" s="18"/>
      <c r="L1418" s="18" t="s">
        <v>2584</v>
      </c>
    </row>
    <row r="1419">
      <c r="A1419" s="18" t="s">
        <v>5393</v>
      </c>
      <c r="B1419" s="18" t="s">
        <v>791</v>
      </c>
      <c r="C1419" s="18" t="s">
        <v>5394</v>
      </c>
      <c r="D1419" s="18"/>
      <c r="E1419" s="24">
        <v>8.5100676445E10</v>
      </c>
      <c r="F1419" s="24">
        <v>1.0</v>
      </c>
      <c r="G1419" s="18" t="s">
        <v>5394</v>
      </c>
      <c r="H1419" s="18"/>
      <c r="I1419" s="24">
        <v>8.5100676445E10</v>
      </c>
      <c r="J1419" s="18" t="s">
        <v>5395</v>
      </c>
      <c r="K1419" s="18"/>
      <c r="L1419" s="18" t="s">
        <v>4980</v>
      </c>
    </row>
    <row r="1420">
      <c r="A1420" s="18" t="s">
        <v>5396</v>
      </c>
      <c r="B1420" s="18" t="s">
        <v>791</v>
      </c>
      <c r="C1420" s="18" t="s">
        <v>5397</v>
      </c>
      <c r="D1420" s="18"/>
      <c r="E1420" s="24">
        <v>8.125936923E9</v>
      </c>
      <c r="F1420" s="24">
        <v>1.0</v>
      </c>
      <c r="G1420" s="18" t="s">
        <v>5397</v>
      </c>
      <c r="H1420" s="18"/>
      <c r="I1420" s="24">
        <v>8.125936923E9</v>
      </c>
      <c r="J1420" s="18" t="s">
        <v>5398</v>
      </c>
      <c r="K1420" s="18"/>
      <c r="L1420" s="18" t="s">
        <v>5399</v>
      </c>
    </row>
    <row r="1421">
      <c r="A1421" s="18" t="s">
        <v>5400</v>
      </c>
      <c r="B1421" s="18" t="s">
        <v>791</v>
      </c>
      <c r="C1421" s="18" t="s">
        <v>5401</v>
      </c>
      <c r="D1421" s="18"/>
      <c r="E1421" s="24">
        <v>8.52297333116E11</v>
      </c>
      <c r="F1421" s="24">
        <v>1.0</v>
      </c>
      <c r="G1421" s="18" t="s">
        <v>5401</v>
      </c>
      <c r="H1421" s="18"/>
      <c r="I1421" s="24">
        <v>8.52297333116E11</v>
      </c>
      <c r="J1421" s="18" t="s">
        <v>5402</v>
      </c>
      <c r="K1421" s="18"/>
      <c r="L1421" s="18" t="s">
        <v>3825</v>
      </c>
    </row>
    <row r="1422">
      <c r="A1422" s="18" t="s">
        <v>5403</v>
      </c>
      <c r="B1422" s="18" t="s">
        <v>791</v>
      </c>
      <c r="C1422" s="18" t="s">
        <v>5404</v>
      </c>
      <c r="D1422" s="18"/>
      <c r="E1422" s="24">
        <v>8.1252779695E10</v>
      </c>
      <c r="F1422" s="24">
        <v>1.0</v>
      </c>
      <c r="G1422" s="18" t="s">
        <v>5404</v>
      </c>
      <c r="H1422" s="18"/>
      <c r="I1422" s="24">
        <v>8.1252779695E10</v>
      </c>
      <c r="J1422" s="18" t="s">
        <v>5405</v>
      </c>
      <c r="K1422" s="18"/>
      <c r="L1422" s="18" t="s">
        <v>1850</v>
      </c>
    </row>
    <row r="1423">
      <c r="A1423" s="18" t="s">
        <v>5406</v>
      </c>
      <c r="B1423" s="18" t="s">
        <v>791</v>
      </c>
      <c r="C1423" s="18" t="s">
        <v>5407</v>
      </c>
      <c r="D1423" s="18"/>
      <c r="E1423" s="18"/>
      <c r="F1423" s="24">
        <v>1.0</v>
      </c>
      <c r="G1423" s="18" t="s">
        <v>5407</v>
      </c>
      <c r="H1423" s="18"/>
      <c r="I1423" s="18"/>
      <c r="J1423" s="18" t="s">
        <v>5408</v>
      </c>
      <c r="K1423" s="18"/>
      <c r="L1423" s="18"/>
    </row>
    <row r="1424">
      <c r="A1424" s="18" t="s">
        <v>5409</v>
      </c>
      <c r="B1424" s="18" t="s">
        <v>791</v>
      </c>
      <c r="C1424" s="18" t="s">
        <v>5411</v>
      </c>
      <c r="D1424" s="18"/>
      <c r="E1424" s="24">
        <v>8.5230076676E10</v>
      </c>
      <c r="F1424" s="24">
        <v>1.0</v>
      </c>
      <c r="G1424" s="18" t="s">
        <v>5411</v>
      </c>
      <c r="H1424" s="18"/>
      <c r="I1424" s="24">
        <v>8.5230076676E10</v>
      </c>
      <c r="J1424" s="18" t="s">
        <v>5412</v>
      </c>
      <c r="K1424" s="18"/>
      <c r="L1424" s="18" t="s">
        <v>5413</v>
      </c>
    </row>
    <row r="1425">
      <c r="A1425" s="18" t="s">
        <v>5414</v>
      </c>
      <c r="B1425" s="18" t="s">
        <v>791</v>
      </c>
      <c r="C1425" s="18" t="s">
        <v>5415</v>
      </c>
      <c r="D1425" s="18"/>
      <c r="E1425" s="24">
        <v>8.5710322783E10</v>
      </c>
      <c r="F1425" s="24">
        <v>1.0</v>
      </c>
      <c r="G1425" s="18" t="s">
        <v>5415</v>
      </c>
      <c r="H1425" s="18"/>
      <c r="I1425" s="24">
        <v>8.5710322783E10</v>
      </c>
      <c r="J1425" s="18" t="s">
        <v>4500</v>
      </c>
      <c r="K1425" s="18"/>
      <c r="L1425" s="18" t="s">
        <v>5416</v>
      </c>
    </row>
    <row r="1426">
      <c r="A1426" s="18" t="s">
        <v>5417</v>
      </c>
      <c r="B1426" s="18" t="s">
        <v>791</v>
      </c>
      <c r="C1426" s="18" t="s">
        <v>5418</v>
      </c>
      <c r="D1426" s="18"/>
      <c r="E1426" s="24">
        <v>8.5731696628E10</v>
      </c>
      <c r="F1426" s="24">
        <v>1.0</v>
      </c>
      <c r="G1426" s="18" t="s">
        <v>5418</v>
      </c>
      <c r="H1426" s="18"/>
      <c r="I1426" s="24">
        <v>8.5731696628E10</v>
      </c>
      <c r="J1426" s="18" t="s">
        <v>4516</v>
      </c>
      <c r="K1426" s="18"/>
      <c r="L1426" s="18" t="s">
        <v>5419</v>
      </c>
    </row>
    <row r="1427">
      <c r="A1427" s="18" t="s">
        <v>5420</v>
      </c>
      <c r="B1427" s="18" t="s">
        <v>791</v>
      </c>
      <c r="C1427" s="18" t="s">
        <v>5421</v>
      </c>
      <c r="D1427" s="18"/>
      <c r="E1427" s="24">
        <v>8.5337321217E10</v>
      </c>
      <c r="F1427" s="24">
        <v>1.0</v>
      </c>
      <c r="G1427" s="18" t="s">
        <v>5421</v>
      </c>
      <c r="H1427" s="18"/>
      <c r="I1427" s="24">
        <v>8.5337321217E10</v>
      </c>
      <c r="J1427" s="18" t="s">
        <v>5422</v>
      </c>
      <c r="K1427" s="18"/>
      <c r="L1427" s="18" t="s">
        <v>3751</v>
      </c>
    </row>
    <row r="1428">
      <c r="A1428" s="18" t="s">
        <v>5423</v>
      </c>
      <c r="B1428" s="18" t="s">
        <v>791</v>
      </c>
      <c r="C1428" s="18" t="s">
        <v>5424</v>
      </c>
      <c r="D1428" s="18"/>
      <c r="E1428" s="24">
        <v>8.5731615748E10</v>
      </c>
      <c r="F1428" s="24">
        <v>1.0</v>
      </c>
      <c r="G1428" s="18" t="s">
        <v>5424</v>
      </c>
      <c r="H1428" s="18"/>
      <c r="I1428" s="24">
        <v>8.5731615748E10</v>
      </c>
      <c r="J1428" s="18" t="s">
        <v>5425</v>
      </c>
      <c r="K1428" s="18"/>
      <c r="L1428" s="18" t="s">
        <v>5426</v>
      </c>
    </row>
    <row r="1429">
      <c r="A1429" s="18" t="s">
        <v>5427</v>
      </c>
      <c r="B1429" s="18" t="s">
        <v>791</v>
      </c>
      <c r="C1429" s="18" t="s">
        <v>5428</v>
      </c>
      <c r="D1429" s="18"/>
      <c r="E1429" s="24">
        <v>8.525920211E10</v>
      </c>
      <c r="F1429" s="24">
        <v>1.0</v>
      </c>
      <c r="G1429" s="18" t="s">
        <v>5428</v>
      </c>
      <c r="H1429" s="18"/>
      <c r="I1429" s="24">
        <v>8.525920211E10</v>
      </c>
      <c r="J1429" s="18" t="s">
        <v>5429</v>
      </c>
      <c r="K1429" s="18"/>
      <c r="L1429" s="18" t="s">
        <v>2398</v>
      </c>
    </row>
    <row r="1430">
      <c r="A1430" s="18" t="s">
        <v>5430</v>
      </c>
      <c r="B1430" s="18" t="s">
        <v>791</v>
      </c>
      <c r="C1430" s="18" t="s">
        <v>5431</v>
      </c>
      <c r="D1430" s="18"/>
      <c r="E1430" s="24">
        <v>8.133562307E10</v>
      </c>
      <c r="F1430" s="24">
        <v>1.0</v>
      </c>
      <c r="G1430" s="18" t="s">
        <v>5431</v>
      </c>
      <c r="H1430" s="18"/>
      <c r="I1430" s="24">
        <v>8.133562307E10</v>
      </c>
      <c r="J1430" s="18" t="s">
        <v>5432</v>
      </c>
      <c r="K1430" s="18"/>
      <c r="L1430" s="18" t="s">
        <v>1186</v>
      </c>
    </row>
    <row r="1431">
      <c r="A1431" s="18" t="s">
        <v>5433</v>
      </c>
      <c r="B1431" s="18" t="s">
        <v>791</v>
      </c>
      <c r="C1431" s="18" t="s">
        <v>5434</v>
      </c>
      <c r="D1431" s="18"/>
      <c r="E1431" s="24">
        <v>8.5232932995E10</v>
      </c>
      <c r="F1431" s="24">
        <v>1.0</v>
      </c>
      <c r="G1431" s="18" t="s">
        <v>5434</v>
      </c>
      <c r="H1431" s="18"/>
      <c r="I1431" s="24">
        <v>8.5232932995E10</v>
      </c>
      <c r="J1431" s="24">
        <v>3.52110140583001E15</v>
      </c>
      <c r="K1431" s="18"/>
      <c r="L1431" s="18" t="s">
        <v>2423</v>
      </c>
    </row>
    <row r="1432">
      <c r="A1432" s="18" t="s">
        <v>5435</v>
      </c>
      <c r="B1432" s="18" t="s">
        <v>791</v>
      </c>
      <c r="C1432" s="18" t="s">
        <v>5436</v>
      </c>
      <c r="D1432" s="18"/>
      <c r="E1432" s="24">
        <v>8.5749125421E10</v>
      </c>
      <c r="F1432" s="24">
        <v>1.0</v>
      </c>
      <c r="G1432" s="18" t="s">
        <v>5436</v>
      </c>
      <c r="H1432" s="18"/>
      <c r="I1432" s="24">
        <v>8.5749125421E10</v>
      </c>
      <c r="J1432" s="18" t="s">
        <v>5438</v>
      </c>
      <c r="K1432" s="18"/>
      <c r="L1432" s="18" t="s">
        <v>84</v>
      </c>
    </row>
    <row r="1433">
      <c r="A1433" s="18" t="s">
        <v>5439</v>
      </c>
      <c r="B1433" s="18" t="s">
        <v>791</v>
      </c>
      <c r="C1433" s="18" t="s">
        <v>5440</v>
      </c>
      <c r="D1433" s="18"/>
      <c r="E1433" s="24">
        <v>8.5235003271E10</v>
      </c>
      <c r="F1433" s="24">
        <v>1.0</v>
      </c>
      <c r="G1433" s="18" t="s">
        <v>5440</v>
      </c>
      <c r="H1433" s="18"/>
      <c r="I1433" s="24">
        <v>8.5235003271E10</v>
      </c>
      <c r="J1433" s="18" t="s">
        <v>5441</v>
      </c>
      <c r="K1433" s="18"/>
      <c r="L1433" s="18" t="s">
        <v>5442</v>
      </c>
    </row>
    <row r="1434">
      <c r="A1434" s="18" t="s">
        <v>5443</v>
      </c>
      <c r="B1434" s="18" t="s">
        <v>791</v>
      </c>
      <c r="C1434" s="18" t="s">
        <v>5444</v>
      </c>
      <c r="D1434" s="18"/>
      <c r="E1434" s="24">
        <v>8.5337321218E10</v>
      </c>
      <c r="F1434" s="24">
        <v>1.0</v>
      </c>
      <c r="G1434" s="18" t="s">
        <v>5444</v>
      </c>
      <c r="H1434" s="18"/>
      <c r="I1434" s="24">
        <v>8.5337321218E10</v>
      </c>
      <c r="J1434" s="18" t="s">
        <v>5446</v>
      </c>
      <c r="K1434" s="18"/>
      <c r="L1434" s="18" t="s">
        <v>3751</v>
      </c>
    </row>
    <row r="1435">
      <c r="A1435" s="18" t="s">
        <v>5447</v>
      </c>
      <c r="B1435" s="18" t="s">
        <v>791</v>
      </c>
      <c r="C1435" s="18" t="s">
        <v>5448</v>
      </c>
      <c r="D1435" s="18"/>
      <c r="E1435" s="24">
        <v>8.5103373232E10</v>
      </c>
      <c r="F1435" s="24">
        <v>1.0</v>
      </c>
      <c r="G1435" s="18" t="s">
        <v>5448</v>
      </c>
      <c r="H1435" s="18"/>
      <c r="I1435" s="24">
        <v>8.5103373232E10</v>
      </c>
      <c r="J1435" s="18" t="s">
        <v>5449</v>
      </c>
      <c r="K1435" s="18"/>
      <c r="L1435" s="18" t="s">
        <v>1519</v>
      </c>
    </row>
    <row r="1436">
      <c r="A1436" s="18" t="s">
        <v>5450</v>
      </c>
      <c r="B1436" s="18" t="s">
        <v>791</v>
      </c>
      <c r="C1436" s="18" t="s">
        <v>5448</v>
      </c>
      <c r="D1436" s="18"/>
      <c r="E1436" s="18"/>
      <c r="F1436" s="24">
        <v>1.0</v>
      </c>
      <c r="G1436" s="18" t="s">
        <v>5448</v>
      </c>
      <c r="H1436" s="18"/>
      <c r="I1436" s="18"/>
      <c r="J1436" s="18" t="s">
        <v>5451</v>
      </c>
      <c r="K1436" s="18"/>
      <c r="L1436" s="18"/>
    </row>
    <row r="1437">
      <c r="A1437" s="18" t="s">
        <v>5452</v>
      </c>
      <c r="B1437" s="18" t="s">
        <v>791</v>
      </c>
      <c r="C1437" s="18" t="s">
        <v>5454</v>
      </c>
      <c r="D1437" s="18"/>
      <c r="E1437" s="24">
        <v>8.5852504284E10</v>
      </c>
      <c r="F1437" s="24">
        <v>1.0</v>
      </c>
      <c r="G1437" s="18" t="s">
        <v>5454</v>
      </c>
      <c r="H1437" s="18"/>
      <c r="I1437" s="24">
        <v>8.5852504284E10</v>
      </c>
      <c r="J1437" s="18" t="s">
        <v>5455</v>
      </c>
      <c r="K1437" s="18"/>
      <c r="L1437" s="18" t="s">
        <v>5456</v>
      </c>
    </row>
    <row r="1438">
      <c r="A1438" s="18" t="s">
        <v>5457</v>
      </c>
      <c r="B1438" s="18" t="s">
        <v>791</v>
      </c>
      <c r="C1438" s="18" t="s">
        <v>5458</v>
      </c>
      <c r="D1438" s="18"/>
      <c r="E1438" s="24">
        <v>8.133534559E10</v>
      </c>
      <c r="F1438" s="24">
        <v>1.0</v>
      </c>
      <c r="G1438" s="18" t="s">
        <v>5458</v>
      </c>
      <c r="H1438" s="18"/>
      <c r="I1438" s="24">
        <v>8.133534559E10</v>
      </c>
      <c r="J1438" s="24">
        <v>3.52112061068E15</v>
      </c>
      <c r="K1438" s="18"/>
      <c r="L1438" s="18" t="s">
        <v>3342</v>
      </c>
    </row>
    <row r="1439">
      <c r="A1439" s="18" t="s">
        <v>5459</v>
      </c>
      <c r="B1439" s="18" t="s">
        <v>791</v>
      </c>
      <c r="C1439" s="18" t="s">
        <v>5460</v>
      </c>
      <c r="D1439" s="18"/>
      <c r="E1439" s="24">
        <v>8.5229882641E10</v>
      </c>
      <c r="F1439" s="24">
        <v>1.0</v>
      </c>
      <c r="G1439" s="18" t="s">
        <v>5460</v>
      </c>
      <c r="H1439" s="18"/>
      <c r="I1439" s="24">
        <v>8.5229882641E10</v>
      </c>
      <c r="J1439" s="18" t="s">
        <v>5461</v>
      </c>
      <c r="K1439" s="18"/>
      <c r="L1439" s="18" t="s">
        <v>3452</v>
      </c>
    </row>
    <row r="1440">
      <c r="A1440" s="18" t="s">
        <v>5462</v>
      </c>
      <c r="B1440" s="18" t="s">
        <v>791</v>
      </c>
      <c r="C1440" s="18" t="s">
        <v>5463</v>
      </c>
      <c r="D1440" s="18"/>
      <c r="E1440" s="24">
        <v>8.1234105724E10</v>
      </c>
      <c r="F1440" s="24">
        <v>1.0</v>
      </c>
      <c r="G1440" s="18" t="s">
        <v>5463</v>
      </c>
      <c r="H1440" s="18"/>
      <c r="I1440" s="24">
        <v>8.1234105724E10</v>
      </c>
      <c r="J1440" s="18" t="s">
        <v>5464</v>
      </c>
      <c r="K1440" s="18"/>
      <c r="L1440" s="18" t="s">
        <v>5465</v>
      </c>
    </row>
    <row r="1441">
      <c r="A1441" s="18" t="s">
        <v>5466</v>
      </c>
      <c r="B1441" s="18" t="s">
        <v>791</v>
      </c>
      <c r="C1441" s="18" t="s">
        <v>5467</v>
      </c>
      <c r="D1441" s="18"/>
      <c r="E1441" s="24">
        <v>8.5107837891E10</v>
      </c>
      <c r="F1441" s="24">
        <v>1.0</v>
      </c>
      <c r="G1441" s="18" t="s">
        <v>5467</v>
      </c>
      <c r="H1441" s="18"/>
      <c r="I1441" s="24">
        <v>8.5107837891E10</v>
      </c>
      <c r="J1441" s="18" t="s">
        <v>5468</v>
      </c>
      <c r="K1441" s="18"/>
      <c r="L1441" s="18" t="s">
        <v>1489</v>
      </c>
    </row>
    <row r="1442">
      <c r="A1442" s="18" t="s">
        <v>5469</v>
      </c>
      <c r="B1442" s="18" t="s">
        <v>791</v>
      </c>
      <c r="C1442" s="18" t="s">
        <v>5470</v>
      </c>
      <c r="D1442" s="18"/>
      <c r="E1442" s="24">
        <v>8.5608925786E10</v>
      </c>
      <c r="F1442" s="24">
        <v>1.0</v>
      </c>
      <c r="G1442" s="18" t="s">
        <v>5470</v>
      </c>
      <c r="H1442" s="18"/>
      <c r="I1442" s="24">
        <v>8.5608925786E10</v>
      </c>
      <c r="J1442" s="18" t="s">
        <v>4613</v>
      </c>
      <c r="K1442" s="18"/>
      <c r="L1442" s="18" t="s">
        <v>5471</v>
      </c>
    </row>
    <row r="1443">
      <c r="A1443" s="18" t="s">
        <v>5472</v>
      </c>
      <c r="B1443" s="18" t="s">
        <v>791</v>
      </c>
      <c r="C1443" s="18" t="s">
        <v>5473</v>
      </c>
      <c r="D1443" s="18"/>
      <c r="E1443" s="24">
        <v>8.5730900352E10</v>
      </c>
      <c r="F1443" s="24">
        <v>1.0</v>
      </c>
      <c r="G1443" s="18" t="s">
        <v>5473</v>
      </c>
      <c r="H1443" s="18"/>
      <c r="I1443" s="24">
        <v>8.5730900352E10</v>
      </c>
      <c r="J1443" s="18" t="s">
        <v>5474</v>
      </c>
      <c r="K1443" s="18"/>
      <c r="L1443" s="18" t="s">
        <v>3181</v>
      </c>
    </row>
    <row r="1444">
      <c r="A1444" s="18" t="s">
        <v>5475</v>
      </c>
      <c r="B1444" s="18" t="s">
        <v>791</v>
      </c>
      <c r="C1444" s="18" t="s">
        <v>5476</v>
      </c>
      <c r="D1444" s="18"/>
      <c r="E1444" s="24">
        <v>8.5330337644E10</v>
      </c>
      <c r="F1444" s="24">
        <v>1.0</v>
      </c>
      <c r="G1444" s="18" t="s">
        <v>5476</v>
      </c>
      <c r="H1444" s="18"/>
      <c r="I1444" s="24">
        <v>8.5330337644E10</v>
      </c>
      <c r="J1444" s="18" t="s">
        <v>5477</v>
      </c>
      <c r="K1444" s="18"/>
      <c r="L1444" s="18" t="s">
        <v>4654</v>
      </c>
    </row>
    <row r="1445">
      <c r="A1445" s="18" t="s">
        <v>5478</v>
      </c>
      <c r="B1445" s="18" t="s">
        <v>791</v>
      </c>
      <c r="C1445" s="18" t="s">
        <v>5476</v>
      </c>
      <c r="D1445" s="18"/>
      <c r="E1445" s="24">
        <v>8.5259838445E10</v>
      </c>
      <c r="F1445" s="24">
        <v>1.0</v>
      </c>
      <c r="G1445" s="18" t="s">
        <v>5476</v>
      </c>
      <c r="H1445" s="18"/>
      <c r="I1445" s="24">
        <v>8.5259838445E10</v>
      </c>
      <c r="J1445" s="18" t="s">
        <v>4546</v>
      </c>
      <c r="K1445" s="18"/>
      <c r="L1445" s="18" t="s">
        <v>5480</v>
      </c>
    </row>
    <row r="1446">
      <c r="A1446" s="18" t="s">
        <v>5481</v>
      </c>
      <c r="B1446" s="18" t="s">
        <v>791</v>
      </c>
      <c r="C1446" s="18" t="s">
        <v>5476</v>
      </c>
      <c r="D1446" s="18"/>
      <c r="E1446" s="24">
        <v>8.5330337644E10</v>
      </c>
      <c r="F1446" s="24">
        <v>1.0</v>
      </c>
      <c r="G1446" s="18" t="s">
        <v>5476</v>
      </c>
      <c r="H1446" s="18"/>
      <c r="I1446" s="24">
        <v>8.5330337644E10</v>
      </c>
      <c r="J1446" s="18" t="s">
        <v>5482</v>
      </c>
      <c r="K1446" s="18"/>
      <c r="L1446" s="18" t="s">
        <v>4654</v>
      </c>
    </row>
    <row r="1447">
      <c r="A1447" s="18" t="s">
        <v>5483</v>
      </c>
      <c r="B1447" s="18" t="s">
        <v>791</v>
      </c>
      <c r="C1447" s="18" t="s">
        <v>5476</v>
      </c>
      <c r="D1447" s="18"/>
      <c r="E1447" s="24">
        <v>8.5102517456E10</v>
      </c>
      <c r="F1447" s="24">
        <v>1.0</v>
      </c>
      <c r="G1447" s="18" t="s">
        <v>5476</v>
      </c>
      <c r="H1447" s="18"/>
      <c r="I1447" s="24">
        <v>8.5102517456E10</v>
      </c>
      <c r="J1447" s="18" t="s">
        <v>5485</v>
      </c>
      <c r="K1447" s="18"/>
      <c r="L1447" s="18" t="s">
        <v>1246</v>
      </c>
    </row>
    <row r="1448">
      <c r="A1448" s="18" t="s">
        <v>5486</v>
      </c>
      <c r="B1448" s="18" t="s">
        <v>791</v>
      </c>
      <c r="C1448" s="18" t="s">
        <v>5487</v>
      </c>
      <c r="D1448" s="18"/>
      <c r="E1448" s="24">
        <v>8.5235543827E10</v>
      </c>
      <c r="F1448" s="24">
        <v>1.0</v>
      </c>
      <c r="G1448" s="18" t="s">
        <v>5487</v>
      </c>
      <c r="H1448" s="18"/>
      <c r="I1448" s="24">
        <v>8.5235543827E10</v>
      </c>
      <c r="J1448" s="18" t="s">
        <v>5488</v>
      </c>
      <c r="K1448" s="18"/>
      <c r="L1448" s="18" t="s">
        <v>2358</v>
      </c>
    </row>
    <row r="1449">
      <c r="A1449" s="18" t="s">
        <v>5489</v>
      </c>
      <c r="B1449" s="18" t="s">
        <v>791</v>
      </c>
      <c r="C1449" s="18" t="s">
        <v>5490</v>
      </c>
      <c r="D1449" s="18"/>
      <c r="E1449" s="24">
        <v>8.5736829012E10</v>
      </c>
      <c r="F1449" s="24">
        <v>1.0</v>
      </c>
      <c r="G1449" s="18" t="s">
        <v>5490</v>
      </c>
      <c r="H1449" s="18"/>
      <c r="I1449" s="24">
        <v>8.5736829012E10</v>
      </c>
      <c r="J1449" s="18" t="s">
        <v>5491</v>
      </c>
      <c r="K1449" s="18"/>
      <c r="L1449" s="18" t="s">
        <v>5492</v>
      </c>
    </row>
    <row r="1450">
      <c r="A1450" s="18" t="s">
        <v>5493</v>
      </c>
      <c r="B1450" s="18" t="s">
        <v>791</v>
      </c>
      <c r="C1450" s="18" t="s">
        <v>5494</v>
      </c>
      <c r="D1450" s="18"/>
      <c r="E1450" s="24">
        <v>8.5708227215E10</v>
      </c>
      <c r="F1450" s="24">
        <v>1.0</v>
      </c>
      <c r="G1450" s="18" t="s">
        <v>5494</v>
      </c>
      <c r="H1450" s="18"/>
      <c r="I1450" s="24">
        <v>8.5708227215E10</v>
      </c>
      <c r="J1450" s="18" t="s">
        <v>5495</v>
      </c>
      <c r="K1450" s="18"/>
      <c r="L1450" s="18" t="s">
        <v>2297</v>
      </c>
    </row>
    <row r="1451">
      <c r="A1451" s="18" t="s">
        <v>1106</v>
      </c>
      <c r="B1451" s="18" t="s">
        <v>791</v>
      </c>
      <c r="C1451" s="18" t="s">
        <v>1107</v>
      </c>
      <c r="D1451" s="18" t="s">
        <v>1108</v>
      </c>
      <c r="E1451" s="24">
        <v>8.2228065398E10</v>
      </c>
      <c r="F1451" s="24">
        <v>0.0</v>
      </c>
      <c r="G1451" s="18"/>
      <c r="H1451" s="18"/>
      <c r="I1451" s="18"/>
      <c r="J1451" s="18"/>
      <c r="K1451" s="18"/>
      <c r="L1451" s="18"/>
    </row>
    <row r="1452">
      <c r="A1452" s="18" t="s">
        <v>1109</v>
      </c>
      <c r="B1452" s="18" t="s">
        <v>791</v>
      </c>
      <c r="C1452" s="18" t="s">
        <v>1107</v>
      </c>
      <c r="D1452" s="18" t="s">
        <v>1108</v>
      </c>
      <c r="E1452" s="24">
        <v>8.2228065398E10</v>
      </c>
      <c r="F1452" s="24">
        <v>0.0</v>
      </c>
      <c r="G1452" s="18"/>
      <c r="H1452" s="18"/>
      <c r="I1452" s="18"/>
      <c r="J1452" s="18"/>
      <c r="K1452" s="18"/>
      <c r="L1452" s="18"/>
    </row>
    <row r="1453">
      <c r="A1453" s="18" t="s">
        <v>1110</v>
      </c>
      <c r="B1453" s="18" t="s">
        <v>791</v>
      </c>
      <c r="C1453" s="18" t="s">
        <v>1112</v>
      </c>
      <c r="D1453" s="18" t="s">
        <v>1108</v>
      </c>
      <c r="E1453" s="24">
        <v>8.2228065398E10</v>
      </c>
      <c r="F1453" s="24">
        <v>1.0</v>
      </c>
      <c r="G1453" s="18" t="s">
        <v>1112</v>
      </c>
      <c r="H1453" s="18" t="s">
        <v>1108</v>
      </c>
      <c r="I1453" s="24">
        <v>8.2228065398E10</v>
      </c>
      <c r="J1453" s="18" t="s">
        <v>1111</v>
      </c>
      <c r="K1453" s="18" t="s">
        <v>1113</v>
      </c>
      <c r="L1453" s="18" t="s">
        <v>1114</v>
      </c>
    </row>
    <row r="1454">
      <c r="A1454" s="18" t="s">
        <v>1115</v>
      </c>
      <c r="B1454" s="18" t="s">
        <v>791</v>
      </c>
      <c r="C1454" s="18" t="s">
        <v>1112</v>
      </c>
      <c r="D1454" s="18" t="s">
        <v>1108</v>
      </c>
      <c r="E1454" s="24">
        <v>8.2228065398E10</v>
      </c>
      <c r="F1454" s="24">
        <v>0.0</v>
      </c>
      <c r="G1454" s="18"/>
      <c r="H1454" s="18"/>
      <c r="I1454" s="18"/>
      <c r="J1454" s="18"/>
      <c r="K1454" s="18"/>
      <c r="L1454" s="18"/>
    </row>
    <row r="1455">
      <c r="A1455" s="18" t="s">
        <v>1116</v>
      </c>
      <c r="B1455" s="18" t="s">
        <v>791</v>
      </c>
      <c r="C1455" s="18" t="s">
        <v>1112</v>
      </c>
      <c r="D1455" s="18" t="s">
        <v>1108</v>
      </c>
      <c r="E1455" s="24">
        <v>8.2228065398E10</v>
      </c>
      <c r="F1455" s="24">
        <v>0.0</v>
      </c>
      <c r="G1455" s="18"/>
      <c r="H1455" s="18"/>
      <c r="I1455" s="18"/>
      <c r="J1455" s="18"/>
      <c r="K1455" s="18"/>
      <c r="L1455" s="18"/>
    </row>
    <row r="1456">
      <c r="A1456" s="18" t="s">
        <v>1117</v>
      </c>
      <c r="B1456" s="18" t="s">
        <v>791</v>
      </c>
      <c r="C1456" s="18" t="s">
        <v>1112</v>
      </c>
      <c r="D1456" s="18" t="s">
        <v>1108</v>
      </c>
      <c r="E1456" s="24">
        <v>8.2228065398E10</v>
      </c>
      <c r="F1456" s="24">
        <v>0.0</v>
      </c>
      <c r="G1456" s="18"/>
      <c r="H1456" s="18"/>
      <c r="I1456" s="18"/>
      <c r="J1456" s="18"/>
      <c r="K1456" s="18"/>
      <c r="L1456" s="18"/>
    </row>
    <row r="1457">
      <c r="A1457" s="18" t="s">
        <v>1118</v>
      </c>
      <c r="B1457" s="18" t="s">
        <v>791</v>
      </c>
      <c r="C1457" s="18" t="s">
        <v>1112</v>
      </c>
      <c r="D1457" s="18" t="s">
        <v>1108</v>
      </c>
      <c r="E1457" s="24">
        <v>8.2228065398E10</v>
      </c>
      <c r="F1457" s="24">
        <v>0.0</v>
      </c>
      <c r="G1457" s="18"/>
      <c r="H1457" s="18"/>
      <c r="I1457" s="18"/>
      <c r="J1457" s="18"/>
      <c r="K1457" s="18"/>
      <c r="L1457" s="18"/>
    </row>
    <row r="1458">
      <c r="A1458" s="18" t="s">
        <v>1119</v>
      </c>
      <c r="B1458" s="18" t="s">
        <v>791</v>
      </c>
      <c r="C1458" s="18" t="s">
        <v>1112</v>
      </c>
      <c r="D1458" s="18" t="s">
        <v>1108</v>
      </c>
      <c r="E1458" s="24">
        <v>8.2228065398E10</v>
      </c>
      <c r="F1458" s="24">
        <v>0.0</v>
      </c>
      <c r="G1458" s="18"/>
      <c r="H1458" s="18"/>
      <c r="I1458" s="18"/>
      <c r="J1458" s="18"/>
      <c r="K1458" s="18"/>
      <c r="L1458" s="18"/>
    </row>
    <row r="1459">
      <c r="A1459" s="18" t="s">
        <v>5496</v>
      </c>
      <c r="B1459" s="18" t="s">
        <v>791</v>
      </c>
      <c r="C1459" s="18" t="s">
        <v>5497</v>
      </c>
      <c r="D1459" s="18"/>
      <c r="E1459" s="24">
        <v>8.1335208367E10</v>
      </c>
      <c r="F1459" s="24">
        <v>1.0</v>
      </c>
      <c r="G1459" s="18" t="s">
        <v>5497</v>
      </c>
      <c r="H1459" s="18"/>
      <c r="I1459" s="24">
        <v>8.1335208367E10</v>
      </c>
      <c r="J1459" s="18" t="s">
        <v>5498</v>
      </c>
      <c r="K1459" s="18"/>
      <c r="L1459" s="18" t="s">
        <v>1914</v>
      </c>
    </row>
    <row r="1460">
      <c r="A1460" s="18" t="s">
        <v>5499</v>
      </c>
      <c r="B1460" s="18" t="s">
        <v>791</v>
      </c>
      <c r="C1460" s="18" t="s">
        <v>5500</v>
      </c>
      <c r="D1460" s="18"/>
      <c r="E1460" s="24">
        <v>8.5259755878E10</v>
      </c>
      <c r="F1460" s="24">
        <v>1.0</v>
      </c>
      <c r="G1460" s="18" t="s">
        <v>5500</v>
      </c>
      <c r="H1460" s="18"/>
      <c r="I1460" s="24">
        <v>8.5259755878E10</v>
      </c>
      <c r="J1460" s="18" t="s">
        <v>5501</v>
      </c>
      <c r="K1460" s="18"/>
      <c r="L1460" s="18" t="s">
        <v>3154</v>
      </c>
    </row>
    <row r="1461">
      <c r="A1461" s="18" t="s">
        <v>5502</v>
      </c>
      <c r="B1461" s="18" t="s">
        <v>791</v>
      </c>
      <c r="C1461" s="18" t="s">
        <v>5503</v>
      </c>
      <c r="D1461" s="18"/>
      <c r="E1461" s="24">
        <v>8.1335465737E10</v>
      </c>
      <c r="F1461" s="24">
        <v>1.0</v>
      </c>
      <c r="G1461" s="18" t="s">
        <v>5503</v>
      </c>
      <c r="H1461" s="18"/>
      <c r="I1461" s="24">
        <v>8.1335465737E10</v>
      </c>
      <c r="J1461" s="18" t="s">
        <v>5504</v>
      </c>
      <c r="K1461" s="18"/>
      <c r="L1461" s="18" t="s">
        <v>5505</v>
      </c>
    </row>
    <row r="1462">
      <c r="A1462" s="18" t="s">
        <v>5506</v>
      </c>
      <c r="B1462" s="18" t="s">
        <v>791</v>
      </c>
      <c r="C1462" s="18" t="s">
        <v>5507</v>
      </c>
      <c r="D1462" s="18"/>
      <c r="E1462" s="24">
        <v>8.133575526E10</v>
      </c>
      <c r="F1462" s="24">
        <v>1.0</v>
      </c>
      <c r="G1462" s="18" t="s">
        <v>5507</v>
      </c>
      <c r="H1462" s="18"/>
      <c r="I1462" s="24">
        <v>8.133575526E10</v>
      </c>
      <c r="J1462" s="18" t="s">
        <v>5508</v>
      </c>
      <c r="K1462" s="18"/>
      <c r="L1462" s="18" t="s">
        <v>2142</v>
      </c>
    </row>
    <row r="1463">
      <c r="A1463" s="18" t="s">
        <v>5509</v>
      </c>
      <c r="B1463" s="18" t="s">
        <v>791</v>
      </c>
      <c r="C1463" s="18" t="s">
        <v>5510</v>
      </c>
      <c r="D1463" s="18"/>
      <c r="E1463" s="24">
        <v>8.5731615748E10</v>
      </c>
      <c r="F1463" s="24">
        <v>1.0</v>
      </c>
      <c r="G1463" s="18" t="s">
        <v>5510</v>
      </c>
      <c r="H1463" s="18"/>
      <c r="I1463" s="24">
        <v>8.5731615748E10</v>
      </c>
      <c r="J1463" s="18" t="s">
        <v>5511</v>
      </c>
      <c r="K1463" s="18"/>
      <c r="L1463" s="18" t="s">
        <v>5426</v>
      </c>
    </row>
    <row r="1464">
      <c r="A1464" s="18" t="s">
        <v>5512</v>
      </c>
      <c r="B1464" s="18" t="s">
        <v>791</v>
      </c>
      <c r="C1464" s="18" t="s">
        <v>5513</v>
      </c>
      <c r="D1464" s="18"/>
      <c r="E1464" s="24">
        <v>8.1335663129E10</v>
      </c>
      <c r="F1464" s="24">
        <v>1.0</v>
      </c>
      <c r="G1464" s="18" t="s">
        <v>5513</v>
      </c>
      <c r="H1464" s="18"/>
      <c r="I1464" s="24">
        <v>8.1335663129E10</v>
      </c>
      <c r="J1464" s="18" t="s">
        <v>5274</v>
      </c>
      <c r="K1464" s="18"/>
      <c r="L1464" s="18" t="s">
        <v>1549</v>
      </c>
    </row>
    <row r="1465">
      <c r="A1465" s="18" t="s">
        <v>5515</v>
      </c>
      <c r="B1465" s="18" t="s">
        <v>791</v>
      </c>
      <c r="C1465" s="18" t="s">
        <v>5516</v>
      </c>
      <c r="D1465" s="18"/>
      <c r="E1465" s="24">
        <v>8.1330720631E10</v>
      </c>
      <c r="F1465" s="24">
        <v>1.0</v>
      </c>
      <c r="G1465" s="18" t="s">
        <v>5516</v>
      </c>
      <c r="H1465" s="18"/>
      <c r="I1465" s="24">
        <v>8.1330720631E10</v>
      </c>
      <c r="J1465" s="18" t="s">
        <v>5517</v>
      </c>
      <c r="K1465" s="18"/>
      <c r="L1465" s="18" t="s">
        <v>1681</v>
      </c>
    </row>
    <row r="1466">
      <c r="A1466" s="18" t="s">
        <v>5518</v>
      </c>
      <c r="B1466" s="18" t="s">
        <v>791</v>
      </c>
      <c r="C1466" s="18" t="s">
        <v>5519</v>
      </c>
      <c r="D1466" s="18"/>
      <c r="E1466" s="24">
        <v>8.5233879638E10</v>
      </c>
      <c r="F1466" s="24">
        <v>1.0</v>
      </c>
      <c r="G1466" s="18" t="s">
        <v>5519</v>
      </c>
      <c r="H1466" s="18"/>
      <c r="I1466" s="24">
        <v>8.5233879638E10</v>
      </c>
      <c r="J1466" s="18" t="s">
        <v>5211</v>
      </c>
      <c r="K1466" s="18"/>
      <c r="L1466" s="18" t="s">
        <v>3829</v>
      </c>
    </row>
    <row r="1467">
      <c r="A1467" s="18" t="s">
        <v>5520</v>
      </c>
      <c r="B1467" s="18" t="s">
        <v>791</v>
      </c>
      <c r="C1467" s="18" t="s">
        <v>5522</v>
      </c>
      <c r="D1467" s="18"/>
      <c r="E1467" s="24">
        <v>8.5608725389E10</v>
      </c>
      <c r="F1467" s="24">
        <v>1.0</v>
      </c>
      <c r="G1467" s="18" t="s">
        <v>5522</v>
      </c>
      <c r="H1467" s="18"/>
      <c r="I1467" s="24">
        <v>8.5608725389E10</v>
      </c>
      <c r="J1467" s="24">
        <v>3.52101080293E15</v>
      </c>
      <c r="K1467" s="18"/>
      <c r="L1467" s="18" t="s">
        <v>5523</v>
      </c>
    </row>
    <row r="1468">
      <c r="A1468" s="18" t="s">
        <v>5524</v>
      </c>
      <c r="B1468" s="18" t="s">
        <v>791</v>
      </c>
      <c r="C1468" s="18" t="s">
        <v>5525</v>
      </c>
      <c r="D1468" s="18"/>
      <c r="E1468" s="18"/>
      <c r="F1468" s="24">
        <v>1.0</v>
      </c>
      <c r="G1468" s="18" t="s">
        <v>5525</v>
      </c>
      <c r="H1468" s="18"/>
      <c r="I1468" s="18"/>
      <c r="J1468" s="18" t="s">
        <v>5526</v>
      </c>
      <c r="K1468" s="18"/>
      <c r="L1468" s="18"/>
    </row>
    <row r="1469">
      <c r="A1469" s="18" t="s">
        <v>5527</v>
      </c>
      <c r="B1469" s="18" t="s">
        <v>791</v>
      </c>
      <c r="C1469" s="18" t="s">
        <v>5528</v>
      </c>
      <c r="D1469" s="18"/>
      <c r="E1469" s="18"/>
      <c r="F1469" s="24">
        <v>1.0</v>
      </c>
      <c r="G1469" s="18" t="s">
        <v>5528</v>
      </c>
      <c r="H1469" s="18"/>
      <c r="I1469" s="18"/>
      <c r="J1469" s="18" t="s">
        <v>5529</v>
      </c>
      <c r="K1469" s="18"/>
      <c r="L1469" s="18"/>
    </row>
    <row r="1470">
      <c r="A1470" s="18" t="s">
        <v>5530</v>
      </c>
      <c r="B1470" s="18" t="s">
        <v>791</v>
      </c>
      <c r="C1470" s="18" t="s">
        <v>5531</v>
      </c>
      <c r="D1470" s="18"/>
      <c r="E1470" s="24">
        <v>8.5235146712E10</v>
      </c>
      <c r="F1470" s="24">
        <v>1.0</v>
      </c>
      <c r="G1470" s="18" t="s">
        <v>5531</v>
      </c>
      <c r="H1470" s="18"/>
      <c r="I1470" s="24">
        <v>8.5235146712E10</v>
      </c>
      <c r="J1470" s="18" t="s">
        <v>5532</v>
      </c>
      <c r="K1470" s="18"/>
      <c r="L1470" s="18" t="s">
        <v>2652</v>
      </c>
    </row>
    <row r="1471">
      <c r="A1471" s="18" t="s">
        <v>5533</v>
      </c>
      <c r="B1471" s="18" t="s">
        <v>791</v>
      </c>
      <c r="C1471" s="18" t="s">
        <v>5534</v>
      </c>
      <c r="D1471" s="18"/>
      <c r="E1471" s="24">
        <v>8.5736829012E10</v>
      </c>
      <c r="F1471" s="24">
        <v>1.0</v>
      </c>
      <c r="G1471" s="18" t="s">
        <v>5534</v>
      </c>
      <c r="H1471" s="18"/>
      <c r="I1471" s="24">
        <v>8.5736829012E10</v>
      </c>
      <c r="J1471" s="18" t="s">
        <v>5535</v>
      </c>
      <c r="K1471" s="18"/>
      <c r="L1471" s="18" t="s">
        <v>5492</v>
      </c>
    </row>
    <row r="1472">
      <c r="A1472" s="18" t="s">
        <v>5536</v>
      </c>
      <c r="B1472" s="18" t="s">
        <v>791</v>
      </c>
      <c r="C1472" s="18" t="s">
        <v>5537</v>
      </c>
      <c r="D1472" s="18"/>
      <c r="E1472" s="24">
        <v>8.5235256946E10</v>
      </c>
      <c r="F1472" s="24">
        <v>1.0</v>
      </c>
      <c r="G1472" s="18" t="s">
        <v>5537</v>
      </c>
      <c r="H1472" s="18"/>
      <c r="I1472" s="24">
        <v>8.5235256946E10</v>
      </c>
      <c r="J1472" s="18" t="s">
        <v>5539</v>
      </c>
      <c r="K1472" s="18"/>
      <c r="L1472" s="18" t="s">
        <v>2689</v>
      </c>
    </row>
    <row r="1473">
      <c r="A1473" s="18" t="s">
        <v>5540</v>
      </c>
      <c r="B1473" s="18" t="s">
        <v>791</v>
      </c>
      <c r="C1473" s="18" t="s">
        <v>5541</v>
      </c>
      <c r="D1473" s="18"/>
      <c r="E1473" s="24">
        <v>8.1217245422E10</v>
      </c>
      <c r="F1473" s="24">
        <v>1.0</v>
      </c>
      <c r="G1473" s="18" t="s">
        <v>5541</v>
      </c>
      <c r="H1473" s="18"/>
      <c r="I1473" s="24">
        <v>8.1217245422E10</v>
      </c>
      <c r="J1473" s="18" t="s">
        <v>5542</v>
      </c>
      <c r="K1473" s="18"/>
      <c r="L1473" s="18" t="s">
        <v>3610</v>
      </c>
    </row>
    <row r="1474">
      <c r="A1474" s="18" t="s">
        <v>5543</v>
      </c>
      <c r="B1474" s="18" t="s">
        <v>791</v>
      </c>
      <c r="C1474" s="18" t="s">
        <v>5541</v>
      </c>
      <c r="D1474" s="18"/>
      <c r="E1474" s="24">
        <v>8.5141565285E10</v>
      </c>
      <c r="F1474" s="24">
        <v>1.0</v>
      </c>
      <c r="G1474" s="18" t="s">
        <v>5541</v>
      </c>
      <c r="H1474" s="18"/>
      <c r="I1474" s="24">
        <v>8.5141565285E10</v>
      </c>
      <c r="J1474" s="18" t="s">
        <v>5544</v>
      </c>
      <c r="K1474" s="18"/>
      <c r="L1474" s="18" t="s">
        <v>3188</v>
      </c>
    </row>
    <row r="1475">
      <c r="A1475" s="18" t="s">
        <v>5545</v>
      </c>
      <c r="B1475" s="18" t="s">
        <v>791</v>
      </c>
      <c r="C1475" s="18" t="s">
        <v>5546</v>
      </c>
      <c r="D1475" s="18"/>
      <c r="E1475" s="24">
        <v>8.5712708389E10</v>
      </c>
      <c r="F1475" s="24">
        <v>1.0</v>
      </c>
      <c r="G1475" s="18" t="s">
        <v>5546</v>
      </c>
      <c r="H1475" s="18"/>
      <c r="I1475" s="24">
        <v>8.5712708389E10</v>
      </c>
      <c r="J1475" s="18" t="s">
        <v>5547</v>
      </c>
      <c r="K1475" s="18"/>
      <c r="L1475" s="18" t="s">
        <v>3610</v>
      </c>
    </row>
    <row r="1476">
      <c r="A1476" s="18" t="s">
        <v>5548</v>
      </c>
      <c r="B1476" s="18" t="s">
        <v>791</v>
      </c>
      <c r="C1476" s="18" t="s">
        <v>5549</v>
      </c>
      <c r="D1476" s="18"/>
      <c r="E1476" s="24">
        <v>8.5755773688E10</v>
      </c>
      <c r="F1476" s="24">
        <v>1.0</v>
      </c>
      <c r="G1476" s="18" t="s">
        <v>5549</v>
      </c>
      <c r="H1476" s="18"/>
      <c r="I1476" s="24">
        <v>8.5755773688E10</v>
      </c>
      <c r="J1476" s="18" t="s">
        <v>5550</v>
      </c>
      <c r="K1476" s="18"/>
      <c r="L1476" s="18" t="s">
        <v>5551</v>
      </c>
    </row>
    <row r="1477">
      <c r="A1477" s="18" t="s">
        <v>5552</v>
      </c>
      <c r="B1477" s="18" t="s">
        <v>791</v>
      </c>
      <c r="C1477" s="18" t="s">
        <v>5554</v>
      </c>
      <c r="D1477" s="18"/>
      <c r="E1477" s="24">
        <v>8.2331261432E10</v>
      </c>
      <c r="F1477" s="24">
        <v>1.0</v>
      </c>
      <c r="G1477" s="18" t="s">
        <v>5554</v>
      </c>
      <c r="H1477" s="18"/>
      <c r="I1477" s="24">
        <v>8.2331261432E10</v>
      </c>
      <c r="J1477" s="18" t="s">
        <v>5555</v>
      </c>
      <c r="K1477" s="18"/>
      <c r="L1477" s="18" t="s">
        <v>1186</v>
      </c>
    </row>
    <row r="1478">
      <c r="A1478" s="18" t="s">
        <v>5556</v>
      </c>
      <c r="B1478" s="18" t="s">
        <v>791</v>
      </c>
      <c r="C1478" s="18" t="s">
        <v>5557</v>
      </c>
      <c r="D1478" s="18"/>
      <c r="E1478" s="24">
        <v>8.5748519088E10</v>
      </c>
      <c r="F1478" s="24">
        <v>1.0</v>
      </c>
      <c r="G1478" s="18" t="s">
        <v>5557</v>
      </c>
      <c r="H1478" s="18"/>
      <c r="I1478" s="24">
        <v>8.5748519088E10</v>
      </c>
      <c r="J1478" s="18" t="s">
        <v>5558</v>
      </c>
      <c r="K1478" s="18"/>
      <c r="L1478" s="18" t="s">
        <v>1881</v>
      </c>
    </row>
    <row r="1479">
      <c r="A1479" s="18" t="s">
        <v>5559</v>
      </c>
      <c r="B1479" s="18" t="s">
        <v>791</v>
      </c>
      <c r="C1479" s="18" t="s">
        <v>5560</v>
      </c>
      <c r="D1479" s="18"/>
      <c r="E1479" s="24">
        <v>8.2141746854E10</v>
      </c>
      <c r="F1479" s="24">
        <v>1.0</v>
      </c>
      <c r="G1479" s="18" t="s">
        <v>5560</v>
      </c>
      <c r="H1479" s="18"/>
      <c r="I1479" s="24">
        <v>8.2141746854E10</v>
      </c>
      <c r="J1479" s="18" t="s">
        <v>4476</v>
      </c>
      <c r="K1479" s="18"/>
      <c r="L1479" s="18" t="s">
        <v>5561</v>
      </c>
    </row>
    <row r="1480">
      <c r="A1480" s="18" t="s">
        <v>5562</v>
      </c>
      <c r="B1480" s="18" t="s">
        <v>791</v>
      </c>
      <c r="C1480" s="18" t="s">
        <v>5563</v>
      </c>
      <c r="D1480" s="18"/>
      <c r="E1480" s="24">
        <v>8.1335208367E10</v>
      </c>
      <c r="F1480" s="24">
        <v>1.0</v>
      </c>
      <c r="G1480" s="18" t="s">
        <v>5563</v>
      </c>
      <c r="H1480" s="18"/>
      <c r="I1480" s="24">
        <v>8.1335208367E10</v>
      </c>
      <c r="J1480" s="18" t="s">
        <v>5128</v>
      </c>
      <c r="K1480" s="18"/>
      <c r="L1480" s="18" t="s">
        <v>1914</v>
      </c>
    </row>
    <row r="1481">
      <c r="A1481" s="18" t="s">
        <v>5564</v>
      </c>
      <c r="B1481" s="18" t="s">
        <v>791</v>
      </c>
      <c r="C1481" s="18" t="s">
        <v>5565</v>
      </c>
      <c r="D1481" s="18"/>
      <c r="E1481" s="24">
        <v>8.5748519088E10</v>
      </c>
      <c r="F1481" s="24">
        <v>1.0</v>
      </c>
      <c r="G1481" s="18" t="s">
        <v>5565</v>
      </c>
      <c r="H1481" s="18"/>
      <c r="I1481" s="24">
        <v>8.5748519088E10</v>
      </c>
      <c r="J1481" s="18" t="s">
        <v>5566</v>
      </c>
      <c r="K1481" s="18"/>
      <c r="L1481" s="18" t="s">
        <v>1881</v>
      </c>
    </row>
    <row r="1482">
      <c r="A1482" s="18" t="s">
        <v>5567</v>
      </c>
      <c r="B1482" s="18" t="s">
        <v>791</v>
      </c>
      <c r="C1482" s="18" t="s">
        <v>5568</v>
      </c>
      <c r="D1482" s="18"/>
      <c r="E1482" s="24">
        <v>8.5336620934E10</v>
      </c>
      <c r="F1482" s="24">
        <v>1.0</v>
      </c>
      <c r="G1482" s="18" t="s">
        <v>5568</v>
      </c>
      <c r="H1482" s="18"/>
      <c r="I1482" s="24">
        <v>8.5336620934E10</v>
      </c>
      <c r="J1482" s="18" t="s">
        <v>5569</v>
      </c>
      <c r="K1482" s="18"/>
      <c r="L1482" s="18" t="s">
        <v>2003</v>
      </c>
    </row>
    <row r="1483">
      <c r="A1483" s="18" t="s">
        <v>5570</v>
      </c>
      <c r="B1483" s="18" t="s">
        <v>791</v>
      </c>
      <c r="C1483" s="18" t="s">
        <v>5568</v>
      </c>
      <c r="D1483" s="18"/>
      <c r="E1483" s="24">
        <v>8.2334973646E10</v>
      </c>
      <c r="F1483" s="24">
        <v>1.0</v>
      </c>
      <c r="G1483" s="18" t="s">
        <v>5568</v>
      </c>
      <c r="H1483" s="18"/>
      <c r="I1483" s="24">
        <v>8.2334973646E10</v>
      </c>
      <c r="J1483" s="18" t="s">
        <v>5572</v>
      </c>
      <c r="K1483" s="18"/>
      <c r="L1483" s="18" t="s">
        <v>5573</v>
      </c>
    </row>
    <row r="1484">
      <c r="A1484" s="18" t="s">
        <v>5574</v>
      </c>
      <c r="B1484" s="18" t="s">
        <v>791</v>
      </c>
      <c r="C1484" s="18" t="s">
        <v>5568</v>
      </c>
      <c r="D1484" s="18"/>
      <c r="E1484" s="24">
        <v>8.1335944752E10</v>
      </c>
      <c r="F1484" s="24">
        <v>1.0</v>
      </c>
      <c r="G1484" s="18" t="s">
        <v>5568</v>
      </c>
      <c r="H1484" s="18"/>
      <c r="I1484" s="24">
        <v>8.1335944752E10</v>
      </c>
      <c r="J1484" s="18" t="s">
        <v>5575</v>
      </c>
      <c r="K1484" s="18"/>
      <c r="L1484" s="18" t="s">
        <v>3273</v>
      </c>
    </row>
    <row r="1485">
      <c r="A1485" s="18" t="s">
        <v>5576</v>
      </c>
      <c r="B1485" s="18" t="s">
        <v>791</v>
      </c>
      <c r="C1485" s="18" t="s">
        <v>5577</v>
      </c>
      <c r="D1485" s="18"/>
      <c r="E1485" s="24">
        <v>8.2143044812E10</v>
      </c>
      <c r="F1485" s="24">
        <v>1.0</v>
      </c>
      <c r="G1485" s="18" t="s">
        <v>5577</v>
      </c>
      <c r="H1485" s="18"/>
      <c r="I1485" s="24">
        <v>8.2143044812E10</v>
      </c>
      <c r="J1485" s="18" t="s">
        <v>5579</v>
      </c>
      <c r="K1485" s="18"/>
      <c r="L1485" s="18" t="s">
        <v>5580</v>
      </c>
    </row>
    <row r="1486">
      <c r="A1486" s="18" t="s">
        <v>5581</v>
      </c>
      <c r="B1486" s="18" t="s">
        <v>791</v>
      </c>
      <c r="C1486" s="18" t="s">
        <v>5582</v>
      </c>
      <c r="D1486" s="18"/>
      <c r="E1486" s="24">
        <v>8.5748519088E10</v>
      </c>
      <c r="F1486" s="24">
        <v>1.0</v>
      </c>
      <c r="G1486" s="18" t="s">
        <v>5582</v>
      </c>
      <c r="H1486" s="18"/>
      <c r="I1486" s="24">
        <v>8.5748519088E10</v>
      </c>
      <c r="J1486" s="18" t="s">
        <v>5583</v>
      </c>
      <c r="K1486" s="18"/>
      <c r="L1486" s="18" t="s">
        <v>1881</v>
      </c>
    </row>
    <row r="1487">
      <c r="A1487" s="18" t="s">
        <v>5584</v>
      </c>
      <c r="B1487" s="18" t="s">
        <v>791</v>
      </c>
      <c r="C1487" s="18" t="s">
        <v>5585</v>
      </c>
      <c r="D1487" s="18"/>
      <c r="E1487" s="18"/>
      <c r="F1487" s="24">
        <v>1.0</v>
      </c>
      <c r="G1487" s="18" t="s">
        <v>5585</v>
      </c>
      <c r="H1487" s="18"/>
      <c r="I1487" s="18"/>
      <c r="J1487" s="18" t="s">
        <v>5587</v>
      </c>
      <c r="K1487" s="18"/>
      <c r="L1487" s="18"/>
    </row>
    <row r="1488">
      <c r="A1488" s="18" t="s">
        <v>5588</v>
      </c>
      <c r="B1488" s="18" t="s">
        <v>791</v>
      </c>
      <c r="C1488" s="18" t="s">
        <v>5589</v>
      </c>
      <c r="D1488" s="18"/>
      <c r="E1488" s="24">
        <v>8.5103373232E10</v>
      </c>
      <c r="F1488" s="24">
        <v>1.0</v>
      </c>
      <c r="G1488" s="18" t="s">
        <v>5589</v>
      </c>
      <c r="H1488" s="18"/>
      <c r="I1488" s="24">
        <v>8.5103373232E10</v>
      </c>
      <c r="J1488" s="18" t="s">
        <v>5590</v>
      </c>
      <c r="K1488" s="18"/>
      <c r="L1488" s="18" t="s">
        <v>1519</v>
      </c>
    </row>
    <row r="1489">
      <c r="A1489" s="18" t="s">
        <v>5591</v>
      </c>
      <c r="B1489" s="18" t="s">
        <v>791</v>
      </c>
      <c r="C1489" s="18" t="s">
        <v>5592</v>
      </c>
      <c r="D1489" s="18"/>
      <c r="E1489" s="24">
        <v>8.15518147E9</v>
      </c>
      <c r="F1489" s="24">
        <v>1.0</v>
      </c>
      <c r="G1489" s="18" t="s">
        <v>5592</v>
      </c>
      <c r="H1489" s="18"/>
      <c r="I1489" s="24">
        <v>8.15518147E9</v>
      </c>
      <c r="J1489" s="18" t="s">
        <v>5593</v>
      </c>
      <c r="K1489" s="18"/>
      <c r="L1489" s="18" t="s">
        <v>5594</v>
      </c>
    </row>
    <row r="1490">
      <c r="A1490" s="18" t="s">
        <v>5595</v>
      </c>
      <c r="B1490" s="18" t="s">
        <v>791</v>
      </c>
      <c r="C1490" s="18" t="s">
        <v>5596</v>
      </c>
      <c r="D1490" s="18"/>
      <c r="E1490" s="24">
        <v>8.5607005695E10</v>
      </c>
      <c r="F1490" s="24">
        <v>1.0</v>
      </c>
      <c r="G1490" s="18" t="s">
        <v>5596</v>
      </c>
      <c r="H1490" s="18"/>
      <c r="I1490" s="24">
        <v>8.5607005695E10</v>
      </c>
      <c r="J1490" s="18" t="s">
        <v>5597</v>
      </c>
      <c r="K1490" s="18"/>
      <c r="L1490" s="18" t="s">
        <v>5598</v>
      </c>
    </row>
    <row r="1491">
      <c r="A1491" s="18" t="s">
        <v>5599</v>
      </c>
      <c r="B1491" s="18" t="s">
        <v>791</v>
      </c>
      <c r="C1491" s="18" t="s">
        <v>5600</v>
      </c>
      <c r="D1491" s="18"/>
      <c r="E1491" s="18"/>
      <c r="F1491" s="24">
        <v>1.0</v>
      </c>
      <c r="G1491" s="18" t="s">
        <v>5600</v>
      </c>
      <c r="H1491" s="18"/>
      <c r="I1491" s="18"/>
      <c r="J1491" s="18" t="s">
        <v>5601</v>
      </c>
      <c r="K1491" s="18"/>
      <c r="L1491" s="18"/>
    </row>
    <row r="1492">
      <c r="A1492" s="18" t="s">
        <v>5602</v>
      </c>
      <c r="B1492" s="18" t="s">
        <v>791</v>
      </c>
      <c r="C1492" s="18" t="s">
        <v>5603</v>
      </c>
      <c r="D1492" s="18"/>
      <c r="E1492" s="24">
        <v>8.2331261437E10</v>
      </c>
      <c r="F1492" s="24">
        <v>1.0</v>
      </c>
      <c r="G1492" s="18" t="s">
        <v>5603</v>
      </c>
      <c r="H1492" s="18"/>
      <c r="I1492" s="24">
        <v>8.2331261437E10</v>
      </c>
      <c r="J1492" s="18" t="s">
        <v>5604</v>
      </c>
      <c r="K1492" s="18"/>
      <c r="L1492" s="18" t="s">
        <v>1186</v>
      </c>
    </row>
    <row r="1493">
      <c r="A1493" s="18" t="s">
        <v>5605</v>
      </c>
      <c r="B1493" s="18" t="s">
        <v>791</v>
      </c>
      <c r="C1493" s="18" t="s">
        <v>5606</v>
      </c>
      <c r="D1493" s="18" t="s">
        <v>1946</v>
      </c>
      <c r="E1493" s="24">
        <v>8.2230846646E10</v>
      </c>
      <c r="F1493" s="24">
        <v>1.0</v>
      </c>
      <c r="G1493" s="18" t="s">
        <v>5606</v>
      </c>
      <c r="H1493" s="18" t="s">
        <v>1946</v>
      </c>
      <c r="I1493" s="24">
        <v>8.2230846646E10</v>
      </c>
      <c r="J1493" s="18" t="s">
        <v>5607</v>
      </c>
      <c r="K1493" s="18" t="s">
        <v>5607</v>
      </c>
      <c r="L1493" s="18" t="s">
        <v>5608</v>
      </c>
    </row>
    <row r="1494">
      <c r="A1494" s="18" t="s">
        <v>5609</v>
      </c>
      <c r="B1494" s="18" t="s">
        <v>791</v>
      </c>
      <c r="C1494" s="18" t="s">
        <v>5610</v>
      </c>
      <c r="D1494" s="18"/>
      <c r="E1494" s="24">
        <v>8.2229513547E10</v>
      </c>
      <c r="F1494" s="24">
        <v>1.0</v>
      </c>
      <c r="G1494" s="18" t="s">
        <v>5610</v>
      </c>
      <c r="H1494" s="18"/>
      <c r="I1494" s="24">
        <v>8.2229513547E10</v>
      </c>
      <c r="J1494" s="18" t="s">
        <v>4482</v>
      </c>
      <c r="K1494" s="18"/>
      <c r="L1494" s="18" t="s">
        <v>3893</v>
      </c>
    </row>
    <row r="1495">
      <c r="A1495" s="18" t="s">
        <v>5611</v>
      </c>
      <c r="B1495" s="18" t="s">
        <v>791</v>
      </c>
      <c r="C1495" s="18" t="s">
        <v>5612</v>
      </c>
      <c r="D1495" s="18"/>
      <c r="E1495" s="24">
        <v>8.155545449E10</v>
      </c>
      <c r="F1495" s="24">
        <v>1.0</v>
      </c>
      <c r="G1495" s="18" t="s">
        <v>5612</v>
      </c>
      <c r="H1495" s="18"/>
      <c r="I1495" s="24">
        <v>8.155545449E10</v>
      </c>
      <c r="J1495" s="18" t="s">
        <v>5613</v>
      </c>
      <c r="K1495" s="18"/>
      <c r="L1495" s="18" t="s">
        <v>5614</v>
      </c>
    </row>
    <row r="1496">
      <c r="A1496" s="18" t="s">
        <v>5615</v>
      </c>
      <c r="B1496" s="18" t="s">
        <v>791</v>
      </c>
      <c r="C1496" s="18" t="s">
        <v>5616</v>
      </c>
      <c r="D1496" s="18"/>
      <c r="E1496" s="24">
        <v>8.155545449E10</v>
      </c>
      <c r="F1496" s="24">
        <v>1.0</v>
      </c>
      <c r="G1496" s="18" t="s">
        <v>5616</v>
      </c>
      <c r="H1496" s="18"/>
      <c r="I1496" s="24">
        <v>8.155545449E10</v>
      </c>
      <c r="J1496" s="18" t="s">
        <v>5617</v>
      </c>
      <c r="K1496" s="18"/>
      <c r="L1496" s="18" t="s">
        <v>5614</v>
      </c>
    </row>
    <row r="1497">
      <c r="A1497" s="18" t="s">
        <v>5618</v>
      </c>
      <c r="B1497" s="18" t="s">
        <v>791</v>
      </c>
      <c r="C1497" s="18" t="s">
        <v>5619</v>
      </c>
      <c r="D1497" s="18"/>
      <c r="E1497" s="24">
        <v>8.5745295955E10</v>
      </c>
      <c r="F1497" s="24">
        <v>1.0</v>
      </c>
      <c r="G1497" s="18" t="s">
        <v>5619</v>
      </c>
      <c r="H1497" s="18"/>
      <c r="I1497" s="24">
        <v>8.5745295955E10</v>
      </c>
      <c r="J1497" s="18" t="s">
        <v>5620</v>
      </c>
      <c r="K1497" s="18"/>
      <c r="L1497" s="18" t="s">
        <v>3053</v>
      </c>
    </row>
    <row r="1498">
      <c r="A1498" s="18" t="s">
        <v>5621</v>
      </c>
      <c r="B1498" s="18" t="s">
        <v>791</v>
      </c>
      <c r="C1498" s="18" t="s">
        <v>5622</v>
      </c>
      <c r="D1498" s="18"/>
      <c r="E1498" s="24">
        <v>8.5236197186E10</v>
      </c>
      <c r="F1498" s="24">
        <v>1.0</v>
      </c>
      <c r="G1498" s="18" t="s">
        <v>5622</v>
      </c>
      <c r="H1498" s="18"/>
      <c r="I1498" s="24">
        <v>8.5236197186E10</v>
      </c>
      <c r="J1498" s="18" t="s">
        <v>5623</v>
      </c>
      <c r="K1498" s="18"/>
      <c r="L1498" s="18" t="s">
        <v>2385</v>
      </c>
    </row>
    <row r="1499">
      <c r="A1499" s="18" t="s">
        <v>5624</v>
      </c>
      <c r="B1499" s="18" t="s">
        <v>791</v>
      </c>
      <c r="C1499" s="18" t="s">
        <v>5625</v>
      </c>
      <c r="D1499" s="18"/>
      <c r="E1499" s="24">
        <v>8.7766527766E10</v>
      </c>
      <c r="F1499" s="24">
        <v>1.0</v>
      </c>
      <c r="G1499" s="18" t="s">
        <v>5625</v>
      </c>
      <c r="H1499" s="18"/>
      <c r="I1499" s="24">
        <v>8.7766527766E10</v>
      </c>
      <c r="J1499" s="18" t="s">
        <v>5626</v>
      </c>
      <c r="K1499" s="18"/>
      <c r="L1499" s="18" t="s">
        <v>4070</v>
      </c>
    </row>
    <row r="1500">
      <c r="A1500" s="18" t="s">
        <v>5627</v>
      </c>
      <c r="B1500" s="18" t="s">
        <v>791</v>
      </c>
      <c r="C1500" s="18" t="s">
        <v>5628</v>
      </c>
      <c r="D1500" s="18"/>
      <c r="E1500" s="24">
        <v>8.5786263046E10</v>
      </c>
      <c r="F1500" s="24">
        <v>1.0</v>
      </c>
      <c r="G1500" s="18" t="s">
        <v>5628</v>
      </c>
      <c r="H1500" s="18"/>
      <c r="I1500" s="24">
        <v>8.5786263046E10</v>
      </c>
      <c r="J1500" s="18" t="s">
        <v>5629</v>
      </c>
      <c r="K1500" s="18"/>
      <c r="L1500" s="18" t="s">
        <v>2339</v>
      </c>
    </row>
    <row r="1501">
      <c r="A1501" s="18" t="s">
        <v>5630</v>
      </c>
      <c r="B1501" s="18" t="s">
        <v>791</v>
      </c>
      <c r="C1501" s="18" t="s">
        <v>5628</v>
      </c>
      <c r="D1501" s="18"/>
      <c r="E1501" s="24">
        <v>8.1234139591E10</v>
      </c>
      <c r="F1501" s="24">
        <v>1.0</v>
      </c>
      <c r="G1501" s="18" t="s">
        <v>5628</v>
      </c>
      <c r="H1501" s="18"/>
      <c r="I1501" s="24">
        <v>8.1234139591E10</v>
      </c>
      <c r="J1501" s="18" t="s">
        <v>5631</v>
      </c>
      <c r="K1501" s="18"/>
      <c r="L1501" s="18" t="s">
        <v>4848</v>
      </c>
    </row>
    <row r="1502">
      <c r="A1502" s="18" t="s">
        <v>5632</v>
      </c>
      <c r="B1502" s="18" t="s">
        <v>791</v>
      </c>
      <c r="C1502" s="18" t="s">
        <v>5633</v>
      </c>
      <c r="D1502" s="18"/>
      <c r="E1502" s="24">
        <v>8.585245612E10</v>
      </c>
      <c r="F1502" s="24">
        <v>1.0</v>
      </c>
      <c r="G1502" s="18" t="s">
        <v>5633</v>
      </c>
      <c r="H1502" s="18"/>
      <c r="I1502" s="24">
        <v>8.585245612E10</v>
      </c>
      <c r="J1502" s="18" t="s">
        <v>5634</v>
      </c>
      <c r="K1502" s="18"/>
      <c r="L1502" s="18" t="s">
        <v>2256</v>
      </c>
    </row>
    <row r="1503">
      <c r="A1503" s="18" t="s">
        <v>5635</v>
      </c>
      <c r="B1503" s="18" t="s">
        <v>791</v>
      </c>
      <c r="C1503" s="18" t="s">
        <v>5636</v>
      </c>
      <c r="D1503" s="18"/>
      <c r="E1503" s="24">
        <v>8.5649946829E10</v>
      </c>
      <c r="F1503" s="24">
        <v>1.0</v>
      </c>
      <c r="G1503" s="18" t="s">
        <v>5636</v>
      </c>
      <c r="H1503" s="18"/>
      <c r="I1503" s="24">
        <v>8.5649946829E10</v>
      </c>
      <c r="J1503" s="18" t="s">
        <v>5637</v>
      </c>
      <c r="K1503" s="18"/>
      <c r="L1503" s="18" t="s">
        <v>5638</v>
      </c>
    </row>
    <row r="1504">
      <c r="A1504" s="18" t="s">
        <v>5640</v>
      </c>
      <c r="B1504" s="18" t="s">
        <v>791</v>
      </c>
      <c r="C1504" s="18" t="s">
        <v>5641</v>
      </c>
      <c r="D1504" s="18"/>
      <c r="E1504" s="24">
        <v>8.2326795661E10</v>
      </c>
      <c r="F1504" s="24">
        <v>1.0</v>
      </c>
      <c r="G1504" s="18" t="s">
        <v>5641</v>
      </c>
      <c r="H1504" s="18"/>
      <c r="I1504" s="24">
        <v>8.2326795661E10</v>
      </c>
      <c r="J1504" s="18" t="s">
        <v>4912</v>
      </c>
      <c r="K1504" s="18"/>
      <c r="L1504" s="18" t="s">
        <v>5642</v>
      </c>
    </row>
    <row r="1505">
      <c r="A1505" s="18" t="s">
        <v>5643</v>
      </c>
      <c r="B1505" s="18" t="s">
        <v>791</v>
      </c>
      <c r="C1505" s="18" t="s">
        <v>563</v>
      </c>
      <c r="D1505" s="18"/>
      <c r="E1505" s="24">
        <v>8.2336770777E10</v>
      </c>
      <c r="F1505" s="24">
        <v>1.0</v>
      </c>
      <c r="G1505" s="18" t="s">
        <v>563</v>
      </c>
      <c r="H1505" s="18"/>
      <c r="I1505" s="24">
        <v>8.2336770777E10</v>
      </c>
      <c r="J1505" s="18" t="s">
        <v>5644</v>
      </c>
      <c r="K1505" s="18"/>
      <c r="L1505" s="18" t="s">
        <v>1850</v>
      </c>
    </row>
    <row r="1506">
      <c r="A1506" s="18" t="s">
        <v>5645</v>
      </c>
      <c r="B1506" s="18" t="s">
        <v>791</v>
      </c>
      <c r="C1506" s="18" t="s">
        <v>563</v>
      </c>
      <c r="D1506" s="18"/>
      <c r="E1506" s="24">
        <v>8.5259838445E10</v>
      </c>
      <c r="F1506" s="24">
        <v>1.0</v>
      </c>
      <c r="G1506" s="18" t="s">
        <v>563</v>
      </c>
      <c r="H1506" s="18"/>
      <c r="I1506" s="24">
        <v>8.5259838445E10</v>
      </c>
      <c r="J1506" s="18" t="s">
        <v>4734</v>
      </c>
      <c r="K1506" s="18"/>
      <c r="L1506" s="18" t="s">
        <v>5646</v>
      </c>
    </row>
    <row r="1507">
      <c r="A1507" s="18" t="s">
        <v>5647</v>
      </c>
      <c r="B1507" s="18" t="s">
        <v>791</v>
      </c>
      <c r="C1507" s="18" t="s">
        <v>5648</v>
      </c>
      <c r="D1507" s="18"/>
      <c r="E1507" s="24">
        <v>8.159023919E9</v>
      </c>
      <c r="F1507" s="24">
        <v>1.0</v>
      </c>
      <c r="G1507" s="18" t="s">
        <v>5648</v>
      </c>
      <c r="H1507" s="18"/>
      <c r="I1507" s="24">
        <v>8.159023919E9</v>
      </c>
      <c r="J1507" s="18" t="s">
        <v>5649</v>
      </c>
      <c r="K1507" s="18"/>
      <c r="L1507" s="18" t="s">
        <v>2412</v>
      </c>
    </row>
    <row r="1508">
      <c r="A1508" s="18" t="s">
        <v>1042</v>
      </c>
      <c r="B1508" s="18" t="s">
        <v>791</v>
      </c>
      <c r="C1508" s="18" t="s">
        <v>1044</v>
      </c>
      <c r="D1508" s="18" t="s">
        <v>279</v>
      </c>
      <c r="E1508" s="24">
        <v>8.1329418222E10</v>
      </c>
      <c r="F1508" s="24">
        <v>1.0</v>
      </c>
      <c r="G1508" s="18" t="s">
        <v>1044</v>
      </c>
      <c r="H1508" s="18" t="s">
        <v>279</v>
      </c>
      <c r="I1508" s="24">
        <v>8.1329418222E10</v>
      </c>
      <c r="J1508" s="18" t="s">
        <v>1043</v>
      </c>
      <c r="K1508" s="18" t="s">
        <v>1043</v>
      </c>
      <c r="L1508" s="18" t="s">
        <v>1037</v>
      </c>
    </row>
    <row r="1509">
      <c r="A1509" s="18" t="s">
        <v>5650</v>
      </c>
      <c r="B1509" s="18" t="s">
        <v>791</v>
      </c>
      <c r="C1509" s="18" t="s">
        <v>5651</v>
      </c>
      <c r="D1509" s="18"/>
      <c r="E1509" s="24">
        <v>8.5103373232E10</v>
      </c>
      <c r="F1509" s="24">
        <v>1.0</v>
      </c>
      <c r="G1509" s="18" t="s">
        <v>5651</v>
      </c>
      <c r="H1509" s="18"/>
      <c r="I1509" s="24">
        <v>8.5103373232E10</v>
      </c>
      <c r="J1509" s="18" t="s">
        <v>5652</v>
      </c>
      <c r="K1509" s="18"/>
      <c r="L1509" s="18" t="s">
        <v>1142</v>
      </c>
    </row>
    <row r="1510">
      <c r="A1510" s="18" t="s">
        <v>5653</v>
      </c>
      <c r="B1510" s="18" t="s">
        <v>791</v>
      </c>
      <c r="C1510" s="18" t="s">
        <v>5654</v>
      </c>
      <c r="D1510" s="18"/>
      <c r="E1510" s="18"/>
      <c r="F1510" s="24">
        <v>1.0</v>
      </c>
      <c r="G1510" s="18" t="s">
        <v>5654</v>
      </c>
      <c r="H1510" s="18"/>
      <c r="I1510" s="18"/>
      <c r="J1510" s="18" t="s">
        <v>5655</v>
      </c>
      <c r="K1510" s="18"/>
      <c r="L1510" s="18"/>
    </row>
    <row r="1511">
      <c r="A1511" s="18" t="s">
        <v>5656</v>
      </c>
      <c r="B1511" s="18" t="s">
        <v>791</v>
      </c>
      <c r="C1511" s="18" t="s">
        <v>5657</v>
      </c>
      <c r="D1511" s="18"/>
      <c r="E1511" s="24">
        <v>8.133595015E10</v>
      </c>
      <c r="F1511" s="24">
        <v>1.0</v>
      </c>
      <c r="G1511" s="18" t="s">
        <v>5657</v>
      </c>
      <c r="H1511" s="18"/>
      <c r="I1511" s="24">
        <v>8.133595015E10</v>
      </c>
      <c r="J1511" s="18" t="s">
        <v>5658</v>
      </c>
      <c r="K1511" s="18"/>
      <c r="L1511" s="18" t="s">
        <v>2642</v>
      </c>
    </row>
    <row r="1512">
      <c r="A1512" s="18" t="s">
        <v>1045</v>
      </c>
      <c r="B1512" s="18" t="s">
        <v>791</v>
      </c>
      <c r="C1512" s="18" t="s">
        <v>1047</v>
      </c>
      <c r="D1512" s="18" t="s">
        <v>279</v>
      </c>
      <c r="E1512" s="24">
        <v>8.5319404441E10</v>
      </c>
      <c r="F1512" s="24">
        <v>1.0</v>
      </c>
      <c r="G1512" s="18" t="s">
        <v>1047</v>
      </c>
      <c r="H1512" s="18" t="s">
        <v>279</v>
      </c>
      <c r="I1512" s="24">
        <v>8.5319404441E10</v>
      </c>
      <c r="J1512" s="18" t="s">
        <v>1046</v>
      </c>
      <c r="K1512" s="18" t="s">
        <v>1046</v>
      </c>
      <c r="L1512" s="18" t="s">
        <v>1048</v>
      </c>
    </row>
    <row r="1513">
      <c r="A1513" s="18" t="s">
        <v>5659</v>
      </c>
      <c r="B1513" s="18" t="s">
        <v>791</v>
      </c>
      <c r="C1513" s="18" t="s">
        <v>5660</v>
      </c>
      <c r="D1513" s="18"/>
      <c r="E1513" s="24">
        <v>8.1335208367E10</v>
      </c>
      <c r="F1513" s="24">
        <v>1.0</v>
      </c>
      <c r="G1513" s="18" t="s">
        <v>5660</v>
      </c>
      <c r="H1513" s="18"/>
      <c r="I1513" s="24">
        <v>8.1335208367E10</v>
      </c>
      <c r="J1513" s="24">
        <v>3.52102311267001E15</v>
      </c>
      <c r="K1513" s="18"/>
      <c r="L1513" s="18" t="s">
        <v>1914</v>
      </c>
    </row>
    <row r="1514">
      <c r="A1514" s="18" t="s">
        <v>5661</v>
      </c>
      <c r="B1514" s="18" t="s">
        <v>791</v>
      </c>
      <c r="C1514" s="18" t="s">
        <v>5663</v>
      </c>
      <c r="D1514" s="18"/>
      <c r="E1514" s="24">
        <v>8.5806842179E10</v>
      </c>
      <c r="F1514" s="24">
        <v>1.0</v>
      </c>
      <c r="G1514" s="18" t="s">
        <v>5663</v>
      </c>
      <c r="H1514" s="18"/>
      <c r="I1514" s="24">
        <v>8.5806842179E10</v>
      </c>
      <c r="J1514" s="18" t="s">
        <v>5664</v>
      </c>
      <c r="K1514" s="18"/>
      <c r="L1514" s="18" t="s">
        <v>1850</v>
      </c>
    </row>
    <row r="1515">
      <c r="A1515" s="18" t="s">
        <v>5665</v>
      </c>
      <c r="B1515" s="18" t="s">
        <v>791</v>
      </c>
      <c r="C1515" s="18" t="s">
        <v>5666</v>
      </c>
      <c r="D1515" s="18"/>
      <c r="E1515" s="24">
        <v>8.5141565285E10</v>
      </c>
      <c r="F1515" s="24">
        <v>1.0</v>
      </c>
      <c r="G1515" s="18" t="s">
        <v>5666</v>
      </c>
      <c r="H1515" s="18"/>
      <c r="I1515" s="24">
        <v>8.5141565285E10</v>
      </c>
      <c r="J1515" s="18" t="s">
        <v>5667</v>
      </c>
      <c r="K1515" s="18"/>
      <c r="L1515" s="18" t="s">
        <v>3188</v>
      </c>
    </row>
    <row r="1516">
      <c r="A1516" s="18" t="s">
        <v>5668</v>
      </c>
      <c r="B1516" s="18" t="s">
        <v>791</v>
      </c>
      <c r="C1516" s="18" t="s">
        <v>5669</v>
      </c>
      <c r="D1516" s="18"/>
      <c r="E1516" s="24">
        <v>8.5229688588E10</v>
      </c>
      <c r="F1516" s="24">
        <v>1.0</v>
      </c>
      <c r="G1516" s="18" t="s">
        <v>5669</v>
      </c>
      <c r="H1516" s="18"/>
      <c r="I1516" s="24">
        <v>8.5229688588E10</v>
      </c>
      <c r="J1516" s="18" t="s">
        <v>5670</v>
      </c>
      <c r="K1516" s="18"/>
      <c r="L1516" s="18" t="s">
        <v>5671</v>
      </c>
    </row>
    <row r="1517">
      <c r="A1517" s="18" t="s">
        <v>5672</v>
      </c>
      <c r="B1517" s="18" t="s">
        <v>791</v>
      </c>
      <c r="C1517" s="18" t="s">
        <v>5673</v>
      </c>
      <c r="D1517" s="18"/>
      <c r="E1517" s="24">
        <v>8.2331081919E10</v>
      </c>
      <c r="F1517" s="24">
        <v>1.0</v>
      </c>
      <c r="G1517" s="18" t="s">
        <v>5673</v>
      </c>
      <c r="H1517" s="18"/>
      <c r="I1517" s="24">
        <v>8.2331081919E10</v>
      </c>
      <c r="J1517" s="18" t="s">
        <v>5674</v>
      </c>
      <c r="K1517" s="18"/>
      <c r="L1517" s="18" t="s">
        <v>2451</v>
      </c>
    </row>
    <row r="1518">
      <c r="A1518" s="18" t="s">
        <v>5675</v>
      </c>
      <c r="B1518" s="18" t="s">
        <v>791</v>
      </c>
      <c r="C1518" s="18" t="s">
        <v>5676</v>
      </c>
      <c r="D1518" s="18"/>
      <c r="E1518" s="24">
        <v>8.13345206E10</v>
      </c>
      <c r="F1518" s="24">
        <v>1.0</v>
      </c>
      <c r="G1518" s="18" t="s">
        <v>5676</v>
      </c>
      <c r="H1518" s="18"/>
      <c r="I1518" s="24">
        <v>8.13345206E10</v>
      </c>
      <c r="J1518" s="18" t="s">
        <v>5677</v>
      </c>
      <c r="K1518" s="18"/>
      <c r="L1518" s="18" t="s">
        <v>1996</v>
      </c>
    </row>
    <row r="1519">
      <c r="A1519" s="18" t="s">
        <v>5678</v>
      </c>
      <c r="B1519" s="18" t="s">
        <v>791</v>
      </c>
      <c r="C1519" s="18" t="s">
        <v>5679</v>
      </c>
      <c r="D1519" s="18"/>
      <c r="E1519" s="24">
        <v>8.2336770777E10</v>
      </c>
      <c r="F1519" s="24">
        <v>1.0</v>
      </c>
      <c r="G1519" s="18" t="s">
        <v>5679</v>
      </c>
      <c r="H1519" s="18"/>
      <c r="I1519" s="24">
        <v>8.2336770777E10</v>
      </c>
      <c r="J1519" s="18" t="s">
        <v>5437</v>
      </c>
      <c r="K1519" s="18"/>
      <c r="L1519" s="18" t="s">
        <v>1850</v>
      </c>
    </row>
    <row r="1520">
      <c r="A1520" s="18" t="s">
        <v>5680</v>
      </c>
      <c r="B1520" s="18" t="s">
        <v>791</v>
      </c>
      <c r="C1520" s="18" t="s">
        <v>5681</v>
      </c>
      <c r="D1520" s="18"/>
      <c r="E1520" s="24">
        <v>8.5736622942E10</v>
      </c>
      <c r="F1520" s="24">
        <v>1.0</v>
      </c>
      <c r="G1520" s="18" t="s">
        <v>5681</v>
      </c>
      <c r="H1520" s="18"/>
      <c r="I1520" s="24">
        <v>8.5736622942E10</v>
      </c>
      <c r="J1520" s="18" t="s">
        <v>5682</v>
      </c>
      <c r="K1520" s="18"/>
      <c r="L1520" s="18" t="s">
        <v>4795</v>
      </c>
    </row>
    <row r="1521">
      <c r="A1521" s="18" t="s">
        <v>5683</v>
      </c>
      <c r="B1521" s="18" t="s">
        <v>791</v>
      </c>
      <c r="C1521" s="18" t="s">
        <v>5684</v>
      </c>
      <c r="D1521" s="18"/>
      <c r="E1521" s="24">
        <v>8.5853362014E10</v>
      </c>
      <c r="F1521" s="24">
        <v>1.0</v>
      </c>
      <c r="G1521" s="18" t="s">
        <v>5684</v>
      </c>
      <c r="H1521" s="18"/>
      <c r="I1521" s="24">
        <v>8.5853362014E10</v>
      </c>
      <c r="J1521" s="18" t="s">
        <v>5685</v>
      </c>
      <c r="K1521" s="18"/>
      <c r="L1521" s="18" t="s">
        <v>5686</v>
      </c>
    </row>
    <row r="1522">
      <c r="A1522" s="18" t="s">
        <v>5687</v>
      </c>
      <c r="B1522" s="18" t="s">
        <v>791</v>
      </c>
      <c r="C1522" s="18" t="s">
        <v>5688</v>
      </c>
      <c r="D1522" s="18"/>
      <c r="E1522" s="24">
        <v>8.2337221349E10</v>
      </c>
      <c r="F1522" s="24">
        <v>1.0</v>
      </c>
      <c r="G1522" s="18" t="s">
        <v>5688</v>
      </c>
      <c r="H1522" s="18"/>
      <c r="I1522" s="24">
        <v>8.2337221349E10</v>
      </c>
      <c r="J1522" s="18" t="s">
        <v>5690</v>
      </c>
      <c r="K1522" s="18"/>
      <c r="L1522" s="18" t="s">
        <v>1996</v>
      </c>
    </row>
    <row r="1523">
      <c r="A1523" s="18" t="s">
        <v>5691</v>
      </c>
      <c r="B1523" s="18" t="s">
        <v>791</v>
      </c>
      <c r="C1523" s="18" t="s">
        <v>5692</v>
      </c>
      <c r="D1523" s="18"/>
      <c r="E1523" s="24">
        <v>8.5337321218E10</v>
      </c>
      <c r="F1523" s="24">
        <v>1.0</v>
      </c>
      <c r="G1523" s="18" t="s">
        <v>5692</v>
      </c>
      <c r="H1523" s="18"/>
      <c r="I1523" s="24">
        <v>8.5337321218E10</v>
      </c>
      <c r="J1523" s="18" t="s">
        <v>5693</v>
      </c>
      <c r="K1523" s="18"/>
      <c r="L1523" s="18" t="s">
        <v>3751</v>
      </c>
    </row>
    <row r="1524">
      <c r="A1524" s="18" t="s">
        <v>5694</v>
      </c>
      <c r="B1524" s="18" t="s">
        <v>791</v>
      </c>
      <c r="C1524" s="18" t="s">
        <v>5695</v>
      </c>
      <c r="D1524" s="18"/>
      <c r="E1524" s="24">
        <v>8.5233685156E10</v>
      </c>
      <c r="F1524" s="24">
        <v>1.0</v>
      </c>
      <c r="G1524" s="18" t="s">
        <v>5695</v>
      </c>
      <c r="H1524" s="18"/>
      <c r="I1524" s="24">
        <v>8.5233685156E10</v>
      </c>
      <c r="J1524" s="18" t="s">
        <v>5696</v>
      </c>
      <c r="K1524" s="18"/>
      <c r="L1524" s="18" t="s">
        <v>5697</v>
      </c>
    </row>
    <row r="1525">
      <c r="A1525" s="18" t="s">
        <v>5698</v>
      </c>
      <c r="B1525" s="18" t="s">
        <v>791</v>
      </c>
      <c r="C1525" s="18" t="s">
        <v>5699</v>
      </c>
      <c r="D1525" s="18"/>
      <c r="E1525" s="18"/>
      <c r="F1525" s="24">
        <v>1.0</v>
      </c>
      <c r="G1525" s="18" t="s">
        <v>5699</v>
      </c>
      <c r="H1525" s="18"/>
      <c r="I1525" s="18"/>
      <c r="J1525" s="18" t="s">
        <v>5700</v>
      </c>
      <c r="K1525" s="18"/>
      <c r="L1525" s="18"/>
    </row>
    <row r="1526">
      <c r="A1526" s="18" t="s">
        <v>5701</v>
      </c>
      <c r="B1526" s="18" t="s">
        <v>791</v>
      </c>
      <c r="C1526" s="18" t="s">
        <v>5702</v>
      </c>
      <c r="D1526" s="18"/>
      <c r="E1526" s="24">
        <v>8.2337221349E10</v>
      </c>
      <c r="F1526" s="24">
        <v>1.0</v>
      </c>
      <c r="G1526" s="18" t="s">
        <v>5702</v>
      </c>
      <c r="H1526" s="18"/>
      <c r="I1526" s="24">
        <v>8.2337221349E10</v>
      </c>
      <c r="J1526" s="18" t="s">
        <v>5704</v>
      </c>
      <c r="K1526" s="18"/>
      <c r="L1526" s="18" t="s">
        <v>1996</v>
      </c>
    </row>
    <row r="1527">
      <c r="A1527" s="18" t="s">
        <v>5705</v>
      </c>
      <c r="B1527" s="18" t="s">
        <v>791</v>
      </c>
      <c r="C1527" s="18" t="s">
        <v>5706</v>
      </c>
      <c r="D1527" s="18"/>
      <c r="E1527" s="24">
        <v>32.0</v>
      </c>
      <c r="F1527" s="24">
        <v>1.0</v>
      </c>
      <c r="G1527" s="18" t="s">
        <v>5706</v>
      </c>
      <c r="H1527" s="18"/>
      <c r="I1527" s="24">
        <v>32.0</v>
      </c>
      <c r="J1527" s="18" t="s">
        <v>5707</v>
      </c>
      <c r="K1527" s="18"/>
      <c r="L1527" s="18" t="s">
        <v>3178</v>
      </c>
    </row>
    <row r="1528">
      <c r="A1528" s="18" t="s">
        <v>5708</v>
      </c>
      <c r="B1528" s="18" t="s">
        <v>791</v>
      </c>
      <c r="C1528" s="18" t="s">
        <v>5706</v>
      </c>
      <c r="D1528" s="18"/>
      <c r="E1528" s="24">
        <v>8.5233879638E10</v>
      </c>
      <c r="F1528" s="24">
        <v>1.0</v>
      </c>
      <c r="G1528" s="18" t="s">
        <v>5706</v>
      </c>
      <c r="H1528" s="18"/>
      <c r="I1528" s="24">
        <v>8.5233879638E10</v>
      </c>
      <c r="J1528" s="18" t="s">
        <v>4991</v>
      </c>
      <c r="K1528" s="18"/>
      <c r="L1528" s="18" t="s">
        <v>3829</v>
      </c>
    </row>
    <row r="1529">
      <c r="A1529" s="18" t="s">
        <v>5709</v>
      </c>
      <c r="B1529" s="18" t="s">
        <v>791</v>
      </c>
      <c r="C1529" s="18" t="s">
        <v>5706</v>
      </c>
      <c r="D1529" s="18"/>
      <c r="E1529" s="24">
        <v>8.5736622942E10</v>
      </c>
      <c r="F1529" s="24">
        <v>1.0</v>
      </c>
      <c r="G1529" s="18" t="s">
        <v>5706</v>
      </c>
      <c r="H1529" s="18"/>
      <c r="I1529" s="24">
        <v>8.5736622942E10</v>
      </c>
      <c r="J1529" s="18" t="s">
        <v>5710</v>
      </c>
      <c r="K1529" s="18"/>
      <c r="L1529" s="18" t="s">
        <v>4795</v>
      </c>
    </row>
    <row r="1530">
      <c r="A1530" s="18" t="s">
        <v>5711</v>
      </c>
      <c r="B1530" s="18" t="s">
        <v>791</v>
      </c>
      <c r="C1530" s="18" t="s">
        <v>5712</v>
      </c>
      <c r="D1530" s="18"/>
      <c r="E1530" s="24">
        <v>8.5645477374E10</v>
      </c>
      <c r="F1530" s="24">
        <v>1.0</v>
      </c>
      <c r="G1530" s="18" t="s">
        <v>5712</v>
      </c>
      <c r="H1530" s="18"/>
      <c r="I1530" s="24">
        <v>8.5645477374E10</v>
      </c>
      <c r="J1530" s="18" t="s">
        <v>5713</v>
      </c>
      <c r="K1530" s="18"/>
      <c r="L1530" s="18" t="s">
        <v>1830</v>
      </c>
    </row>
    <row r="1531">
      <c r="A1531" s="18" t="s">
        <v>5714</v>
      </c>
      <c r="B1531" s="18" t="s">
        <v>791</v>
      </c>
      <c r="C1531" s="18" t="s">
        <v>5715</v>
      </c>
      <c r="D1531" s="18"/>
      <c r="E1531" s="18"/>
      <c r="F1531" s="24">
        <v>1.0</v>
      </c>
      <c r="G1531" s="18" t="s">
        <v>5715</v>
      </c>
      <c r="H1531" s="18"/>
      <c r="I1531" s="18"/>
      <c r="J1531" s="18" t="s">
        <v>5716</v>
      </c>
      <c r="K1531" s="18"/>
      <c r="L1531" s="18"/>
    </row>
    <row r="1532">
      <c r="A1532" s="18" t="s">
        <v>5717</v>
      </c>
      <c r="B1532" s="18" t="s">
        <v>791</v>
      </c>
      <c r="C1532" s="18" t="s">
        <v>5718</v>
      </c>
      <c r="D1532" s="18"/>
      <c r="E1532" s="24">
        <v>8.3850347826E10</v>
      </c>
      <c r="F1532" s="24">
        <v>1.0</v>
      </c>
      <c r="G1532" s="18" t="s">
        <v>5718</v>
      </c>
      <c r="H1532" s="18"/>
      <c r="I1532" s="24">
        <v>8.3850347826E10</v>
      </c>
      <c r="J1532" s="18" t="s">
        <v>5719</v>
      </c>
      <c r="K1532" s="18"/>
      <c r="L1532" s="18" t="s">
        <v>5720</v>
      </c>
    </row>
    <row r="1533">
      <c r="A1533" s="18" t="s">
        <v>5721</v>
      </c>
      <c r="B1533" s="18" t="s">
        <v>791</v>
      </c>
      <c r="C1533" s="18" t="s">
        <v>5722</v>
      </c>
      <c r="D1533" s="18"/>
      <c r="E1533" s="24">
        <v>8.2335164088E10</v>
      </c>
      <c r="F1533" s="24">
        <v>1.0</v>
      </c>
      <c r="G1533" s="18" t="s">
        <v>5722</v>
      </c>
      <c r="H1533" s="18"/>
      <c r="I1533" s="24">
        <v>8.2335164088E10</v>
      </c>
      <c r="J1533" s="18" t="s">
        <v>5723</v>
      </c>
      <c r="K1533" s="18"/>
      <c r="L1533" s="18" t="s">
        <v>4949</v>
      </c>
    </row>
    <row r="1534">
      <c r="A1534" s="18" t="s">
        <v>5724</v>
      </c>
      <c r="B1534" s="18" t="s">
        <v>791</v>
      </c>
      <c r="C1534" s="18" t="s">
        <v>5725</v>
      </c>
      <c r="D1534" s="18"/>
      <c r="E1534" s="24">
        <v>8.5790863704E10</v>
      </c>
      <c r="F1534" s="24">
        <v>1.0</v>
      </c>
      <c r="G1534" s="18" t="s">
        <v>5725</v>
      </c>
      <c r="H1534" s="18"/>
      <c r="I1534" s="24">
        <v>8.5790863704E10</v>
      </c>
      <c r="J1534" s="18" t="s">
        <v>5726</v>
      </c>
      <c r="K1534" s="18"/>
      <c r="L1534" s="18" t="s">
        <v>1842</v>
      </c>
    </row>
    <row r="1535">
      <c r="A1535" s="18" t="s">
        <v>5727</v>
      </c>
      <c r="B1535" s="18" t="s">
        <v>791</v>
      </c>
      <c r="C1535" s="18" t="s">
        <v>5728</v>
      </c>
      <c r="D1535" s="18"/>
      <c r="E1535" s="18"/>
      <c r="F1535" s="24">
        <v>1.0</v>
      </c>
      <c r="G1535" s="18" t="s">
        <v>5728</v>
      </c>
      <c r="H1535" s="18"/>
      <c r="I1535" s="18"/>
      <c r="J1535" s="18" t="s">
        <v>5729</v>
      </c>
      <c r="K1535" s="18"/>
      <c r="L1535" s="18"/>
    </row>
    <row r="1536">
      <c r="A1536" s="18" t="s">
        <v>5730</v>
      </c>
      <c r="B1536" s="18" t="s">
        <v>791</v>
      </c>
      <c r="C1536" s="18" t="s">
        <v>5731</v>
      </c>
      <c r="D1536" s="18"/>
      <c r="E1536" s="24">
        <v>8.5235617345E10</v>
      </c>
      <c r="F1536" s="24">
        <v>1.0</v>
      </c>
      <c r="G1536" s="18" t="s">
        <v>5731</v>
      </c>
      <c r="H1536" s="18"/>
      <c r="I1536" s="24">
        <v>8.5235617345E10</v>
      </c>
      <c r="J1536" s="18" t="s">
        <v>5732</v>
      </c>
      <c r="K1536" s="18"/>
      <c r="L1536" s="18" t="s">
        <v>5733</v>
      </c>
    </row>
    <row r="1537">
      <c r="A1537" s="18" t="s">
        <v>5734</v>
      </c>
      <c r="B1537" s="18" t="s">
        <v>791</v>
      </c>
      <c r="C1537" s="18" t="s">
        <v>5731</v>
      </c>
      <c r="D1537" s="18"/>
      <c r="E1537" s="24">
        <v>8.2302083711E10</v>
      </c>
      <c r="F1537" s="24">
        <v>1.0</v>
      </c>
      <c r="G1537" s="18" t="s">
        <v>5731</v>
      </c>
      <c r="H1537" s="18"/>
      <c r="I1537" s="24">
        <v>8.2302083711E10</v>
      </c>
      <c r="J1537" s="18" t="s">
        <v>5735</v>
      </c>
      <c r="K1537" s="18"/>
      <c r="L1537" s="18" t="s">
        <v>5736</v>
      </c>
    </row>
    <row r="1538">
      <c r="A1538" s="18" t="s">
        <v>5737</v>
      </c>
      <c r="B1538" s="18" t="s">
        <v>791</v>
      </c>
      <c r="C1538" s="18" t="s">
        <v>5738</v>
      </c>
      <c r="D1538" s="18"/>
      <c r="E1538" s="24">
        <v>8.5235617345E10</v>
      </c>
      <c r="F1538" s="24">
        <v>1.0</v>
      </c>
      <c r="G1538" s="18" t="s">
        <v>5738</v>
      </c>
      <c r="H1538" s="18"/>
      <c r="I1538" s="24">
        <v>8.5235617345E10</v>
      </c>
      <c r="J1538" s="24">
        <v>3.52112410774004E15</v>
      </c>
      <c r="K1538" s="18"/>
      <c r="L1538" s="18" t="s">
        <v>5733</v>
      </c>
    </row>
    <row r="1539">
      <c r="A1539" s="18" t="s">
        <v>5739</v>
      </c>
      <c r="B1539" s="18" t="s">
        <v>791</v>
      </c>
      <c r="C1539" s="18" t="s">
        <v>5740</v>
      </c>
      <c r="D1539" s="18"/>
      <c r="E1539" s="24">
        <v>8.5843168914E10</v>
      </c>
      <c r="F1539" s="24">
        <v>1.0</v>
      </c>
      <c r="G1539" s="18" t="s">
        <v>5740</v>
      </c>
      <c r="H1539" s="18"/>
      <c r="I1539" s="24">
        <v>8.5843168914E10</v>
      </c>
      <c r="J1539" s="18" t="s">
        <v>5741</v>
      </c>
      <c r="K1539" s="18"/>
      <c r="L1539" s="18" t="s">
        <v>2385</v>
      </c>
    </row>
    <row r="1540">
      <c r="A1540" s="18" t="s">
        <v>5742</v>
      </c>
      <c r="B1540" s="18" t="s">
        <v>791</v>
      </c>
      <c r="C1540" s="18" t="s">
        <v>5740</v>
      </c>
      <c r="D1540" s="18"/>
      <c r="E1540" s="24">
        <v>8.2142663057E10</v>
      </c>
      <c r="F1540" s="24">
        <v>1.0</v>
      </c>
      <c r="G1540" s="18" t="s">
        <v>5740</v>
      </c>
      <c r="H1540" s="18"/>
      <c r="I1540" s="24">
        <v>8.2142663057E10</v>
      </c>
      <c r="J1540" s="18" t="s">
        <v>5743</v>
      </c>
      <c r="K1540" s="18"/>
      <c r="L1540" s="18" t="s">
        <v>2013</v>
      </c>
    </row>
    <row r="1541">
      <c r="A1541" s="18" t="s">
        <v>5744</v>
      </c>
      <c r="B1541" s="18" t="s">
        <v>791</v>
      </c>
      <c r="C1541" s="18" t="s">
        <v>5745</v>
      </c>
      <c r="D1541" s="18"/>
      <c r="E1541" s="24">
        <v>8.5732216596E10</v>
      </c>
      <c r="F1541" s="24">
        <v>1.0</v>
      </c>
      <c r="G1541" s="18" t="s">
        <v>5745</v>
      </c>
      <c r="H1541" s="18"/>
      <c r="I1541" s="24">
        <v>8.5732216596E10</v>
      </c>
      <c r="J1541" s="18" t="s">
        <v>5746</v>
      </c>
      <c r="K1541" s="18"/>
      <c r="L1541" s="18" t="s">
        <v>2491</v>
      </c>
    </row>
    <row r="1542">
      <c r="A1542" s="18" t="s">
        <v>5747</v>
      </c>
      <c r="B1542" s="18" t="s">
        <v>791</v>
      </c>
      <c r="C1542" s="18" t="s">
        <v>5740</v>
      </c>
      <c r="D1542" s="18"/>
      <c r="E1542" s="24">
        <v>8.5816137688E10</v>
      </c>
      <c r="F1542" s="24">
        <v>1.0</v>
      </c>
      <c r="G1542" s="18" t="s">
        <v>5740</v>
      </c>
      <c r="H1542" s="18"/>
      <c r="I1542" s="24">
        <v>8.5816137688E10</v>
      </c>
      <c r="J1542" s="18" t="s">
        <v>5748</v>
      </c>
      <c r="K1542" s="18"/>
      <c r="L1542" s="18" t="s">
        <v>2591</v>
      </c>
    </row>
    <row r="1543">
      <c r="A1543" s="18" t="s">
        <v>5749</v>
      </c>
      <c r="B1543" s="18" t="s">
        <v>791</v>
      </c>
      <c r="C1543" s="18" t="s">
        <v>5745</v>
      </c>
      <c r="D1543" s="18"/>
      <c r="E1543" s="24">
        <v>8.5293650954E10</v>
      </c>
      <c r="F1543" s="24">
        <v>1.0</v>
      </c>
      <c r="G1543" s="18" t="s">
        <v>5745</v>
      </c>
      <c r="H1543" s="18"/>
      <c r="I1543" s="24">
        <v>8.5293650954E10</v>
      </c>
      <c r="J1543" s="18" t="s">
        <v>5750</v>
      </c>
      <c r="K1543" s="18"/>
      <c r="L1543" s="18" t="s">
        <v>4548</v>
      </c>
    </row>
    <row r="1544">
      <c r="A1544" s="18" t="s">
        <v>5751</v>
      </c>
      <c r="B1544" s="18" t="s">
        <v>791</v>
      </c>
      <c r="C1544" s="18" t="s">
        <v>5752</v>
      </c>
      <c r="D1544" s="18"/>
      <c r="E1544" s="24">
        <v>8.1330239379E10</v>
      </c>
      <c r="F1544" s="24">
        <v>1.0</v>
      </c>
      <c r="G1544" s="18" t="s">
        <v>5752</v>
      </c>
      <c r="H1544" s="18"/>
      <c r="I1544" s="24">
        <v>8.1330239379E10</v>
      </c>
      <c r="J1544" s="18" t="s">
        <v>4577</v>
      </c>
      <c r="K1544" s="18"/>
      <c r="L1544" s="18" t="s">
        <v>5753</v>
      </c>
    </row>
    <row r="1545">
      <c r="A1545" s="18" t="s">
        <v>5754</v>
      </c>
      <c r="B1545" s="18" t="s">
        <v>791</v>
      </c>
      <c r="C1545" s="18" t="s">
        <v>5755</v>
      </c>
      <c r="D1545" s="18"/>
      <c r="E1545" s="24">
        <v>8.5235617345E10</v>
      </c>
      <c r="F1545" s="24">
        <v>1.0</v>
      </c>
      <c r="G1545" s="18" t="s">
        <v>5755</v>
      </c>
      <c r="H1545" s="18"/>
      <c r="I1545" s="24">
        <v>8.5235617345E10</v>
      </c>
      <c r="J1545" s="18" t="s">
        <v>5756</v>
      </c>
      <c r="K1545" s="18"/>
      <c r="L1545" s="18" t="s">
        <v>5757</v>
      </c>
    </row>
    <row r="1546">
      <c r="A1546" s="18" t="s">
        <v>5758</v>
      </c>
      <c r="B1546" s="18" t="s">
        <v>791</v>
      </c>
      <c r="C1546" s="18" t="s">
        <v>5755</v>
      </c>
      <c r="D1546" s="18"/>
      <c r="E1546" s="24">
        <v>8.233279389E10</v>
      </c>
      <c r="F1546" s="24">
        <v>1.0</v>
      </c>
      <c r="G1546" s="18" t="s">
        <v>5755</v>
      </c>
      <c r="H1546" s="18"/>
      <c r="I1546" s="24">
        <v>8.233279389E10</v>
      </c>
      <c r="J1546" s="18" t="s">
        <v>5759</v>
      </c>
      <c r="K1546" s="18"/>
      <c r="L1546" s="18" t="s">
        <v>1560</v>
      </c>
    </row>
    <row r="1547">
      <c r="A1547" s="18" t="s">
        <v>5760</v>
      </c>
      <c r="B1547" s="18" t="s">
        <v>791</v>
      </c>
      <c r="C1547" s="18" t="s">
        <v>5761</v>
      </c>
      <c r="D1547" s="18"/>
      <c r="E1547" s="24">
        <v>8.5708666077E10</v>
      </c>
      <c r="F1547" s="24">
        <v>1.0</v>
      </c>
      <c r="G1547" s="18" t="s">
        <v>5761</v>
      </c>
      <c r="H1547" s="18"/>
      <c r="I1547" s="24">
        <v>8.5708666077E10</v>
      </c>
      <c r="J1547" s="18" t="s">
        <v>5762</v>
      </c>
      <c r="K1547" s="18"/>
      <c r="L1547" s="18" t="s">
        <v>5199</v>
      </c>
    </row>
    <row r="1548">
      <c r="A1548" s="18" t="s">
        <v>5763</v>
      </c>
      <c r="B1548" s="18" t="s">
        <v>791</v>
      </c>
      <c r="C1548" s="18" t="s">
        <v>5764</v>
      </c>
      <c r="D1548" s="18"/>
      <c r="E1548" s="24">
        <v>8.3845739951E10</v>
      </c>
      <c r="F1548" s="24">
        <v>1.0</v>
      </c>
      <c r="G1548" s="18" t="s">
        <v>5764</v>
      </c>
      <c r="H1548" s="18"/>
      <c r="I1548" s="24">
        <v>8.3845739951E10</v>
      </c>
      <c r="J1548" s="18" t="s">
        <v>5765</v>
      </c>
      <c r="K1548" s="18"/>
      <c r="L1548" s="18" t="s">
        <v>5766</v>
      </c>
    </row>
    <row r="1549">
      <c r="A1549" s="18" t="s">
        <v>5767</v>
      </c>
      <c r="B1549" s="18" t="s">
        <v>791</v>
      </c>
      <c r="C1549" s="18" t="s">
        <v>5768</v>
      </c>
      <c r="D1549" s="18"/>
      <c r="E1549" s="24">
        <v>8.1231586778E10</v>
      </c>
      <c r="F1549" s="24">
        <v>1.0</v>
      </c>
      <c r="G1549" s="18" t="s">
        <v>5768</v>
      </c>
      <c r="H1549" s="18"/>
      <c r="I1549" s="24">
        <v>8.1231586778E10</v>
      </c>
      <c r="J1549" s="18" t="s">
        <v>5769</v>
      </c>
      <c r="K1549" s="18"/>
      <c r="L1549" s="18" t="s">
        <v>5770</v>
      </c>
    </row>
    <row r="1550">
      <c r="A1550" s="18" t="s">
        <v>5771</v>
      </c>
      <c r="B1550" s="18" t="s">
        <v>791</v>
      </c>
      <c r="C1550" s="18" t="s">
        <v>5772</v>
      </c>
      <c r="D1550" s="18"/>
      <c r="E1550" s="24">
        <v>8.5233879638E10</v>
      </c>
      <c r="F1550" s="24">
        <v>1.0</v>
      </c>
      <c r="G1550" s="18" t="s">
        <v>5772</v>
      </c>
      <c r="H1550" s="18"/>
      <c r="I1550" s="24">
        <v>8.5233879638E10</v>
      </c>
      <c r="J1550" s="18" t="s">
        <v>5089</v>
      </c>
      <c r="K1550" s="18"/>
      <c r="L1550" s="18" t="s">
        <v>3829</v>
      </c>
    </row>
    <row r="1551">
      <c r="A1551" s="18" t="s">
        <v>5773</v>
      </c>
      <c r="B1551" s="18" t="s">
        <v>791</v>
      </c>
      <c r="C1551" s="18" t="s">
        <v>5774</v>
      </c>
      <c r="D1551" s="18"/>
      <c r="E1551" s="24">
        <v>8.5790570699E10</v>
      </c>
      <c r="F1551" s="24">
        <v>1.0</v>
      </c>
      <c r="G1551" s="18" t="s">
        <v>5774</v>
      </c>
      <c r="H1551" s="18"/>
      <c r="I1551" s="24">
        <v>8.5790570699E10</v>
      </c>
      <c r="J1551" s="18" t="s">
        <v>5775</v>
      </c>
      <c r="K1551" s="18"/>
      <c r="L1551" s="18" t="s">
        <v>5776</v>
      </c>
    </row>
    <row r="1552">
      <c r="A1552" s="18" t="s">
        <v>5777</v>
      </c>
      <c r="B1552" s="18" t="s">
        <v>791</v>
      </c>
      <c r="C1552" s="18" t="s">
        <v>5774</v>
      </c>
      <c r="D1552" s="18"/>
      <c r="E1552" s="24">
        <v>8.1224535472E10</v>
      </c>
      <c r="F1552" s="24">
        <v>1.0</v>
      </c>
      <c r="G1552" s="18" t="s">
        <v>5774</v>
      </c>
      <c r="H1552" s="18"/>
      <c r="I1552" s="24">
        <v>8.1224535472E10</v>
      </c>
      <c r="J1552" s="18" t="s">
        <v>5778</v>
      </c>
      <c r="K1552" s="18"/>
      <c r="L1552" s="18" t="s">
        <v>2917</v>
      </c>
    </row>
    <row r="1553">
      <c r="A1553" s="18" t="s">
        <v>5779</v>
      </c>
      <c r="B1553" s="18" t="s">
        <v>791</v>
      </c>
      <c r="C1553" s="18" t="s">
        <v>5774</v>
      </c>
      <c r="D1553" s="18"/>
      <c r="E1553" s="24">
        <v>8.125919566E10</v>
      </c>
      <c r="F1553" s="24">
        <v>1.0</v>
      </c>
      <c r="G1553" s="18" t="s">
        <v>5774</v>
      </c>
      <c r="H1553" s="18"/>
      <c r="I1553" s="24">
        <v>8.125919566E10</v>
      </c>
      <c r="J1553" s="18" t="s">
        <v>5780</v>
      </c>
      <c r="K1553" s="18"/>
      <c r="L1553" s="18" t="s">
        <v>5781</v>
      </c>
    </row>
    <row r="1554">
      <c r="A1554" s="18" t="s">
        <v>5782</v>
      </c>
      <c r="B1554" s="18" t="s">
        <v>791</v>
      </c>
      <c r="C1554" s="18" t="s">
        <v>5783</v>
      </c>
      <c r="D1554" s="18"/>
      <c r="E1554" s="24">
        <v>8.5259662993E10</v>
      </c>
      <c r="F1554" s="24">
        <v>1.0</v>
      </c>
      <c r="G1554" s="18" t="s">
        <v>5783</v>
      </c>
      <c r="H1554" s="18"/>
      <c r="I1554" s="24">
        <v>8.5259662993E10</v>
      </c>
      <c r="J1554" s="18" t="s">
        <v>5784</v>
      </c>
      <c r="K1554" s="18"/>
      <c r="L1554" s="18" t="s">
        <v>5785</v>
      </c>
    </row>
    <row r="1555">
      <c r="A1555" s="18" t="s">
        <v>5786</v>
      </c>
      <c r="B1555" s="18" t="s">
        <v>791</v>
      </c>
      <c r="C1555" s="18" t="s">
        <v>5788</v>
      </c>
      <c r="D1555" s="18"/>
      <c r="E1555" s="24">
        <v>8.133584603E10</v>
      </c>
      <c r="F1555" s="24">
        <v>1.0</v>
      </c>
      <c r="G1555" s="18" t="s">
        <v>5788</v>
      </c>
      <c r="H1555" s="18"/>
      <c r="I1555" s="24">
        <v>8.133584603E10</v>
      </c>
      <c r="J1555" s="18" t="s">
        <v>5789</v>
      </c>
      <c r="K1555" s="18"/>
      <c r="L1555" s="18" t="s">
        <v>3068</v>
      </c>
    </row>
    <row r="1556">
      <c r="A1556" s="18" t="s">
        <v>5790</v>
      </c>
      <c r="B1556" s="18" t="s">
        <v>791</v>
      </c>
      <c r="C1556" s="18" t="s">
        <v>5788</v>
      </c>
      <c r="D1556" s="18"/>
      <c r="E1556" s="24">
        <v>8.2262222073E10</v>
      </c>
      <c r="F1556" s="24">
        <v>1.0</v>
      </c>
      <c r="G1556" s="18" t="s">
        <v>5788</v>
      </c>
      <c r="H1556" s="18"/>
      <c r="I1556" s="24">
        <v>8.2262222073E10</v>
      </c>
      <c r="J1556" s="18" t="s">
        <v>5791</v>
      </c>
      <c r="K1556" s="18"/>
      <c r="L1556" s="18" t="s">
        <v>5091</v>
      </c>
    </row>
    <row r="1557">
      <c r="A1557" s="18" t="s">
        <v>5792</v>
      </c>
      <c r="B1557" s="18" t="s">
        <v>791</v>
      </c>
      <c r="C1557" s="18" t="s">
        <v>5788</v>
      </c>
      <c r="D1557" s="18"/>
      <c r="E1557" s="24">
        <v>8.125990493E9</v>
      </c>
      <c r="F1557" s="24">
        <v>1.0</v>
      </c>
      <c r="G1557" s="18" t="s">
        <v>5788</v>
      </c>
      <c r="H1557" s="18"/>
      <c r="I1557" s="24">
        <v>8.125990493E9</v>
      </c>
      <c r="J1557" s="18" t="s">
        <v>5793</v>
      </c>
      <c r="K1557" s="18"/>
      <c r="L1557" s="18" t="s">
        <v>27</v>
      </c>
    </row>
    <row r="1558">
      <c r="A1558" s="18" t="s">
        <v>5794</v>
      </c>
      <c r="B1558" s="18" t="s">
        <v>791</v>
      </c>
      <c r="C1558" s="18" t="s">
        <v>5795</v>
      </c>
      <c r="D1558" s="18"/>
      <c r="E1558" s="18"/>
      <c r="F1558" s="24">
        <v>1.0</v>
      </c>
      <c r="G1558" s="18" t="s">
        <v>5795</v>
      </c>
      <c r="H1558" s="18"/>
      <c r="I1558" s="18"/>
      <c r="J1558" s="18" t="s">
        <v>5796</v>
      </c>
      <c r="K1558" s="18"/>
      <c r="L1558" s="18"/>
    </row>
    <row r="1559">
      <c r="A1559" s="18" t="s">
        <v>5797</v>
      </c>
      <c r="B1559" s="18" t="s">
        <v>791</v>
      </c>
      <c r="C1559" s="18" t="s">
        <v>5798</v>
      </c>
      <c r="D1559" s="18"/>
      <c r="E1559" s="24">
        <v>8.2220299966E10</v>
      </c>
      <c r="F1559" s="24">
        <v>1.0</v>
      </c>
      <c r="G1559" s="18" t="s">
        <v>5798</v>
      </c>
      <c r="H1559" s="18"/>
      <c r="I1559" s="24">
        <v>8.2220299966E10</v>
      </c>
      <c r="J1559" s="18" t="s">
        <v>5799</v>
      </c>
      <c r="K1559" s="18"/>
      <c r="L1559" s="18" t="s">
        <v>3433</v>
      </c>
    </row>
    <row r="1560">
      <c r="A1560" s="18" t="s">
        <v>5800</v>
      </c>
      <c r="B1560" s="18" t="s">
        <v>791</v>
      </c>
      <c r="C1560" s="18" t="s">
        <v>5801</v>
      </c>
      <c r="D1560" s="18"/>
      <c r="E1560" s="24">
        <v>8.564584087E10</v>
      </c>
      <c r="F1560" s="24">
        <v>1.0</v>
      </c>
      <c r="G1560" s="18" t="s">
        <v>5801</v>
      </c>
      <c r="H1560" s="18"/>
      <c r="I1560" s="24">
        <v>8.564584087E10</v>
      </c>
      <c r="J1560" s="18" t="s">
        <v>5802</v>
      </c>
      <c r="K1560" s="18"/>
      <c r="L1560" s="18" t="s">
        <v>2994</v>
      </c>
    </row>
    <row r="1561">
      <c r="A1561" s="18" t="s">
        <v>5803</v>
      </c>
      <c r="B1561" s="18" t="s">
        <v>791</v>
      </c>
      <c r="C1561" s="18" t="s">
        <v>5801</v>
      </c>
      <c r="D1561" s="18"/>
      <c r="E1561" s="24">
        <v>8.121606073E9</v>
      </c>
      <c r="F1561" s="24">
        <v>1.0</v>
      </c>
      <c r="G1561" s="18" t="s">
        <v>5801</v>
      </c>
      <c r="H1561" s="18"/>
      <c r="I1561" s="24">
        <v>8.121606073E9</v>
      </c>
      <c r="J1561" s="18" t="s">
        <v>5805</v>
      </c>
      <c r="K1561" s="18"/>
      <c r="L1561" s="18" t="s">
        <v>1474</v>
      </c>
    </row>
    <row r="1562">
      <c r="A1562" s="18" t="s">
        <v>5806</v>
      </c>
      <c r="B1562" s="18" t="s">
        <v>791</v>
      </c>
      <c r="C1562" s="18" t="s">
        <v>5807</v>
      </c>
      <c r="D1562" s="18"/>
      <c r="E1562" s="24">
        <v>8.564584087E10</v>
      </c>
      <c r="F1562" s="24">
        <v>1.0</v>
      </c>
      <c r="G1562" s="18" t="s">
        <v>5807</v>
      </c>
      <c r="H1562" s="18"/>
      <c r="I1562" s="24">
        <v>8.564584087E10</v>
      </c>
      <c r="J1562" s="18" t="s">
        <v>5808</v>
      </c>
      <c r="K1562" s="18"/>
      <c r="L1562" s="18" t="s">
        <v>2994</v>
      </c>
    </row>
    <row r="1563">
      <c r="A1563" s="18" t="s">
        <v>5809</v>
      </c>
      <c r="B1563" s="18" t="s">
        <v>791</v>
      </c>
      <c r="C1563" s="18" t="s">
        <v>5810</v>
      </c>
      <c r="D1563" s="18"/>
      <c r="E1563" s="24">
        <v>8.5234449814E10</v>
      </c>
      <c r="F1563" s="24">
        <v>1.0</v>
      </c>
      <c r="G1563" s="18" t="s">
        <v>5810</v>
      </c>
      <c r="H1563" s="18"/>
      <c r="I1563" s="24">
        <v>8.5234449814E10</v>
      </c>
      <c r="J1563" s="18" t="s">
        <v>5812</v>
      </c>
      <c r="K1563" s="18"/>
      <c r="L1563" s="18" t="s">
        <v>2876</v>
      </c>
    </row>
    <row r="1564">
      <c r="A1564" s="18" t="s">
        <v>5813</v>
      </c>
      <c r="B1564" s="18" t="s">
        <v>791</v>
      </c>
      <c r="C1564" s="18" t="s">
        <v>5814</v>
      </c>
      <c r="D1564" s="18"/>
      <c r="E1564" s="18"/>
      <c r="F1564" s="24">
        <v>1.0</v>
      </c>
      <c r="G1564" s="18" t="s">
        <v>5814</v>
      </c>
      <c r="H1564" s="18"/>
      <c r="I1564" s="18"/>
      <c r="J1564" s="18" t="s">
        <v>5815</v>
      </c>
      <c r="K1564" s="18"/>
      <c r="L1564" s="18"/>
    </row>
    <row r="1565">
      <c r="A1565" s="18" t="s">
        <v>5816</v>
      </c>
      <c r="B1565" s="18" t="s">
        <v>791</v>
      </c>
      <c r="C1565" s="18" t="s">
        <v>5817</v>
      </c>
      <c r="D1565" s="18"/>
      <c r="E1565" s="24">
        <v>8.5259060482E10</v>
      </c>
      <c r="F1565" s="24">
        <v>1.0</v>
      </c>
      <c r="G1565" s="18" t="s">
        <v>5817</v>
      </c>
      <c r="H1565" s="18"/>
      <c r="I1565" s="24">
        <v>8.5259060482E10</v>
      </c>
      <c r="J1565" s="18" t="s">
        <v>5818</v>
      </c>
      <c r="K1565" s="18"/>
      <c r="L1565" s="18" t="s">
        <v>2172</v>
      </c>
    </row>
    <row r="1566">
      <c r="A1566" s="18" t="s">
        <v>5819</v>
      </c>
      <c r="B1566" s="18" t="s">
        <v>791</v>
      </c>
      <c r="C1566" s="18" t="s">
        <v>5820</v>
      </c>
      <c r="D1566" s="18"/>
      <c r="E1566" s="24">
        <v>8.2335038016E10</v>
      </c>
      <c r="F1566" s="24">
        <v>1.0</v>
      </c>
      <c r="G1566" s="18" t="s">
        <v>5820</v>
      </c>
      <c r="H1566" s="18"/>
      <c r="I1566" s="24">
        <v>8.2335038016E10</v>
      </c>
      <c r="J1566" s="18" t="s">
        <v>5821</v>
      </c>
      <c r="K1566" s="18"/>
      <c r="L1566" s="18" t="s">
        <v>5822</v>
      </c>
    </row>
    <row r="1567">
      <c r="A1567" s="18" t="s">
        <v>5823</v>
      </c>
      <c r="B1567" s="18" t="s">
        <v>791</v>
      </c>
      <c r="C1567" s="18" t="s">
        <v>5824</v>
      </c>
      <c r="D1567" s="18"/>
      <c r="E1567" s="24">
        <v>8.2257793879E10</v>
      </c>
      <c r="F1567" s="24">
        <v>1.0</v>
      </c>
      <c r="G1567" s="18" t="s">
        <v>5824</v>
      </c>
      <c r="H1567" s="18"/>
      <c r="I1567" s="24">
        <v>8.2257793879E10</v>
      </c>
      <c r="J1567" s="18" t="s">
        <v>5825</v>
      </c>
      <c r="K1567" s="18"/>
      <c r="L1567" s="18" t="s">
        <v>1052</v>
      </c>
    </row>
    <row r="1568">
      <c r="A1568" s="18" t="s">
        <v>5826</v>
      </c>
      <c r="B1568" s="18" t="s">
        <v>791</v>
      </c>
      <c r="C1568" s="18" t="s">
        <v>5827</v>
      </c>
      <c r="D1568" s="18"/>
      <c r="E1568" s="24">
        <v>8.5337321218E10</v>
      </c>
      <c r="F1568" s="24">
        <v>1.0</v>
      </c>
      <c r="G1568" s="18" t="s">
        <v>5827</v>
      </c>
      <c r="H1568" s="18"/>
      <c r="I1568" s="24">
        <v>8.5337321218E10</v>
      </c>
      <c r="J1568" s="18" t="s">
        <v>5828</v>
      </c>
      <c r="K1568" s="18"/>
      <c r="L1568" s="18" t="s">
        <v>3751</v>
      </c>
    </row>
    <row r="1569">
      <c r="A1569" s="18" t="s">
        <v>5829</v>
      </c>
      <c r="B1569" s="18" t="s">
        <v>791</v>
      </c>
      <c r="C1569" s="18" t="s">
        <v>5830</v>
      </c>
      <c r="D1569" s="18"/>
      <c r="E1569" s="24">
        <v>8.7888553684E10</v>
      </c>
      <c r="F1569" s="24">
        <v>1.0</v>
      </c>
      <c r="G1569" s="18" t="s">
        <v>5830</v>
      </c>
      <c r="H1569" s="18"/>
      <c r="I1569" s="24">
        <v>8.7888553684E10</v>
      </c>
      <c r="J1569" s="18" t="s">
        <v>5831</v>
      </c>
      <c r="K1569" s="18"/>
      <c r="L1569" s="18" t="s">
        <v>5832</v>
      </c>
    </row>
    <row r="1570">
      <c r="A1570" s="18" t="s">
        <v>5833</v>
      </c>
      <c r="B1570" s="18" t="s">
        <v>791</v>
      </c>
      <c r="C1570" s="18" t="s">
        <v>5834</v>
      </c>
      <c r="D1570" s="18"/>
      <c r="E1570" s="24">
        <v>8.1234246377E10</v>
      </c>
      <c r="F1570" s="24">
        <v>1.0</v>
      </c>
      <c r="G1570" s="18" t="s">
        <v>5834</v>
      </c>
      <c r="H1570" s="18"/>
      <c r="I1570" s="24">
        <v>8.1234246377E10</v>
      </c>
      <c r="J1570" s="18" t="s">
        <v>5835</v>
      </c>
      <c r="K1570" s="18"/>
      <c r="L1570" s="18" t="s">
        <v>1482</v>
      </c>
    </row>
    <row r="1571">
      <c r="A1571" s="18" t="s">
        <v>5836</v>
      </c>
      <c r="B1571" s="18" t="s">
        <v>791</v>
      </c>
      <c r="C1571" s="18" t="s">
        <v>5837</v>
      </c>
      <c r="D1571" s="18"/>
      <c r="E1571" s="24">
        <v>8.5895395795E10</v>
      </c>
      <c r="F1571" s="24">
        <v>1.0</v>
      </c>
      <c r="G1571" s="18" t="s">
        <v>5837</v>
      </c>
      <c r="H1571" s="18"/>
      <c r="I1571" s="24">
        <v>8.5895395795E10</v>
      </c>
      <c r="J1571" s="18" t="s">
        <v>5839</v>
      </c>
      <c r="K1571" s="18"/>
      <c r="L1571" s="18" t="s">
        <v>3534</v>
      </c>
    </row>
    <row r="1572">
      <c r="A1572" s="18" t="s">
        <v>5840</v>
      </c>
      <c r="B1572" s="18" t="s">
        <v>791</v>
      </c>
      <c r="C1572" s="18" t="s">
        <v>5841</v>
      </c>
      <c r="D1572" s="18"/>
      <c r="E1572" s="24">
        <v>8.5235094487E10</v>
      </c>
      <c r="F1572" s="24">
        <v>1.0</v>
      </c>
      <c r="G1572" s="18" t="s">
        <v>5841</v>
      </c>
      <c r="H1572" s="18"/>
      <c r="I1572" s="24">
        <v>8.5235094487E10</v>
      </c>
      <c r="J1572" s="18" t="s">
        <v>5842</v>
      </c>
      <c r="K1572" s="18"/>
      <c r="L1572" s="18" t="s">
        <v>1861</v>
      </c>
    </row>
    <row r="1573">
      <c r="A1573" s="18" t="s">
        <v>5843</v>
      </c>
      <c r="B1573" s="18" t="s">
        <v>791</v>
      </c>
      <c r="C1573" s="18" t="s">
        <v>5844</v>
      </c>
      <c r="D1573" s="18"/>
      <c r="E1573" s="24">
        <v>8.5334913739E10</v>
      </c>
      <c r="F1573" s="24">
        <v>1.0</v>
      </c>
      <c r="G1573" s="18" t="s">
        <v>5844</v>
      </c>
      <c r="H1573" s="18"/>
      <c r="I1573" s="24">
        <v>8.5334913739E10</v>
      </c>
      <c r="J1573" s="18" t="s">
        <v>5039</v>
      </c>
      <c r="K1573" s="18"/>
      <c r="L1573" s="18" t="s">
        <v>1681</v>
      </c>
    </row>
    <row r="1574">
      <c r="A1574" s="18" t="s">
        <v>5845</v>
      </c>
      <c r="B1574" s="18" t="s">
        <v>791</v>
      </c>
      <c r="C1574" s="18" t="s">
        <v>5846</v>
      </c>
      <c r="D1574" s="18"/>
      <c r="E1574" s="24">
        <v>8.1556467515E10</v>
      </c>
      <c r="F1574" s="24">
        <v>1.0</v>
      </c>
      <c r="G1574" s="18" t="s">
        <v>5846</v>
      </c>
      <c r="H1574" s="18"/>
      <c r="I1574" s="24">
        <v>8.1556467515E10</v>
      </c>
      <c r="J1574" s="18" t="s">
        <v>5847</v>
      </c>
      <c r="K1574" s="18"/>
      <c r="L1574" s="18" t="s">
        <v>5848</v>
      </c>
    </row>
    <row r="1575">
      <c r="A1575" s="18" t="s">
        <v>5849</v>
      </c>
      <c r="B1575" s="18" t="s">
        <v>791</v>
      </c>
      <c r="C1575" s="18" t="s">
        <v>5850</v>
      </c>
      <c r="D1575" s="18"/>
      <c r="E1575" s="24">
        <v>8.5853639904E10</v>
      </c>
      <c r="F1575" s="24">
        <v>1.0</v>
      </c>
      <c r="G1575" s="18" t="s">
        <v>5850</v>
      </c>
      <c r="H1575" s="18"/>
      <c r="I1575" s="24">
        <v>8.5853639904E10</v>
      </c>
      <c r="J1575" s="18" t="s">
        <v>5851</v>
      </c>
      <c r="K1575" s="18"/>
      <c r="L1575" s="18" t="s">
        <v>1485</v>
      </c>
    </row>
    <row r="1576">
      <c r="A1576" s="18" t="s">
        <v>5852</v>
      </c>
      <c r="B1576" s="18" t="s">
        <v>791</v>
      </c>
      <c r="C1576" s="18" t="s">
        <v>5853</v>
      </c>
      <c r="D1576" s="18"/>
      <c r="E1576" s="24">
        <v>8.1335663129E10</v>
      </c>
      <c r="F1576" s="24">
        <v>1.0</v>
      </c>
      <c r="G1576" s="18" t="s">
        <v>5853</v>
      </c>
      <c r="H1576" s="18"/>
      <c r="I1576" s="24">
        <v>8.1335663129E10</v>
      </c>
      <c r="J1576" s="18" t="s">
        <v>5854</v>
      </c>
      <c r="K1576" s="18"/>
      <c r="L1576" s="18" t="s">
        <v>1549</v>
      </c>
    </row>
    <row r="1577">
      <c r="A1577" s="18" t="s">
        <v>5855</v>
      </c>
      <c r="B1577" s="18" t="s">
        <v>791</v>
      </c>
      <c r="C1577" s="18" t="s">
        <v>5856</v>
      </c>
      <c r="D1577" s="18"/>
      <c r="E1577" s="24">
        <v>8.1553258408E10</v>
      </c>
      <c r="F1577" s="24">
        <v>1.0</v>
      </c>
      <c r="G1577" s="18" t="s">
        <v>5856</v>
      </c>
      <c r="H1577" s="18"/>
      <c r="I1577" s="24">
        <v>8.1553258408E10</v>
      </c>
      <c r="J1577" s="18" t="s">
        <v>5857</v>
      </c>
      <c r="K1577" s="18"/>
      <c r="L1577" s="18" t="s">
        <v>5858</v>
      </c>
    </row>
    <row r="1578">
      <c r="A1578" s="18" t="s">
        <v>5859</v>
      </c>
      <c r="B1578" s="18" t="s">
        <v>791</v>
      </c>
      <c r="C1578" s="18" t="s">
        <v>5860</v>
      </c>
      <c r="D1578" s="18"/>
      <c r="E1578" s="24">
        <v>8.222739834E10</v>
      </c>
      <c r="F1578" s="24">
        <v>1.0</v>
      </c>
      <c r="G1578" s="18" t="s">
        <v>5860</v>
      </c>
      <c r="H1578" s="18"/>
      <c r="I1578" s="24">
        <v>8.222739834E10</v>
      </c>
      <c r="J1578" s="18" t="s">
        <v>5571</v>
      </c>
      <c r="K1578" s="18"/>
      <c r="L1578" s="18" t="s">
        <v>1677</v>
      </c>
    </row>
    <row r="1579">
      <c r="A1579" s="18" t="s">
        <v>5861</v>
      </c>
      <c r="B1579" s="18" t="s">
        <v>791</v>
      </c>
      <c r="C1579" s="18" t="s">
        <v>5862</v>
      </c>
      <c r="D1579" s="18"/>
      <c r="E1579" s="24">
        <v>8.5259755878E10</v>
      </c>
      <c r="F1579" s="24">
        <v>1.0</v>
      </c>
      <c r="G1579" s="18" t="s">
        <v>5862</v>
      </c>
      <c r="H1579" s="18"/>
      <c r="I1579" s="24">
        <v>8.5259755878E10</v>
      </c>
      <c r="J1579" s="24">
        <v>3.52111051083E15</v>
      </c>
      <c r="K1579" s="18"/>
      <c r="L1579" s="18" t="s">
        <v>3154</v>
      </c>
    </row>
    <row r="1580">
      <c r="A1580" s="18" t="s">
        <v>5863</v>
      </c>
      <c r="B1580" s="18" t="s">
        <v>791</v>
      </c>
      <c r="C1580" s="18" t="s">
        <v>5864</v>
      </c>
      <c r="D1580" s="18"/>
      <c r="E1580" s="24">
        <v>8.1336721441E10</v>
      </c>
      <c r="F1580" s="24">
        <v>1.0</v>
      </c>
      <c r="G1580" s="18" t="s">
        <v>5864</v>
      </c>
      <c r="H1580" s="18"/>
      <c r="I1580" s="24">
        <v>8.1336721441E10</v>
      </c>
      <c r="J1580" s="18" t="s">
        <v>5865</v>
      </c>
      <c r="K1580" s="18"/>
      <c r="L1580" s="18" t="s">
        <v>5286</v>
      </c>
    </row>
    <row r="1581">
      <c r="A1581" s="18" t="s">
        <v>5866</v>
      </c>
      <c r="B1581" s="18" t="s">
        <v>791</v>
      </c>
      <c r="C1581" s="18" t="s">
        <v>5864</v>
      </c>
      <c r="D1581" s="18"/>
      <c r="E1581" s="24">
        <v>8.1335663129E10</v>
      </c>
      <c r="F1581" s="24">
        <v>1.0</v>
      </c>
      <c r="G1581" s="18" t="s">
        <v>5864</v>
      </c>
      <c r="H1581" s="18"/>
      <c r="I1581" s="24">
        <v>8.1335663129E10</v>
      </c>
      <c r="J1581" s="18" t="s">
        <v>5867</v>
      </c>
      <c r="K1581" s="18"/>
      <c r="L1581" s="18" t="s">
        <v>1549</v>
      </c>
    </row>
    <row r="1582">
      <c r="A1582" s="18" t="s">
        <v>5868</v>
      </c>
      <c r="B1582" s="18" t="s">
        <v>791</v>
      </c>
      <c r="C1582" s="18" t="s">
        <v>5869</v>
      </c>
      <c r="D1582" s="18"/>
      <c r="E1582" s="24">
        <v>8.5235672001E10</v>
      </c>
      <c r="F1582" s="24">
        <v>1.0</v>
      </c>
      <c r="G1582" s="18" t="s">
        <v>5869</v>
      </c>
      <c r="H1582" s="18"/>
      <c r="I1582" s="24">
        <v>8.5235672001E10</v>
      </c>
      <c r="J1582" s="18" t="s">
        <v>5870</v>
      </c>
      <c r="K1582" s="18"/>
      <c r="L1582" s="18" t="s">
        <v>3552</v>
      </c>
    </row>
    <row r="1583">
      <c r="A1583" s="18" t="s">
        <v>5871</v>
      </c>
      <c r="B1583" s="18" t="s">
        <v>791</v>
      </c>
      <c r="C1583" s="18" t="s">
        <v>5872</v>
      </c>
      <c r="D1583" s="18"/>
      <c r="E1583" s="24">
        <v>8.1234246377E10</v>
      </c>
      <c r="F1583" s="24">
        <v>1.0</v>
      </c>
      <c r="G1583" s="18" t="s">
        <v>5872</v>
      </c>
      <c r="H1583" s="18"/>
      <c r="I1583" s="24">
        <v>8.1234246377E10</v>
      </c>
      <c r="J1583" s="18" t="s">
        <v>5873</v>
      </c>
      <c r="K1583" s="18"/>
      <c r="L1583" s="18" t="s">
        <v>1482</v>
      </c>
    </row>
    <row r="1584">
      <c r="A1584" s="18" t="s">
        <v>5874</v>
      </c>
      <c r="B1584" s="18" t="s">
        <v>791</v>
      </c>
      <c r="C1584" s="18" t="s">
        <v>5875</v>
      </c>
      <c r="D1584" s="18"/>
      <c r="E1584" s="24">
        <v>8.5791863533E10</v>
      </c>
      <c r="F1584" s="24">
        <v>1.0</v>
      </c>
      <c r="G1584" s="18" t="s">
        <v>5875</v>
      </c>
      <c r="H1584" s="18"/>
      <c r="I1584" s="24">
        <v>8.5791863533E10</v>
      </c>
      <c r="J1584" s="18" t="s">
        <v>5876</v>
      </c>
      <c r="K1584" s="18"/>
      <c r="L1584" s="18" t="s">
        <v>2332</v>
      </c>
    </row>
    <row r="1585">
      <c r="A1585" s="18" t="s">
        <v>5877</v>
      </c>
      <c r="B1585" s="18" t="s">
        <v>791</v>
      </c>
      <c r="C1585" s="18" t="s">
        <v>5878</v>
      </c>
      <c r="D1585" s="18"/>
      <c r="E1585" s="24">
        <v>8.5259726687E10</v>
      </c>
      <c r="F1585" s="24">
        <v>1.0</v>
      </c>
      <c r="G1585" s="18" t="s">
        <v>5878</v>
      </c>
      <c r="H1585" s="18"/>
      <c r="I1585" s="24">
        <v>8.5259726687E10</v>
      </c>
      <c r="J1585" s="18" t="s">
        <v>5879</v>
      </c>
      <c r="K1585" s="18"/>
      <c r="L1585" s="18" t="s">
        <v>5880</v>
      </c>
    </row>
    <row r="1586">
      <c r="A1586" s="18" t="s">
        <v>5881</v>
      </c>
      <c r="B1586" s="18" t="s">
        <v>791</v>
      </c>
      <c r="C1586" s="18" t="s">
        <v>5882</v>
      </c>
      <c r="D1586" s="18"/>
      <c r="E1586" s="24">
        <v>8.5872294308E10</v>
      </c>
      <c r="F1586" s="24">
        <v>1.0</v>
      </c>
      <c r="G1586" s="18" t="s">
        <v>5882</v>
      </c>
      <c r="H1586" s="18"/>
      <c r="I1586" s="24">
        <v>8.5872294308E10</v>
      </c>
      <c r="J1586" s="18" t="s">
        <v>5883</v>
      </c>
      <c r="K1586" s="18"/>
      <c r="L1586" s="18" t="s">
        <v>2132</v>
      </c>
    </row>
    <row r="1587">
      <c r="A1587" s="18" t="s">
        <v>5884</v>
      </c>
      <c r="B1587" s="18" t="s">
        <v>791</v>
      </c>
      <c r="C1587" s="18" t="s">
        <v>5885</v>
      </c>
      <c r="D1587" s="18"/>
      <c r="E1587" s="24">
        <v>8.5103373232E10</v>
      </c>
      <c r="F1587" s="24">
        <v>1.0</v>
      </c>
      <c r="G1587" s="18" t="s">
        <v>5885</v>
      </c>
      <c r="H1587" s="18"/>
      <c r="I1587" s="24">
        <v>8.5103373232E10</v>
      </c>
      <c r="J1587" s="18" t="s">
        <v>5886</v>
      </c>
      <c r="K1587" s="18"/>
      <c r="L1587" s="18" t="s">
        <v>1519</v>
      </c>
    </row>
    <row r="1588">
      <c r="A1588" s="18" t="s">
        <v>5887</v>
      </c>
      <c r="B1588" s="18" t="s">
        <v>791</v>
      </c>
      <c r="C1588" s="18" t="s">
        <v>5888</v>
      </c>
      <c r="D1588" s="18"/>
      <c r="E1588" s="24">
        <v>8.1393645582E10</v>
      </c>
      <c r="F1588" s="24">
        <v>1.0</v>
      </c>
      <c r="G1588" s="18" t="s">
        <v>5888</v>
      </c>
      <c r="H1588" s="18"/>
      <c r="I1588" s="24">
        <v>8.1393645582E10</v>
      </c>
      <c r="J1588" s="18" t="s">
        <v>5889</v>
      </c>
      <c r="K1588" s="18"/>
      <c r="L1588" s="18" t="s">
        <v>129</v>
      </c>
    </row>
    <row r="1589">
      <c r="A1589" s="18" t="s">
        <v>5890</v>
      </c>
      <c r="B1589" s="18" t="s">
        <v>791</v>
      </c>
      <c r="C1589" s="18" t="s">
        <v>5891</v>
      </c>
      <c r="D1589" s="18"/>
      <c r="E1589" s="24">
        <v>8.564584087E10</v>
      </c>
      <c r="F1589" s="24">
        <v>1.0</v>
      </c>
      <c r="G1589" s="18" t="s">
        <v>5891</v>
      </c>
      <c r="H1589" s="18"/>
      <c r="I1589" s="24">
        <v>8.564584087E10</v>
      </c>
      <c r="J1589" s="18" t="s">
        <v>5892</v>
      </c>
      <c r="K1589" s="18"/>
      <c r="L1589" s="18" t="s">
        <v>2994</v>
      </c>
    </row>
    <row r="1590">
      <c r="A1590" s="18" t="s">
        <v>5893</v>
      </c>
      <c r="B1590" s="18" t="s">
        <v>791</v>
      </c>
      <c r="C1590" s="18" t="s">
        <v>1051</v>
      </c>
      <c r="D1590" s="18"/>
      <c r="E1590" s="24">
        <v>8.5735622614E10</v>
      </c>
      <c r="F1590" s="24">
        <v>1.0</v>
      </c>
      <c r="G1590" s="18" t="s">
        <v>1051</v>
      </c>
      <c r="H1590" s="18"/>
      <c r="I1590" s="24">
        <v>8.5735622614E10</v>
      </c>
      <c r="J1590" s="18" t="s">
        <v>5894</v>
      </c>
      <c r="K1590" s="18"/>
      <c r="L1590" s="18" t="s">
        <v>4977</v>
      </c>
    </row>
    <row r="1591">
      <c r="A1591" s="18" t="s">
        <v>5895</v>
      </c>
      <c r="B1591" s="18" t="s">
        <v>791</v>
      </c>
      <c r="C1591" s="18" t="s">
        <v>5891</v>
      </c>
      <c r="D1591" s="18"/>
      <c r="E1591" s="24">
        <v>8.1359023919E10</v>
      </c>
      <c r="F1591" s="24">
        <v>1.0</v>
      </c>
      <c r="G1591" s="18" t="s">
        <v>5891</v>
      </c>
      <c r="H1591" s="18"/>
      <c r="I1591" s="24">
        <v>8.1359023919E10</v>
      </c>
      <c r="J1591" s="18" t="s">
        <v>5896</v>
      </c>
      <c r="K1591" s="18"/>
      <c r="L1591" s="18" t="s">
        <v>2412</v>
      </c>
    </row>
    <row r="1592">
      <c r="A1592" s="18" t="s">
        <v>1049</v>
      </c>
      <c r="B1592" s="18" t="s">
        <v>791</v>
      </c>
      <c r="C1592" s="18" t="s">
        <v>1051</v>
      </c>
      <c r="D1592" s="18" t="s">
        <v>279</v>
      </c>
      <c r="E1592" s="24">
        <v>8.232266647E10</v>
      </c>
      <c r="F1592" s="24">
        <v>1.0</v>
      </c>
      <c r="G1592" s="18" t="s">
        <v>1051</v>
      </c>
      <c r="H1592" s="18" t="s">
        <v>279</v>
      </c>
      <c r="I1592" s="24">
        <v>8.232266647E10</v>
      </c>
      <c r="J1592" s="18" t="s">
        <v>1050</v>
      </c>
      <c r="K1592" s="18" t="s">
        <v>1050</v>
      </c>
      <c r="L1592" s="18" t="s">
        <v>1052</v>
      </c>
    </row>
    <row r="1593">
      <c r="A1593" s="18" t="s">
        <v>5897</v>
      </c>
      <c r="B1593" s="18" t="s">
        <v>791</v>
      </c>
      <c r="C1593" s="18" t="s">
        <v>5898</v>
      </c>
      <c r="D1593" s="18"/>
      <c r="E1593" s="24">
        <v>8.564584087E10</v>
      </c>
      <c r="F1593" s="24">
        <v>1.0</v>
      </c>
      <c r="G1593" s="18" t="s">
        <v>5898</v>
      </c>
      <c r="H1593" s="18"/>
      <c r="I1593" s="24">
        <v>8.564584087E10</v>
      </c>
      <c r="J1593" s="18" t="s">
        <v>5899</v>
      </c>
      <c r="K1593" s="18"/>
      <c r="L1593" s="18" t="s">
        <v>2994</v>
      </c>
    </row>
    <row r="1594">
      <c r="A1594" s="18" t="s">
        <v>5900</v>
      </c>
      <c r="B1594" s="18" t="s">
        <v>791</v>
      </c>
      <c r="C1594" s="18" t="s">
        <v>5901</v>
      </c>
      <c r="D1594" s="18"/>
      <c r="E1594" s="24">
        <v>8.1266654876E10</v>
      </c>
      <c r="F1594" s="24">
        <v>1.0</v>
      </c>
      <c r="G1594" s="18" t="s">
        <v>5901</v>
      </c>
      <c r="H1594" s="18"/>
      <c r="I1594" s="24">
        <v>8.1266654876E10</v>
      </c>
      <c r="J1594" s="18" t="s">
        <v>5902</v>
      </c>
      <c r="K1594" s="18"/>
      <c r="L1594" s="18" t="s">
        <v>5903</v>
      </c>
    </row>
    <row r="1595">
      <c r="A1595" s="18" t="s">
        <v>5904</v>
      </c>
      <c r="B1595" s="18" t="s">
        <v>791</v>
      </c>
      <c r="C1595" s="18" t="s">
        <v>5905</v>
      </c>
      <c r="D1595" s="18"/>
      <c r="E1595" s="24">
        <v>8.5334913739E10</v>
      </c>
      <c r="F1595" s="24">
        <v>1.0</v>
      </c>
      <c r="G1595" s="18" t="s">
        <v>5905</v>
      </c>
      <c r="H1595" s="18"/>
      <c r="I1595" s="24">
        <v>8.5334913739E10</v>
      </c>
      <c r="J1595" s="18" t="s">
        <v>5906</v>
      </c>
      <c r="K1595" s="18"/>
      <c r="L1595" s="18" t="s">
        <v>1681</v>
      </c>
    </row>
    <row r="1596">
      <c r="A1596" s="18" t="s">
        <v>5907</v>
      </c>
      <c r="B1596" s="18" t="s">
        <v>791</v>
      </c>
      <c r="C1596" s="18" t="s">
        <v>5908</v>
      </c>
      <c r="D1596" s="18"/>
      <c r="E1596" s="24">
        <v>8.1311827844E10</v>
      </c>
      <c r="F1596" s="24">
        <v>1.0</v>
      </c>
      <c r="G1596" s="18" t="s">
        <v>5908</v>
      </c>
      <c r="H1596" s="18"/>
      <c r="I1596" s="24">
        <v>8.1311827844E10</v>
      </c>
      <c r="J1596" s="18" t="s">
        <v>5445</v>
      </c>
      <c r="K1596" s="18"/>
      <c r="L1596" s="18" t="s">
        <v>1681</v>
      </c>
    </row>
    <row r="1597">
      <c r="A1597" s="18" t="s">
        <v>5909</v>
      </c>
      <c r="B1597" s="18" t="s">
        <v>791</v>
      </c>
      <c r="C1597" s="18" t="s">
        <v>5910</v>
      </c>
      <c r="D1597" s="18"/>
      <c r="E1597" s="24">
        <v>8.1335596408E10</v>
      </c>
      <c r="F1597" s="24">
        <v>1.0</v>
      </c>
      <c r="G1597" s="18" t="s">
        <v>5910</v>
      </c>
      <c r="H1597" s="18"/>
      <c r="I1597" s="24">
        <v>8.1335596408E10</v>
      </c>
      <c r="J1597" s="18" t="s">
        <v>5911</v>
      </c>
      <c r="K1597" s="18"/>
      <c r="L1597" s="18" t="s">
        <v>1677</v>
      </c>
    </row>
    <row r="1598">
      <c r="A1598" s="18" t="s">
        <v>5912</v>
      </c>
      <c r="B1598" s="18" t="s">
        <v>791</v>
      </c>
      <c r="C1598" s="18" t="s">
        <v>5910</v>
      </c>
      <c r="D1598" s="18"/>
      <c r="E1598" s="24">
        <v>8.1335663129E10</v>
      </c>
      <c r="F1598" s="24">
        <v>1.0</v>
      </c>
      <c r="G1598" s="18" t="s">
        <v>5910</v>
      </c>
      <c r="H1598" s="18"/>
      <c r="I1598" s="24">
        <v>8.1335663129E10</v>
      </c>
      <c r="J1598" s="18" t="s">
        <v>5578</v>
      </c>
      <c r="K1598" s="18"/>
      <c r="L1598" s="18" t="s">
        <v>1549</v>
      </c>
    </row>
    <row r="1599">
      <c r="A1599" s="18" t="s">
        <v>5913</v>
      </c>
      <c r="B1599" s="18" t="s">
        <v>791</v>
      </c>
      <c r="C1599" s="18" t="s">
        <v>5910</v>
      </c>
      <c r="D1599" s="18"/>
      <c r="E1599" s="24">
        <v>8.2244825856E10</v>
      </c>
      <c r="F1599" s="24">
        <v>1.0</v>
      </c>
      <c r="G1599" s="18" t="s">
        <v>5910</v>
      </c>
      <c r="H1599" s="18"/>
      <c r="I1599" s="24">
        <v>8.2244825856E10</v>
      </c>
      <c r="J1599" s="18" t="s">
        <v>5914</v>
      </c>
      <c r="K1599" s="18"/>
      <c r="L1599" s="18" t="s">
        <v>1669</v>
      </c>
    </row>
    <row r="1600">
      <c r="A1600" s="18" t="s">
        <v>5915</v>
      </c>
      <c r="B1600" s="18" t="s">
        <v>791</v>
      </c>
      <c r="C1600" s="18" t="s">
        <v>5910</v>
      </c>
      <c r="D1600" s="18"/>
      <c r="E1600" s="24">
        <v>8.533508125E10</v>
      </c>
      <c r="F1600" s="24">
        <v>1.0</v>
      </c>
      <c r="G1600" s="18" t="s">
        <v>5910</v>
      </c>
      <c r="H1600" s="18"/>
      <c r="I1600" s="24">
        <v>8.533508125E10</v>
      </c>
      <c r="J1600" s="18" t="s">
        <v>5916</v>
      </c>
      <c r="K1600" s="18"/>
      <c r="L1600" s="18" t="s">
        <v>3068</v>
      </c>
    </row>
    <row r="1601">
      <c r="A1601" s="18" t="s">
        <v>5917</v>
      </c>
      <c r="B1601" s="18" t="s">
        <v>791</v>
      </c>
      <c r="C1601" s="18" t="s">
        <v>5910</v>
      </c>
      <c r="D1601" s="18"/>
      <c r="E1601" s="24">
        <v>8.57790604445E11</v>
      </c>
      <c r="F1601" s="24">
        <v>1.0</v>
      </c>
      <c r="G1601" s="18" t="s">
        <v>5910</v>
      </c>
      <c r="H1601" s="18"/>
      <c r="I1601" s="24">
        <v>8.57790604445E11</v>
      </c>
      <c r="J1601" s="18" t="s">
        <v>5918</v>
      </c>
      <c r="K1601" s="18"/>
      <c r="L1601" s="18" t="s">
        <v>5919</v>
      </c>
    </row>
    <row r="1602">
      <c r="A1602" s="18" t="s">
        <v>5920</v>
      </c>
      <c r="B1602" s="18" t="s">
        <v>791</v>
      </c>
      <c r="C1602" s="18" t="s">
        <v>5922</v>
      </c>
      <c r="D1602" s="18"/>
      <c r="E1602" s="24">
        <v>8.574901014E9</v>
      </c>
      <c r="F1602" s="24">
        <v>1.0</v>
      </c>
      <c r="G1602" s="18" t="s">
        <v>5922</v>
      </c>
      <c r="H1602" s="18"/>
      <c r="I1602" s="24">
        <v>8.574901014E9</v>
      </c>
      <c r="J1602" s="18" t="s">
        <v>5923</v>
      </c>
      <c r="K1602" s="18"/>
      <c r="L1602" s="18" t="s">
        <v>5332</v>
      </c>
    </row>
    <row r="1603">
      <c r="A1603" s="18" t="s">
        <v>5924</v>
      </c>
      <c r="B1603" s="18" t="s">
        <v>791</v>
      </c>
      <c r="C1603" s="18" t="s">
        <v>5925</v>
      </c>
      <c r="D1603" s="18"/>
      <c r="E1603" s="24">
        <v>8.15518147E9</v>
      </c>
      <c r="F1603" s="24">
        <v>1.0</v>
      </c>
      <c r="G1603" s="18" t="s">
        <v>5925</v>
      </c>
      <c r="H1603" s="18"/>
      <c r="I1603" s="24">
        <v>8.15518147E9</v>
      </c>
      <c r="J1603" s="18" t="s">
        <v>5926</v>
      </c>
      <c r="K1603" s="18"/>
      <c r="L1603" s="18" t="s">
        <v>5594</v>
      </c>
    </row>
    <row r="1604">
      <c r="A1604" s="18" t="s">
        <v>5927</v>
      </c>
      <c r="B1604" s="18" t="s">
        <v>791</v>
      </c>
      <c r="C1604" s="18" t="s">
        <v>5928</v>
      </c>
      <c r="D1604" s="18"/>
      <c r="E1604" s="24">
        <v>8.1335663129E10</v>
      </c>
      <c r="F1604" s="24">
        <v>1.0</v>
      </c>
      <c r="G1604" s="18" t="s">
        <v>5928</v>
      </c>
      <c r="H1604" s="18"/>
      <c r="I1604" s="24">
        <v>8.1335663129E10</v>
      </c>
      <c r="J1604" s="18" t="s">
        <v>5930</v>
      </c>
      <c r="K1604" s="18"/>
      <c r="L1604" s="18" t="s">
        <v>1549</v>
      </c>
    </row>
    <row r="1605">
      <c r="A1605" s="18" t="s">
        <v>5931</v>
      </c>
      <c r="B1605" s="18" t="s">
        <v>791</v>
      </c>
      <c r="C1605" s="18" t="s">
        <v>5932</v>
      </c>
      <c r="D1605" s="18"/>
      <c r="E1605" s="24">
        <v>8.5334726934E10</v>
      </c>
      <c r="F1605" s="24">
        <v>1.0</v>
      </c>
      <c r="G1605" s="18" t="s">
        <v>5932</v>
      </c>
      <c r="H1605" s="18"/>
      <c r="I1605" s="24">
        <v>8.5334726934E10</v>
      </c>
      <c r="J1605" s="18" t="s">
        <v>5933</v>
      </c>
      <c r="K1605" s="18"/>
      <c r="L1605" s="18" t="s">
        <v>5934</v>
      </c>
    </row>
    <row r="1606">
      <c r="A1606" s="18" t="s">
        <v>5935</v>
      </c>
      <c r="B1606" s="18" t="s">
        <v>791</v>
      </c>
      <c r="C1606" s="18" t="s">
        <v>5936</v>
      </c>
      <c r="D1606" s="18"/>
      <c r="E1606" s="24">
        <v>8.2335045393E10</v>
      </c>
      <c r="F1606" s="24">
        <v>1.0</v>
      </c>
      <c r="G1606" s="18" t="s">
        <v>5936</v>
      </c>
      <c r="H1606" s="18"/>
      <c r="I1606" s="24">
        <v>8.2335045393E10</v>
      </c>
      <c r="J1606" s="18" t="s">
        <v>5937</v>
      </c>
      <c r="K1606" s="18"/>
      <c r="L1606" s="18" t="s">
        <v>3552</v>
      </c>
    </row>
    <row r="1607">
      <c r="A1607" s="18" t="s">
        <v>5939</v>
      </c>
      <c r="B1607" s="18" t="s">
        <v>791</v>
      </c>
      <c r="C1607" s="18" t="s">
        <v>5940</v>
      </c>
      <c r="D1607" s="18"/>
      <c r="E1607" s="24">
        <v>8.2244825856E10</v>
      </c>
      <c r="F1607" s="24">
        <v>1.0</v>
      </c>
      <c r="G1607" s="18" t="s">
        <v>5940</v>
      </c>
      <c r="H1607" s="18"/>
      <c r="I1607" s="24">
        <v>8.2244825856E10</v>
      </c>
      <c r="J1607" s="18" t="s">
        <v>5941</v>
      </c>
      <c r="K1607" s="18"/>
      <c r="L1607" s="18" t="s">
        <v>1669</v>
      </c>
    </row>
    <row r="1608">
      <c r="A1608" s="18" t="s">
        <v>5942</v>
      </c>
      <c r="B1608" s="18" t="s">
        <v>791</v>
      </c>
      <c r="C1608" s="18" t="s">
        <v>5943</v>
      </c>
      <c r="D1608" s="18"/>
      <c r="E1608" s="24">
        <v>8.1335663128E10</v>
      </c>
      <c r="F1608" s="24">
        <v>1.0</v>
      </c>
      <c r="G1608" s="18" t="s">
        <v>5943</v>
      </c>
      <c r="H1608" s="18"/>
      <c r="I1608" s="24">
        <v>8.1335663128E10</v>
      </c>
      <c r="J1608" s="18" t="s">
        <v>5307</v>
      </c>
      <c r="K1608" s="18"/>
      <c r="L1608" s="18" t="s">
        <v>1549</v>
      </c>
    </row>
    <row r="1609">
      <c r="A1609" s="18" t="s">
        <v>5944</v>
      </c>
      <c r="B1609" s="18" t="s">
        <v>791</v>
      </c>
      <c r="C1609" s="18" t="s">
        <v>5945</v>
      </c>
      <c r="D1609" s="18"/>
      <c r="E1609" s="24">
        <v>8.1331198303E10</v>
      </c>
      <c r="F1609" s="24">
        <v>1.0</v>
      </c>
      <c r="G1609" s="18" t="s">
        <v>5945</v>
      </c>
      <c r="H1609" s="18"/>
      <c r="I1609" s="24">
        <v>8.1331198303E10</v>
      </c>
      <c r="J1609" s="18" t="s">
        <v>5946</v>
      </c>
      <c r="K1609" s="18"/>
      <c r="L1609" s="18" t="s">
        <v>2003</v>
      </c>
    </row>
    <row r="1610">
      <c r="A1610" s="18" t="s">
        <v>5947</v>
      </c>
      <c r="B1610" s="18" t="s">
        <v>791</v>
      </c>
      <c r="C1610" s="18" t="s">
        <v>5948</v>
      </c>
      <c r="D1610" s="18"/>
      <c r="E1610" s="24">
        <v>8.5856921039E10</v>
      </c>
      <c r="F1610" s="24">
        <v>1.0</v>
      </c>
      <c r="G1610" s="18" t="s">
        <v>5948</v>
      </c>
      <c r="H1610" s="18"/>
      <c r="I1610" s="24">
        <v>8.5856921039E10</v>
      </c>
      <c r="J1610" s="18" t="s">
        <v>5949</v>
      </c>
      <c r="K1610" s="18"/>
      <c r="L1610" s="18" t="s">
        <v>2385</v>
      </c>
    </row>
    <row r="1611">
      <c r="A1611" s="18" t="s">
        <v>5950</v>
      </c>
      <c r="B1611" s="18" t="s">
        <v>791</v>
      </c>
      <c r="C1611" s="18" t="s">
        <v>5951</v>
      </c>
      <c r="D1611" s="18"/>
      <c r="E1611" s="24">
        <v>8.5335960089E10</v>
      </c>
      <c r="F1611" s="24">
        <v>1.0</v>
      </c>
      <c r="G1611" s="18" t="s">
        <v>5951</v>
      </c>
      <c r="H1611" s="18"/>
      <c r="I1611" s="24">
        <v>8.5335960089E10</v>
      </c>
      <c r="J1611" s="18" t="s">
        <v>5952</v>
      </c>
      <c r="K1611" s="18"/>
      <c r="L1611" s="18" t="s">
        <v>2110</v>
      </c>
    </row>
    <row r="1612">
      <c r="A1612" s="18" t="s">
        <v>5953</v>
      </c>
      <c r="B1612" s="18" t="s">
        <v>791</v>
      </c>
      <c r="C1612" s="18" t="s">
        <v>5954</v>
      </c>
      <c r="D1612" s="18"/>
      <c r="E1612" s="24">
        <v>8.133525487E10</v>
      </c>
      <c r="F1612" s="24">
        <v>1.0</v>
      </c>
      <c r="G1612" s="18" t="s">
        <v>5954</v>
      </c>
      <c r="H1612" s="18"/>
      <c r="I1612" s="24">
        <v>8.133525487E10</v>
      </c>
      <c r="J1612" s="18" t="s">
        <v>5955</v>
      </c>
      <c r="K1612" s="18"/>
      <c r="L1612" s="18" t="s">
        <v>1546</v>
      </c>
    </row>
    <row r="1613">
      <c r="A1613" s="18" t="s">
        <v>5956</v>
      </c>
      <c r="B1613" s="18" t="s">
        <v>791</v>
      </c>
      <c r="C1613" s="18" t="s">
        <v>5957</v>
      </c>
      <c r="D1613" s="18"/>
      <c r="E1613" s="24">
        <v>8.5103373232E10</v>
      </c>
      <c r="F1613" s="24">
        <v>1.0</v>
      </c>
      <c r="G1613" s="18" t="s">
        <v>5957</v>
      </c>
      <c r="H1613" s="18"/>
      <c r="I1613" s="24">
        <v>8.5103373232E10</v>
      </c>
      <c r="J1613" s="18" t="s">
        <v>5958</v>
      </c>
      <c r="K1613" s="18"/>
      <c r="L1613" s="18" t="s">
        <v>1519</v>
      </c>
    </row>
    <row r="1614">
      <c r="A1614" s="18" t="s">
        <v>5959</v>
      </c>
      <c r="B1614" s="18" t="s">
        <v>791</v>
      </c>
      <c r="C1614" s="18" t="s">
        <v>5960</v>
      </c>
      <c r="D1614" s="18"/>
      <c r="E1614" s="24">
        <v>8.5326054628E10</v>
      </c>
      <c r="F1614" s="24">
        <v>1.0</v>
      </c>
      <c r="G1614" s="18" t="s">
        <v>5960</v>
      </c>
      <c r="H1614" s="18"/>
      <c r="I1614" s="24">
        <v>8.5326054628E10</v>
      </c>
      <c r="J1614" s="18" t="s">
        <v>5961</v>
      </c>
      <c r="K1614" s="18"/>
      <c r="L1614" s="18" t="s">
        <v>1242</v>
      </c>
    </row>
    <row r="1615">
      <c r="A1615" s="18" t="s">
        <v>5963</v>
      </c>
      <c r="B1615" s="18" t="s">
        <v>791</v>
      </c>
      <c r="C1615" s="18" t="s">
        <v>5964</v>
      </c>
      <c r="D1615" s="18"/>
      <c r="E1615" s="24">
        <v>8.5334820396E10</v>
      </c>
      <c r="F1615" s="24">
        <v>1.0</v>
      </c>
      <c r="G1615" s="18" t="s">
        <v>5964</v>
      </c>
      <c r="H1615" s="18"/>
      <c r="I1615" s="24">
        <v>8.5334820396E10</v>
      </c>
      <c r="J1615" s="18" t="s">
        <v>5965</v>
      </c>
      <c r="K1615" s="18"/>
      <c r="L1615" s="18" t="s">
        <v>129</v>
      </c>
    </row>
    <row r="1616">
      <c r="A1616" s="18" t="s">
        <v>5966</v>
      </c>
      <c r="B1616" s="18" t="s">
        <v>791</v>
      </c>
      <c r="C1616" s="18" t="s">
        <v>5967</v>
      </c>
      <c r="D1616" s="18"/>
      <c r="E1616" s="24">
        <v>8.523393859E10</v>
      </c>
      <c r="F1616" s="24">
        <v>1.0</v>
      </c>
      <c r="G1616" s="18" t="s">
        <v>5967</v>
      </c>
      <c r="H1616" s="18"/>
      <c r="I1616" s="24">
        <v>8.523393859E10</v>
      </c>
      <c r="J1616" s="18" t="s">
        <v>5968</v>
      </c>
      <c r="K1616" s="18"/>
      <c r="L1616" s="18" t="s">
        <v>2312</v>
      </c>
    </row>
    <row r="1617">
      <c r="A1617" s="18" t="s">
        <v>1212</v>
      </c>
      <c r="B1617" s="18" t="s">
        <v>791</v>
      </c>
      <c r="C1617" s="18" t="s">
        <v>1214</v>
      </c>
      <c r="D1617" s="18"/>
      <c r="E1617" s="24">
        <v>8.563622003E9</v>
      </c>
      <c r="F1617" s="24">
        <v>1.0</v>
      </c>
      <c r="G1617" s="18" t="s">
        <v>1214</v>
      </c>
      <c r="H1617" s="18"/>
      <c r="I1617" s="24">
        <v>8.563622003E9</v>
      </c>
      <c r="J1617" s="18" t="s">
        <v>1213</v>
      </c>
      <c r="K1617" s="18"/>
      <c r="L1617" s="18" t="s">
        <v>1215</v>
      </c>
    </row>
    <row r="1618">
      <c r="A1618" s="18" t="s">
        <v>5969</v>
      </c>
      <c r="B1618" s="18" t="s">
        <v>791</v>
      </c>
      <c r="C1618" s="18" t="s">
        <v>5970</v>
      </c>
      <c r="D1618" s="18"/>
      <c r="E1618" s="24">
        <v>8.1333906122E10</v>
      </c>
      <c r="F1618" s="24">
        <v>1.0</v>
      </c>
      <c r="G1618" s="18" t="s">
        <v>5970</v>
      </c>
      <c r="H1618" s="18"/>
      <c r="I1618" s="24">
        <v>8.1333906122E10</v>
      </c>
      <c r="J1618" s="18" t="s">
        <v>5971</v>
      </c>
      <c r="K1618" s="18"/>
      <c r="L1618" s="18" t="s">
        <v>1633</v>
      </c>
    </row>
    <row r="1619">
      <c r="A1619" s="18" t="s">
        <v>5972</v>
      </c>
      <c r="B1619" s="18" t="s">
        <v>791</v>
      </c>
      <c r="C1619" s="18" t="s">
        <v>5973</v>
      </c>
      <c r="D1619" s="18"/>
      <c r="E1619" s="24">
        <v>8.2142818441E10</v>
      </c>
      <c r="F1619" s="24">
        <v>1.0</v>
      </c>
      <c r="G1619" s="18" t="s">
        <v>5973</v>
      </c>
      <c r="H1619" s="18"/>
      <c r="I1619" s="24">
        <v>8.2142818441E10</v>
      </c>
      <c r="J1619" s="18" t="s">
        <v>5974</v>
      </c>
      <c r="K1619" s="18"/>
      <c r="L1619" s="18" t="s">
        <v>1052</v>
      </c>
    </row>
    <row r="1620">
      <c r="A1620" s="18" t="s">
        <v>5975</v>
      </c>
      <c r="B1620" s="18" t="s">
        <v>791</v>
      </c>
      <c r="C1620" s="18" t="s">
        <v>5976</v>
      </c>
      <c r="D1620" s="18"/>
      <c r="E1620" s="24">
        <v>8.1249465798E10</v>
      </c>
      <c r="F1620" s="24">
        <v>1.0</v>
      </c>
      <c r="G1620" s="18" t="s">
        <v>5976</v>
      </c>
      <c r="H1620" s="18"/>
      <c r="I1620" s="24">
        <v>8.1249465798E10</v>
      </c>
      <c r="J1620" s="18" t="s">
        <v>5977</v>
      </c>
      <c r="K1620" s="18"/>
      <c r="L1620" s="18" t="s">
        <v>3889</v>
      </c>
    </row>
    <row r="1621">
      <c r="A1621" s="18" t="s">
        <v>5978</v>
      </c>
      <c r="B1621" s="18" t="s">
        <v>791</v>
      </c>
      <c r="C1621" s="18" t="s">
        <v>5979</v>
      </c>
      <c r="D1621" s="18"/>
      <c r="E1621" s="24">
        <v>8.1357319689E10</v>
      </c>
      <c r="F1621" s="24">
        <v>1.0</v>
      </c>
      <c r="G1621" s="18" t="s">
        <v>5979</v>
      </c>
      <c r="H1621" s="18"/>
      <c r="I1621" s="24">
        <v>8.1357319689E10</v>
      </c>
      <c r="J1621" s="18" t="s">
        <v>5980</v>
      </c>
      <c r="K1621" s="18"/>
      <c r="L1621" s="18" t="s">
        <v>4811</v>
      </c>
    </row>
    <row r="1622">
      <c r="A1622" s="18" t="s">
        <v>5981</v>
      </c>
      <c r="B1622" s="18" t="s">
        <v>791</v>
      </c>
      <c r="C1622" s="18" t="s">
        <v>5982</v>
      </c>
      <c r="D1622" s="18"/>
      <c r="E1622" s="24">
        <v>8.1232531254E10</v>
      </c>
      <c r="F1622" s="24">
        <v>1.0</v>
      </c>
      <c r="G1622" s="18" t="s">
        <v>5982</v>
      </c>
      <c r="H1622" s="18"/>
      <c r="I1622" s="24">
        <v>8.1232531254E10</v>
      </c>
      <c r="J1622" s="18" t="s">
        <v>5983</v>
      </c>
      <c r="K1622" s="18"/>
      <c r="L1622" s="18" t="s">
        <v>5984</v>
      </c>
    </row>
    <row r="1623">
      <c r="A1623" s="18" t="s">
        <v>5985</v>
      </c>
      <c r="B1623" s="18" t="s">
        <v>791</v>
      </c>
      <c r="C1623" s="18" t="s">
        <v>5986</v>
      </c>
      <c r="D1623" s="18"/>
      <c r="E1623" s="18"/>
      <c r="F1623" s="24">
        <v>1.0</v>
      </c>
      <c r="G1623" s="18" t="s">
        <v>5986</v>
      </c>
      <c r="H1623" s="18"/>
      <c r="I1623" s="18"/>
      <c r="J1623" s="18" t="s">
        <v>5987</v>
      </c>
      <c r="K1623" s="18"/>
      <c r="L1623" s="18"/>
    </row>
    <row r="1624">
      <c r="A1624" s="18" t="s">
        <v>5988</v>
      </c>
      <c r="B1624" s="18" t="s">
        <v>791</v>
      </c>
      <c r="C1624" s="18" t="s">
        <v>5989</v>
      </c>
      <c r="D1624" s="18"/>
      <c r="E1624" s="24">
        <v>8.5259908247E10</v>
      </c>
      <c r="F1624" s="24">
        <v>1.0</v>
      </c>
      <c r="G1624" s="18" t="s">
        <v>5989</v>
      </c>
      <c r="H1624" s="18"/>
      <c r="I1624" s="24">
        <v>8.5259908247E10</v>
      </c>
      <c r="J1624" s="18" t="s">
        <v>5990</v>
      </c>
      <c r="K1624" s="18"/>
      <c r="L1624" s="18" t="s">
        <v>3068</v>
      </c>
    </row>
    <row r="1625">
      <c r="A1625" s="18" t="s">
        <v>5991</v>
      </c>
      <c r="B1625" s="18" t="s">
        <v>791</v>
      </c>
      <c r="C1625" s="18" t="s">
        <v>5989</v>
      </c>
      <c r="D1625" s="18"/>
      <c r="E1625" s="24">
        <v>8.125904136E9</v>
      </c>
      <c r="F1625" s="24">
        <v>1.0</v>
      </c>
      <c r="G1625" s="18" t="s">
        <v>5989</v>
      </c>
      <c r="H1625" s="18"/>
      <c r="I1625" s="24">
        <v>8.125904136E9</v>
      </c>
      <c r="J1625" s="18" t="s">
        <v>5993</v>
      </c>
      <c r="K1625" s="18"/>
      <c r="L1625" s="18" t="s">
        <v>2125</v>
      </c>
    </row>
    <row r="1626">
      <c r="A1626" s="18" t="s">
        <v>5994</v>
      </c>
      <c r="B1626" s="18" t="s">
        <v>791</v>
      </c>
      <c r="C1626" s="18" t="s">
        <v>5995</v>
      </c>
      <c r="D1626" s="18"/>
      <c r="E1626" s="24">
        <v>8.5645477374E10</v>
      </c>
      <c r="F1626" s="24">
        <v>1.0</v>
      </c>
      <c r="G1626" s="18" t="s">
        <v>5995</v>
      </c>
      <c r="H1626" s="18"/>
      <c r="I1626" s="24">
        <v>8.5645477374E10</v>
      </c>
      <c r="J1626" s="18" t="s">
        <v>5996</v>
      </c>
      <c r="K1626" s="18"/>
      <c r="L1626" s="18" t="s">
        <v>1830</v>
      </c>
    </row>
    <row r="1627">
      <c r="A1627" s="18" t="s">
        <v>5997</v>
      </c>
      <c r="B1627" s="18" t="s">
        <v>791</v>
      </c>
      <c r="C1627" s="18" t="s">
        <v>5998</v>
      </c>
      <c r="D1627" s="18"/>
      <c r="E1627" s="24">
        <v>8.1234131031E10</v>
      </c>
      <c r="F1627" s="24">
        <v>1.0</v>
      </c>
      <c r="G1627" s="18" t="s">
        <v>5998</v>
      </c>
      <c r="H1627" s="18"/>
      <c r="I1627" s="24">
        <v>8.1234131031E10</v>
      </c>
      <c r="J1627" s="18" t="s">
        <v>5999</v>
      </c>
      <c r="K1627" s="18"/>
      <c r="L1627" s="18" t="s">
        <v>2189</v>
      </c>
    </row>
    <row r="1628">
      <c r="A1628" s="18" t="s">
        <v>6000</v>
      </c>
      <c r="B1628" s="18" t="s">
        <v>791</v>
      </c>
      <c r="C1628" s="18" t="s">
        <v>6001</v>
      </c>
      <c r="D1628" s="18"/>
      <c r="E1628" s="18"/>
      <c r="F1628" s="24">
        <v>1.0</v>
      </c>
      <c r="G1628" s="18" t="s">
        <v>6001</v>
      </c>
      <c r="H1628" s="18"/>
      <c r="I1628" s="18"/>
      <c r="J1628" s="18" t="s">
        <v>6002</v>
      </c>
      <c r="K1628" s="18"/>
      <c r="L1628" s="18"/>
    </row>
    <row r="1629">
      <c r="A1629" s="18" t="s">
        <v>6003</v>
      </c>
      <c r="B1629" s="18" t="s">
        <v>791</v>
      </c>
      <c r="C1629" s="18" t="s">
        <v>6004</v>
      </c>
      <c r="D1629" s="18"/>
      <c r="E1629" s="24">
        <v>8.5257708516E10</v>
      </c>
      <c r="F1629" s="24">
        <v>1.0</v>
      </c>
      <c r="G1629" s="18" t="s">
        <v>6004</v>
      </c>
      <c r="H1629" s="18"/>
      <c r="I1629" s="24">
        <v>8.5257708516E10</v>
      </c>
      <c r="J1629" s="18" t="s">
        <v>6005</v>
      </c>
      <c r="K1629" s="18"/>
      <c r="L1629" s="18" t="s">
        <v>6006</v>
      </c>
    </row>
    <row r="1630">
      <c r="A1630" s="18" t="s">
        <v>6007</v>
      </c>
      <c r="B1630" s="18" t="s">
        <v>791</v>
      </c>
      <c r="C1630" s="18" t="s">
        <v>6008</v>
      </c>
      <c r="D1630" s="18"/>
      <c r="E1630" s="24">
        <v>8.5736866727E10</v>
      </c>
      <c r="F1630" s="24">
        <v>1.0</v>
      </c>
      <c r="G1630" s="18" t="s">
        <v>6008</v>
      </c>
      <c r="H1630" s="18"/>
      <c r="I1630" s="24">
        <v>8.5736866727E10</v>
      </c>
      <c r="J1630" s="18" t="s">
        <v>6009</v>
      </c>
      <c r="K1630" s="18"/>
      <c r="L1630" s="18" t="s">
        <v>1971</v>
      </c>
    </row>
    <row r="1631">
      <c r="A1631" s="18" t="s">
        <v>6010</v>
      </c>
      <c r="B1631" s="18" t="s">
        <v>791</v>
      </c>
      <c r="C1631" s="18" t="s">
        <v>6011</v>
      </c>
      <c r="D1631" s="18"/>
      <c r="E1631" s="24">
        <v>8.2141533393E10</v>
      </c>
      <c r="F1631" s="24">
        <v>1.0</v>
      </c>
      <c r="G1631" s="18" t="s">
        <v>6011</v>
      </c>
      <c r="H1631" s="18"/>
      <c r="I1631" s="24">
        <v>8.2141533393E10</v>
      </c>
      <c r="J1631" s="18" t="s">
        <v>5484</v>
      </c>
      <c r="K1631" s="18"/>
      <c r="L1631" s="18" t="s">
        <v>2876</v>
      </c>
    </row>
    <row r="1632">
      <c r="A1632" s="18" t="s">
        <v>6012</v>
      </c>
      <c r="B1632" s="18" t="s">
        <v>791</v>
      </c>
      <c r="C1632" s="18" t="s">
        <v>6013</v>
      </c>
      <c r="D1632" s="18"/>
      <c r="E1632" s="24">
        <v>8.1335276873E10</v>
      </c>
      <c r="F1632" s="24">
        <v>1.0</v>
      </c>
      <c r="G1632" s="18" t="s">
        <v>6013</v>
      </c>
      <c r="H1632" s="18"/>
      <c r="I1632" s="24">
        <v>8.1335276873E10</v>
      </c>
      <c r="J1632" s="18" t="s">
        <v>6014</v>
      </c>
      <c r="K1632" s="18"/>
      <c r="L1632" s="18" t="s">
        <v>6015</v>
      </c>
    </row>
    <row r="1633">
      <c r="A1633" s="18" t="s">
        <v>6016</v>
      </c>
      <c r="B1633" s="18" t="s">
        <v>791</v>
      </c>
      <c r="C1633" s="18" t="s">
        <v>6017</v>
      </c>
      <c r="D1633" s="18"/>
      <c r="E1633" s="24">
        <v>8.1293009692E10</v>
      </c>
      <c r="F1633" s="24">
        <v>1.0</v>
      </c>
      <c r="G1633" s="18" t="s">
        <v>6017</v>
      </c>
      <c r="H1633" s="18"/>
      <c r="I1633" s="24">
        <v>8.1293009692E10</v>
      </c>
      <c r="J1633" s="18" t="s">
        <v>6018</v>
      </c>
      <c r="K1633" s="18"/>
      <c r="L1633" s="18" t="s">
        <v>2098</v>
      </c>
    </row>
    <row r="1634">
      <c r="A1634" s="18" t="s">
        <v>6019</v>
      </c>
      <c r="B1634" s="18" t="s">
        <v>791</v>
      </c>
      <c r="C1634" s="18" t="s">
        <v>6020</v>
      </c>
      <c r="D1634" s="18"/>
      <c r="E1634" s="24">
        <v>8.5233742066E10</v>
      </c>
      <c r="F1634" s="24">
        <v>1.0</v>
      </c>
      <c r="G1634" s="18" t="s">
        <v>6020</v>
      </c>
      <c r="H1634" s="18"/>
      <c r="I1634" s="24">
        <v>8.5233742066E10</v>
      </c>
      <c r="J1634" s="18" t="s">
        <v>6021</v>
      </c>
      <c r="K1634" s="18"/>
      <c r="L1634" s="18" t="s">
        <v>1794</v>
      </c>
    </row>
    <row r="1635">
      <c r="A1635" s="18" t="s">
        <v>6022</v>
      </c>
      <c r="B1635" s="18" t="s">
        <v>791</v>
      </c>
      <c r="C1635" s="18" t="s">
        <v>6023</v>
      </c>
      <c r="D1635" s="18"/>
      <c r="E1635" s="24">
        <v>8.15565894E10</v>
      </c>
      <c r="F1635" s="24">
        <v>1.0</v>
      </c>
      <c r="G1635" s="18" t="s">
        <v>6023</v>
      </c>
      <c r="H1635" s="18"/>
      <c r="I1635" s="24">
        <v>8.15565894E10</v>
      </c>
      <c r="J1635" s="18" t="s">
        <v>6024</v>
      </c>
      <c r="K1635" s="18"/>
      <c r="L1635" s="18" t="s">
        <v>5027</v>
      </c>
    </row>
    <row r="1636">
      <c r="A1636" s="18" t="s">
        <v>6025</v>
      </c>
      <c r="B1636" s="18" t="s">
        <v>791</v>
      </c>
      <c r="C1636" s="18" t="s">
        <v>6026</v>
      </c>
      <c r="D1636" s="18" t="s">
        <v>2015</v>
      </c>
      <c r="E1636" s="24">
        <v>8.312954862E9</v>
      </c>
      <c r="F1636" s="24">
        <v>1.0</v>
      </c>
      <c r="G1636" s="18" t="s">
        <v>6026</v>
      </c>
      <c r="H1636" s="18" t="s">
        <v>2015</v>
      </c>
      <c r="I1636" s="24">
        <v>8.312954862E9</v>
      </c>
      <c r="J1636" s="18" t="s">
        <v>4154</v>
      </c>
      <c r="K1636" s="18" t="s">
        <v>6027</v>
      </c>
      <c r="L1636" s="18" t="s">
        <v>139</v>
      </c>
    </row>
    <row r="1637">
      <c r="A1637" s="18" t="s">
        <v>6028</v>
      </c>
      <c r="B1637" s="18" t="s">
        <v>791</v>
      </c>
      <c r="C1637" s="18" t="s">
        <v>6029</v>
      </c>
      <c r="D1637" s="18"/>
      <c r="E1637" s="24">
        <v>8.5602321325E10</v>
      </c>
      <c r="F1637" s="24">
        <v>1.0</v>
      </c>
      <c r="G1637" s="18" t="s">
        <v>6029</v>
      </c>
      <c r="H1637" s="18"/>
      <c r="I1637" s="24">
        <v>8.5602321325E10</v>
      </c>
      <c r="J1637" s="18" t="s">
        <v>6030</v>
      </c>
      <c r="K1637" s="18"/>
      <c r="L1637" s="18" t="s">
        <v>6031</v>
      </c>
    </row>
    <row r="1638">
      <c r="A1638" s="18" t="s">
        <v>6032</v>
      </c>
      <c r="B1638" s="18" t="s">
        <v>791</v>
      </c>
      <c r="C1638" s="18" t="s">
        <v>6033</v>
      </c>
      <c r="D1638" s="18"/>
      <c r="E1638" s="24">
        <v>8.7880138031E10</v>
      </c>
      <c r="F1638" s="24">
        <v>1.0</v>
      </c>
      <c r="G1638" s="18" t="s">
        <v>6033</v>
      </c>
      <c r="H1638" s="18"/>
      <c r="I1638" s="24">
        <v>8.7880138031E10</v>
      </c>
      <c r="J1638" s="18" t="s">
        <v>4328</v>
      </c>
      <c r="K1638" s="18"/>
      <c r="L1638" s="18" t="s">
        <v>6034</v>
      </c>
    </row>
    <row r="1639">
      <c r="A1639" s="18" t="s">
        <v>6035</v>
      </c>
      <c r="B1639" s="18" t="s">
        <v>791</v>
      </c>
      <c r="C1639" s="18" t="s">
        <v>6036</v>
      </c>
      <c r="D1639" s="18"/>
      <c r="E1639" s="24">
        <v>8.2244825856E10</v>
      </c>
      <c r="F1639" s="24">
        <v>1.0</v>
      </c>
      <c r="G1639" s="18" t="s">
        <v>6036</v>
      </c>
      <c r="H1639" s="18"/>
      <c r="I1639" s="24">
        <v>8.2244825856E10</v>
      </c>
      <c r="J1639" s="18" t="s">
        <v>6037</v>
      </c>
      <c r="K1639" s="18"/>
      <c r="L1639" s="18" t="s">
        <v>1669</v>
      </c>
    </row>
    <row r="1640">
      <c r="A1640" s="18" t="s">
        <v>6038</v>
      </c>
      <c r="B1640" s="18" t="s">
        <v>791</v>
      </c>
      <c r="C1640" s="18" t="s">
        <v>6039</v>
      </c>
      <c r="D1640" s="18"/>
      <c r="E1640" s="24">
        <v>8.5235617345E10</v>
      </c>
      <c r="F1640" s="24">
        <v>1.0</v>
      </c>
      <c r="G1640" s="18" t="s">
        <v>6039</v>
      </c>
      <c r="H1640" s="18"/>
      <c r="I1640" s="24">
        <v>8.5235617345E10</v>
      </c>
      <c r="J1640" s="18" t="s">
        <v>6040</v>
      </c>
      <c r="K1640" s="18"/>
      <c r="L1640" s="18" t="s">
        <v>5733</v>
      </c>
    </row>
    <row r="1641">
      <c r="A1641" s="18" t="s">
        <v>6041</v>
      </c>
      <c r="B1641" s="18" t="s">
        <v>791</v>
      </c>
      <c r="C1641" s="18" t="s">
        <v>6042</v>
      </c>
      <c r="D1641" s="18"/>
      <c r="E1641" s="24">
        <v>8.5259755878E10</v>
      </c>
      <c r="F1641" s="24">
        <v>1.0</v>
      </c>
      <c r="G1641" s="18" t="s">
        <v>6042</v>
      </c>
      <c r="H1641" s="18"/>
      <c r="I1641" s="24">
        <v>8.5259755878E10</v>
      </c>
      <c r="J1641" s="18" t="s">
        <v>6044</v>
      </c>
      <c r="K1641" s="18"/>
      <c r="L1641" s="18" t="s">
        <v>3154</v>
      </c>
    </row>
    <row r="1642">
      <c r="A1642" s="18" t="s">
        <v>6045</v>
      </c>
      <c r="B1642" s="18" t="s">
        <v>791</v>
      </c>
      <c r="C1642" s="18" t="s">
        <v>6046</v>
      </c>
      <c r="D1642" s="18"/>
      <c r="E1642" s="24">
        <v>8.1359240487E10</v>
      </c>
      <c r="F1642" s="24">
        <v>1.0</v>
      </c>
      <c r="G1642" s="18" t="s">
        <v>6046</v>
      </c>
      <c r="H1642" s="18"/>
      <c r="I1642" s="24">
        <v>8.1359240487E10</v>
      </c>
      <c r="J1642" s="18" t="s">
        <v>6047</v>
      </c>
      <c r="K1642" s="18"/>
      <c r="L1642" s="18" t="s">
        <v>3060</v>
      </c>
    </row>
    <row r="1643">
      <c r="A1643" s="18" t="s">
        <v>6048</v>
      </c>
      <c r="B1643" s="18" t="s">
        <v>791</v>
      </c>
      <c r="C1643" s="18" t="s">
        <v>6049</v>
      </c>
      <c r="D1643" s="18"/>
      <c r="E1643" s="24">
        <v>8.58356678E10</v>
      </c>
      <c r="F1643" s="24">
        <v>1.0</v>
      </c>
      <c r="G1643" s="18" t="s">
        <v>6049</v>
      </c>
      <c r="H1643" s="18"/>
      <c r="I1643" s="24">
        <v>8.58356678E10</v>
      </c>
      <c r="J1643" s="18" t="s">
        <v>6050</v>
      </c>
      <c r="K1643" s="18"/>
      <c r="L1643" s="18" t="s">
        <v>6051</v>
      </c>
    </row>
    <row r="1644">
      <c r="A1644" s="18" t="s">
        <v>6052</v>
      </c>
      <c r="B1644" s="18" t="s">
        <v>791</v>
      </c>
      <c r="C1644" s="18" t="s">
        <v>6053</v>
      </c>
      <c r="D1644" s="18"/>
      <c r="E1644" s="24">
        <v>8.5103373232E10</v>
      </c>
      <c r="F1644" s="24">
        <v>1.0</v>
      </c>
      <c r="G1644" s="18" t="s">
        <v>6053</v>
      </c>
      <c r="H1644" s="18"/>
      <c r="I1644" s="24">
        <v>8.5103373232E10</v>
      </c>
      <c r="J1644" s="18" t="s">
        <v>6054</v>
      </c>
      <c r="K1644" s="18"/>
      <c r="L1644" s="18" t="s">
        <v>1519</v>
      </c>
    </row>
    <row r="1645">
      <c r="A1645" s="18" t="s">
        <v>6055</v>
      </c>
      <c r="B1645" s="18" t="s">
        <v>791</v>
      </c>
      <c r="C1645" s="18" t="s">
        <v>6056</v>
      </c>
      <c r="D1645" s="18"/>
      <c r="E1645" s="18"/>
      <c r="F1645" s="24">
        <v>1.0</v>
      </c>
      <c r="G1645" s="18" t="s">
        <v>6056</v>
      </c>
      <c r="H1645" s="18"/>
      <c r="I1645" s="18"/>
      <c r="J1645" s="18" t="s">
        <v>6057</v>
      </c>
      <c r="K1645" s="18"/>
      <c r="L1645" s="18"/>
    </row>
    <row r="1646">
      <c r="A1646" s="18" t="s">
        <v>6058</v>
      </c>
      <c r="B1646" s="18" t="s">
        <v>791</v>
      </c>
      <c r="C1646" s="18" t="s">
        <v>6059</v>
      </c>
      <c r="D1646" s="18"/>
      <c r="E1646" s="24">
        <v>8.5233742066E10</v>
      </c>
      <c r="F1646" s="24">
        <v>1.0</v>
      </c>
      <c r="G1646" s="18" t="s">
        <v>6059</v>
      </c>
      <c r="H1646" s="18"/>
      <c r="I1646" s="24">
        <v>8.5233742066E10</v>
      </c>
      <c r="J1646" s="18" t="s">
        <v>6060</v>
      </c>
      <c r="K1646" s="18"/>
      <c r="L1646" s="18" t="s">
        <v>1794</v>
      </c>
    </row>
    <row r="1647">
      <c r="A1647" s="18" t="s">
        <v>6061</v>
      </c>
      <c r="B1647" s="18" t="s">
        <v>791</v>
      </c>
      <c r="C1647" s="18" t="s">
        <v>6062</v>
      </c>
      <c r="D1647" s="18"/>
      <c r="E1647" s="24">
        <v>8.2336770777E10</v>
      </c>
      <c r="F1647" s="24">
        <v>1.0</v>
      </c>
      <c r="G1647" s="18" t="s">
        <v>6062</v>
      </c>
      <c r="H1647" s="18"/>
      <c r="I1647" s="24">
        <v>8.2336770777E10</v>
      </c>
      <c r="J1647" s="18" t="s">
        <v>5049</v>
      </c>
      <c r="K1647" s="18"/>
      <c r="L1647" s="18" t="s">
        <v>1850</v>
      </c>
    </row>
    <row r="1648">
      <c r="A1648" s="18" t="s">
        <v>6064</v>
      </c>
      <c r="B1648" s="18" t="s">
        <v>791</v>
      </c>
      <c r="C1648" s="18" t="s">
        <v>6062</v>
      </c>
      <c r="D1648" s="18"/>
      <c r="E1648" s="24">
        <v>8.5784210898E10</v>
      </c>
      <c r="F1648" s="24">
        <v>1.0</v>
      </c>
      <c r="G1648" s="18" t="s">
        <v>6062</v>
      </c>
      <c r="H1648" s="18"/>
      <c r="I1648" s="24">
        <v>8.5784210898E10</v>
      </c>
      <c r="J1648" s="18" t="s">
        <v>6065</v>
      </c>
      <c r="K1648" s="18"/>
      <c r="L1648" s="18" t="s">
        <v>1482</v>
      </c>
    </row>
    <row r="1649">
      <c r="A1649" s="18" t="s">
        <v>6066</v>
      </c>
      <c r="B1649" s="18" t="s">
        <v>791</v>
      </c>
      <c r="C1649" s="18" t="s">
        <v>6062</v>
      </c>
      <c r="D1649" s="18"/>
      <c r="E1649" s="24">
        <v>8.1359012432E10</v>
      </c>
      <c r="F1649" s="24">
        <v>1.0</v>
      </c>
      <c r="G1649" s="18" t="s">
        <v>6062</v>
      </c>
      <c r="H1649" s="18"/>
      <c r="I1649" s="24">
        <v>8.1359012432E10</v>
      </c>
      <c r="J1649" s="18" t="s">
        <v>6067</v>
      </c>
      <c r="K1649" s="18"/>
      <c r="L1649" s="18" t="s">
        <v>2652</v>
      </c>
    </row>
    <row r="1650">
      <c r="A1650" s="18" t="s">
        <v>6068</v>
      </c>
      <c r="B1650" s="18" t="s">
        <v>791</v>
      </c>
      <c r="C1650" s="18" t="s">
        <v>6069</v>
      </c>
      <c r="D1650" s="18"/>
      <c r="E1650" s="18"/>
      <c r="F1650" s="24">
        <v>1.0</v>
      </c>
      <c r="G1650" s="18" t="s">
        <v>6069</v>
      </c>
      <c r="H1650" s="18"/>
      <c r="I1650" s="18"/>
      <c r="J1650" s="18" t="s">
        <v>4197</v>
      </c>
      <c r="K1650" s="18"/>
      <c r="L1650" s="18"/>
    </row>
    <row r="1651">
      <c r="A1651" s="18" t="s">
        <v>6070</v>
      </c>
      <c r="B1651" s="18" t="s">
        <v>791</v>
      </c>
      <c r="C1651" s="18" t="s">
        <v>6071</v>
      </c>
      <c r="D1651" s="18"/>
      <c r="E1651" s="24">
        <v>8.1393120813E10</v>
      </c>
      <c r="F1651" s="24">
        <v>1.0</v>
      </c>
      <c r="G1651" s="18" t="s">
        <v>6071</v>
      </c>
      <c r="H1651" s="18"/>
      <c r="I1651" s="24">
        <v>8.1393120813E10</v>
      </c>
      <c r="J1651" s="18" t="s">
        <v>6072</v>
      </c>
      <c r="K1651" s="18"/>
      <c r="L1651" s="18" t="s">
        <v>2110</v>
      </c>
    </row>
    <row r="1652">
      <c r="A1652" s="18" t="s">
        <v>6073</v>
      </c>
      <c r="B1652" s="18" t="s">
        <v>791</v>
      </c>
      <c r="C1652" s="18" t="s">
        <v>6071</v>
      </c>
      <c r="D1652" s="18"/>
      <c r="E1652" s="24">
        <v>8.5233742065E10</v>
      </c>
      <c r="F1652" s="24">
        <v>1.0</v>
      </c>
      <c r="G1652" s="18" t="s">
        <v>6071</v>
      </c>
      <c r="H1652" s="18"/>
      <c r="I1652" s="24">
        <v>8.5233742065E10</v>
      </c>
      <c r="J1652" s="18" t="s">
        <v>6074</v>
      </c>
      <c r="K1652" s="18"/>
      <c r="L1652" s="18" t="s">
        <v>1794</v>
      </c>
    </row>
    <row r="1653">
      <c r="A1653" s="18" t="s">
        <v>6075</v>
      </c>
      <c r="B1653" s="18" t="s">
        <v>791</v>
      </c>
      <c r="C1653" s="18" t="s">
        <v>6076</v>
      </c>
      <c r="D1653" s="18"/>
      <c r="E1653" s="24">
        <v>8.5336760229E10</v>
      </c>
      <c r="F1653" s="24">
        <v>1.0</v>
      </c>
      <c r="G1653" s="18" t="s">
        <v>6076</v>
      </c>
      <c r="H1653" s="18"/>
      <c r="I1653" s="24">
        <v>8.5336760229E10</v>
      </c>
      <c r="J1653" s="18" t="s">
        <v>6077</v>
      </c>
      <c r="K1653" s="18"/>
      <c r="L1653" s="18" t="s">
        <v>1722</v>
      </c>
    </row>
    <row r="1654">
      <c r="A1654" s="18" t="s">
        <v>6078</v>
      </c>
      <c r="B1654" s="18" t="s">
        <v>791</v>
      </c>
      <c r="C1654" s="18" t="s">
        <v>6079</v>
      </c>
      <c r="D1654" s="18"/>
      <c r="E1654" s="24">
        <v>8.5235617345E10</v>
      </c>
      <c r="F1654" s="24">
        <v>1.0</v>
      </c>
      <c r="G1654" s="18" t="s">
        <v>6079</v>
      </c>
      <c r="H1654" s="18"/>
      <c r="I1654" s="24">
        <v>8.5235617345E10</v>
      </c>
      <c r="J1654" s="18" t="s">
        <v>6080</v>
      </c>
      <c r="K1654" s="18"/>
      <c r="L1654" s="18" t="s">
        <v>5733</v>
      </c>
    </row>
    <row r="1655">
      <c r="A1655" s="18" t="s">
        <v>6081</v>
      </c>
      <c r="B1655" s="18" t="s">
        <v>791</v>
      </c>
      <c r="C1655" s="18" t="s">
        <v>6082</v>
      </c>
      <c r="D1655" s="18"/>
      <c r="E1655" s="24">
        <v>8.2141859566E10</v>
      </c>
      <c r="F1655" s="24">
        <v>1.0</v>
      </c>
      <c r="G1655" s="18" t="s">
        <v>6082</v>
      </c>
      <c r="H1655" s="18"/>
      <c r="I1655" s="24">
        <v>8.2141859566E10</v>
      </c>
      <c r="J1655" s="18" t="s">
        <v>6083</v>
      </c>
      <c r="K1655" s="18"/>
      <c r="L1655" s="18" t="s">
        <v>2230</v>
      </c>
    </row>
    <row r="1656">
      <c r="A1656" s="18" t="s">
        <v>6084</v>
      </c>
      <c r="B1656" s="18" t="s">
        <v>791</v>
      </c>
      <c r="C1656" s="18" t="s">
        <v>6085</v>
      </c>
      <c r="D1656" s="18"/>
      <c r="E1656" s="24">
        <v>8.1548287359E10</v>
      </c>
      <c r="F1656" s="24">
        <v>1.0</v>
      </c>
      <c r="G1656" s="18" t="s">
        <v>6085</v>
      </c>
      <c r="H1656" s="18"/>
      <c r="I1656" s="24">
        <v>8.1548287359E10</v>
      </c>
      <c r="J1656" s="18" t="s">
        <v>6086</v>
      </c>
      <c r="K1656" s="18"/>
      <c r="L1656" s="18" t="s">
        <v>2903</v>
      </c>
    </row>
    <row r="1657">
      <c r="A1657" s="18" t="s">
        <v>6087</v>
      </c>
      <c r="B1657" s="18" t="s">
        <v>791</v>
      </c>
      <c r="C1657" s="18" t="s">
        <v>6088</v>
      </c>
      <c r="D1657" s="18"/>
      <c r="E1657" s="24">
        <v>8.2326795661E10</v>
      </c>
      <c r="F1657" s="24">
        <v>1.0</v>
      </c>
      <c r="G1657" s="18" t="s">
        <v>6088</v>
      </c>
      <c r="H1657" s="18"/>
      <c r="I1657" s="24">
        <v>8.2326795661E10</v>
      </c>
      <c r="J1657" s="18" t="s">
        <v>4896</v>
      </c>
      <c r="K1657" s="18"/>
      <c r="L1657" s="18" t="s">
        <v>5079</v>
      </c>
    </row>
    <row r="1658">
      <c r="A1658" s="18" t="s">
        <v>6089</v>
      </c>
      <c r="B1658" s="18" t="s">
        <v>791</v>
      </c>
      <c r="C1658" s="18" t="s">
        <v>6090</v>
      </c>
      <c r="D1658" s="18"/>
      <c r="E1658" s="24">
        <v>8.5785753006E10</v>
      </c>
      <c r="F1658" s="24">
        <v>1.0</v>
      </c>
      <c r="G1658" s="18" t="s">
        <v>6090</v>
      </c>
      <c r="H1658" s="18"/>
      <c r="I1658" s="24">
        <v>8.5785753006E10</v>
      </c>
      <c r="J1658" s="18" t="s">
        <v>6092</v>
      </c>
      <c r="K1658" s="18"/>
      <c r="L1658" s="18" t="s">
        <v>3714</v>
      </c>
    </row>
    <row r="1659">
      <c r="A1659" s="18" t="s">
        <v>6093</v>
      </c>
      <c r="B1659" s="18" t="s">
        <v>791</v>
      </c>
      <c r="C1659" s="18" t="s">
        <v>6094</v>
      </c>
      <c r="D1659" s="18"/>
      <c r="E1659" s="18"/>
      <c r="F1659" s="24">
        <v>1.0</v>
      </c>
      <c r="G1659" s="18" t="s">
        <v>6094</v>
      </c>
      <c r="H1659" s="18"/>
      <c r="I1659" s="18"/>
      <c r="J1659" s="18" t="s">
        <v>6095</v>
      </c>
      <c r="K1659" s="18"/>
      <c r="L1659" s="18"/>
    </row>
    <row r="1660">
      <c r="A1660" s="18" t="s">
        <v>6096</v>
      </c>
      <c r="B1660" s="18" t="s">
        <v>791</v>
      </c>
      <c r="C1660" s="18" t="s">
        <v>6097</v>
      </c>
      <c r="D1660" s="18"/>
      <c r="E1660" s="24">
        <v>8.2132796052E10</v>
      </c>
      <c r="F1660" s="24">
        <v>1.0</v>
      </c>
      <c r="G1660" s="18" t="s">
        <v>6097</v>
      </c>
      <c r="H1660" s="18"/>
      <c r="I1660" s="24">
        <v>8.2132796052E10</v>
      </c>
      <c r="J1660" s="18" t="s">
        <v>6098</v>
      </c>
      <c r="K1660" s="18"/>
      <c r="L1660" s="18" t="s">
        <v>6099</v>
      </c>
    </row>
    <row r="1661">
      <c r="A1661" s="18" t="s">
        <v>6100</v>
      </c>
      <c r="B1661" s="18" t="s">
        <v>791</v>
      </c>
      <c r="C1661" s="18" t="s">
        <v>6102</v>
      </c>
      <c r="D1661" s="18"/>
      <c r="E1661" s="24">
        <v>8.1311827844E10</v>
      </c>
      <c r="F1661" s="24">
        <v>1.0</v>
      </c>
      <c r="G1661" s="18" t="s">
        <v>6102</v>
      </c>
      <c r="H1661" s="18"/>
      <c r="I1661" s="24">
        <v>8.1311827844E10</v>
      </c>
      <c r="J1661" s="18" t="s">
        <v>5811</v>
      </c>
      <c r="K1661" s="18"/>
      <c r="L1661" s="18" t="s">
        <v>1681</v>
      </c>
    </row>
    <row r="1662">
      <c r="A1662" s="18" t="s">
        <v>6103</v>
      </c>
      <c r="B1662" s="18" t="s">
        <v>791</v>
      </c>
      <c r="C1662" s="18" t="s">
        <v>6104</v>
      </c>
      <c r="D1662" s="18"/>
      <c r="E1662" s="24">
        <v>8.5736175232E10</v>
      </c>
      <c r="F1662" s="24">
        <v>1.0</v>
      </c>
      <c r="G1662" s="18" t="s">
        <v>6104</v>
      </c>
      <c r="H1662" s="18"/>
      <c r="I1662" s="24">
        <v>8.5736175232E10</v>
      </c>
      <c r="J1662" s="18" t="s">
        <v>6105</v>
      </c>
      <c r="K1662" s="18"/>
      <c r="L1662" s="18" t="s">
        <v>1470</v>
      </c>
    </row>
    <row r="1663">
      <c r="A1663" s="18" t="s">
        <v>6106</v>
      </c>
      <c r="B1663" s="18" t="s">
        <v>791</v>
      </c>
      <c r="C1663" s="18" t="s">
        <v>6107</v>
      </c>
      <c r="D1663" s="18"/>
      <c r="E1663" s="24">
        <v>8.5708227216E10</v>
      </c>
      <c r="F1663" s="24">
        <v>1.0</v>
      </c>
      <c r="G1663" s="18" t="s">
        <v>6107</v>
      </c>
      <c r="H1663" s="18"/>
      <c r="I1663" s="24">
        <v>8.5708227216E10</v>
      </c>
      <c r="J1663" s="18" t="s">
        <v>6108</v>
      </c>
      <c r="K1663" s="18"/>
      <c r="L1663" s="18" t="s">
        <v>2297</v>
      </c>
    </row>
    <row r="1664">
      <c r="A1664" s="18" t="s">
        <v>6109</v>
      </c>
      <c r="B1664" s="18" t="s">
        <v>791</v>
      </c>
      <c r="C1664" s="18" t="s">
        <v>6110</v>
      </c>
      <c r="D1664" s="18"/>
      <c r="E1664" s="24">
        <v>8.5235630304E10</v>
      </c>
      <c r="F1664" s="24">
        <v>1.0</v>
      </c>
      <c r="G1664" s="18" t="s">
        <v>6110</v>
      </c>
      <c r="H1664" s="18"/>
      <c r="I1664" s="24">
        <v>8.5235630304E10</v>
      </c>
      <c r="J1664" s="18" t="s">
        <v>6111</v>
      </c>
      <c r="K1664" s="18"/>
      <c r="L1664" s="18" t="s">
        <v>1511</v>
      </c>
    </row>
    <row r="1665">
      <c r="A1665" s="18" t="s">
        <v>6112</v>
      </c>
      <c r="B1665" s="18" t="s">
        <v>791</v>
      </c>
      <c r="C1665" s="18" t="s">
        <v>6113</v>
      </c>
      <c r="D1665" s="18"/>
      <c r="E1665" s="24">
        <v>8.5235617345E10</v>
      </c>
      <c r="F1665" s="24">
        <v>1.0</v>
      </c>
      <c r="G1665" s="18" t="s">
        <v>6113</v>
      </c>
      <c r="H1665" s="18"/>
      <c r="I1665" s="24">
        <v>8.5235617345E10</v>
      </c>
      <c r="J1665" s="18" t="s">
        <v>6114</v>
      </c>
      <c r="K1665" s="18"/>
      <c r="L1665" s="18" t="s">
        <v>5733</v>
      </c>
    </row>
    <row r="1666">
      <c r="A1666" s="18" t="s">
        <v>6115</v>
      </c>
      <c r="B1666" s="18" t="s">
        <v>791</v>
      </c>
      <c r="C1666" s="18" t="s">
        <v>6116</v>
      </c>
      <c r="D1666" s="18"/>
      <c r="E1666" s="24">
        <v>8.5815119622E10</v>
      </c>
      <c r="F1666" s="24">
        <v>1.0</v>
      </c>
      <c r="G1666" s="18" t="s">
        <v>6116</v>
      </c>
      <c r="H1666" s="18"/>
      <c r="I1666" s="24">
        <v>8.5815119622E10</v>
      </c>
      <c r="J1666" s="18" t="s">
        <v>6117</v>
      </c>
      <c r="K1666" s="18"/>
      <c r="L1666" s="18" t="s">
        <v>4270</v>
      </c>
    </row>
    <row r="1667">
      <c r="A1667" s="18" t="s">
        <v>6118</v>
      </c>
      <c r="B1667" s="18" t="s">
        <v>791</v>
      </c>
      <c r="C1667" s="18" t="s">
        <v>6119</v>
      </c>
      <c r="D1667" s="18"/>
      <c r="E1667" s="24">
        <v>8.1615600615E10</v>
      </c>
      <c r="F1667" s="24">
        <v>1.0</v>
      </c>
      <c r="G1667" s="18" t="s">
        <v>6119</v>
      </c>
      <c r="H1667" s="18"/>
      <c r="I1667" s="24">
        <v>8.1615600615E10</v>
      </c>
      <c r="J1667" s="18" t="s">
        <v>6120</v>
      </c>
      <c r="K1667" s="18"/>
      <c r="L1667" s="18" t="s">
        <v>3986</v>
      </c>
    </row>
    <row r="1668">
      <c r="A1668" s="18" t="s">
        <v>6121</v>
      </c>
      <c r="B1668" s="18" t="s">
        <v>791</v>
      </c>
      <c r="C1668" s="18" t="s">
        <v>6122</v>
      </c>
      <c r="D1668" s="18"/>
      <c r="E1668" s="24">
        <v>8.1311827844E10</v>
      </c>
      <c r="F1668" s="24">
        <v>1.0</v>
      </c>
      <c r="G1668" s="18" t="s">
        <v>6122</v>
      </c>
      <c r="H1668" s="18"/>
      <c r="I1668" s="24">
        <v>8.1311827844E10</v>
      </c>
      <c r="J1668" s="18" t="s">
        <v>5992</v>
      </c>
      <c r="K1668" s="18"/>
      <c r="L1668" s="18" t="s">
        <v>1681</v>
      </c>
    </row>
    <row r="1669">
      <c r="A1669" s="18" t="s">
        <v>6123</v>
      </c>
      <c r="B1669" s="18" t="s">
        <v>791</v>
      </c>
      <c r="C1669" s="18" t="s">
        <v>6124</v>
      </c>
      <c r="D1669" s="18"/>
      <c r="E1669" s="24">
        <v>8.5736316638E10</v>
      </c>
      <c r="F1669" s="24">
        <v>1.0</v>
      </c>
      <c r="G1669" s="18" t="s">
        <v>6124</v>
      </c>
      <c r="H1669" s="18"/>
      <c r="I1669" s="24">
        <v>8.5736316638E10</v>
      </c>
      <c r="J1669" s="18" t="s">
        <v>6125</v>
      </c>
      <c r="K1669" s="18"/>
      <c r="L1669" s="18" t="s">
        <v>3534</v>
      </c>
    </row>
    <row r="1670">
      <c r="A1670" s="18" t="s">
        <v>6126</v>
      </c>
      <c r="B1670" s="18" t="s">
        <v>791</v>
      </c>
      <c r="C1670" s="18" t="s">
        <v>6127</v>
      </c>
      <c r="D1670" s="18"/>
      <c r="E1670" s="24">
        <v>8.2244825856E10</v>
      </c>
      <c r="F1670" s="24">
        <v>1.0</v>
      </c>
      <c r="G1670" s="18" t="s">
        <v>6127</v>
      </c>
      <c r="H1670" s="18"/>
      <c r="I1670" s="24">
        <v>8.2244825856E10</v>
      </c>
      <c r="J1670" s="18" t="s">
        <v>6128</v>
      </c>
      <c r="K1670" s="18"/>
      <c r="L1670" s="18" t="s">
        <v>1669</v>
      </c>
    </row>
    <row r="1671">
      <c r="A1671" s="18" t="s">
        <v>6129</v>
      </c>
      <c r="B1671" s="18" t="s">
        <v>791</v>
      </c>
      <c r="C1671" s="18" t="s">
        <v>6130</v>
      </c>
      <c r="D1671" s="18"/>
      <c r="E1671" s="24">
        <v>8.5854677593E10</v>
      </c>
      <c r="F1671" s="24">
        <v>1.0</v>
      </c>
      <c r="G1671" s="18" t="s">
        <v>6130</v>
      </c>
      <c r="H1671" s="18"/>
      <c r="I1671" s="24">
        <v>8.5854677593E10</v>
      </c>
      <c r="J1671" s="18" t="s">
        <v>4846</v>
      </c>
      <c r="K1671" s="18"/>
      <c r="L1671" s="18" t="s">
        <v>6131</v>
      </c>
    </row>
    <row r="1672">
      <c r="A1672" s="18" t="s">
        <v>1328</v>
      </c>
      <c r="B1672" s="18" t="s">
        <v>791</v>
      </c>
      <c r="C1672" s="18" t="s">
        <v>1330</v>
      </c>
      <c r="D1672" s="18"/>
      <c r="E1672" s="24">
        <v>8.5784809735E10</v>
      </c>
      <c r="F1672" s="24">
        <v>1.0</v>
      </c>
      <c r="G1672" s="18" t="s">
        <v>1330</v>
      </c>
      <c r="H1672" s="18"/>
      <c r="I1672" s="24">
        <v>8.5784809735E10</v>
      </c>
      <c r="J1672" s="18" t="s">
        <v>1329</v>
      </c>
      <c r="K1672" s="18"/>
      <c r="L1672" s="18" t="s">
        <v>1315</v>
      </c>
    </row>
    <row r="1673">
      <c r="A1673" s="18" t="s">
        <v>6132</v>
      </c>
      <c r="B1673" s="18" t="s">
        <v>791</v>
      </c>
      <c r="C1673" s="18" t="s">
        <v>6133</v>
      </c>
      <c r="D1673" s="18"/>
      <c r="E1673" s="24">
        <v>8.1335464406E10</v>
      </c>
      <c r="F1673" s="24">
        <v>1.0</v>
      </c>
      <c r="G1673" s="18" t="s">
        <v>6133</v>
      </c>
      <c r="H1673" s="18"/>
      <c r="I1673" s="24">
        <v>8.1335464406E10</v>
      </c>
      <c r="J1673" s="18" t="s">
        <v>6134</v>
      </c>
      <c r="K1673" s="18"/>
      <c r="L1673" s="18" t="s">
        <v>1623</v>
      </c>
    </row>
    <row r="1674">
      <c r="A1674" s="18" t="s">
        <v>6135</v>
      </c>
      <c r="B1674" s="18" t="s">
        <v>791</v>
      </c>
      <c r="C1674" s="18" t="s">
        <v>6136</v>
      </c>
      <c r="D1674" s="18"/>
      <c r="E1674" s="24">
        <v>8.5854677593E10</v>
      </c>
      <c r="F1674" s="24">
        <v>1.0</v>
      </c>
      <c r="G1674" s="18" t="s">
        <v>6136</v>
      </c>
      <c r="H1674" s="18"/>
      <c r="I1674" s="24">
        <v>8.5854677593E10</v>
      </c>
      <c r="J1674" s="18" t="s">
        <v>4622</v>
      </c>
      <c r="K1674" s="18"/>
      <c r="L1674" s="18" t="s">
        <v>6137</v>
      </c>
    </row>
    <row r="1675">
      <c r="A1675" s="18" t="s">
        <v>6138</v>
      </c>
      <c r="B1675" s="18" t="s">
        <v>791</v>
      </c>
      <c r="C1675" s="18" t="s">
        <v>6139</v>
      </c>
      <c r="D1675" s="18"/>
      <c r="E1675" s="24">
        <v>8.5104622991E10</v>
      </c>
      <c r="F1675" s="24">
        <v>1.0</v>
      </c>
      <c r="G1675" s="18" t="s">
        <v>6139</v>
      </c>
      <c r="H1675" s="18"/>
      <c r="I1675" s="24">
        <v>8.5104622991E10</v>
      </c>
      <c r="J1675" s="18" t="s">
        <v>6140</v>
      </c>
      <c r="K1675" s="18"/>
      <c r="L1675" s="18" t="s">
        <v>2022</v>
      </c>
    </row>
    <row r="1676">
      <c r="A1676" s="18" t="s">
        <v>6141</v>
      </c>
      <c r="B1676" s="18" t="s">
        <v>791</v>
      </c>
      <c r="C1676" s="18" t="s">
        <v>6142</v>
      </c>
      <c r="D1676" s="18"/>
      <c r="E1676" s="24">
        <v>8.5335960089E10</v>
      </c>
      <c r="F1676" s="24">
        <v>1.0</v>
      </c>
      <c r="G1676" s="18" t="s">
        <v>6142</v>
      </c>
      <c r="H1676" s="18"/>
      <c r="I1676" s="24">
        <v>8.5335960089E10</v>
      </c>
      <c r="J1676" s="18" t="s">
        <v>6143</v>
      </c>
      <c r="K1676" s="18"/>
      <c r="L1676" s="18" t="s">
        <v>2110</v>
      </c>
    </row>
    <row r="1677">
      <c r="A1677" s="18" t="s">
        <v>6144</v>
      </c>
      <c r="B1677" s="18" t="s">
        <v>791</v>
      </c>
      <c r="C1677" s="18" t="s">
        <v>6145</v>
      </c>
      <c r="D1677" s="18"/>
      <c r="E1677" s="24">
        <v>8.5235782242E10</v>
      </c>
      <c r="F1677" s="24">
        <v>1.0</v>
      </c>
      <c r="G1677" s="18" t="s">
        <v>6145</v>
      </c>
      <c r="H1677" s="18"/>
      <c r="I1677" s="24">
        <v>8.5235782242E10</v>
      </c>
      <c r="J1677" s="18" t="s">
        <v>6146</v>
      </c>
      <c r="K1677" s="18"/>
      <c r="L1677" s="18" t="s">
        <v>3286</v>
      </c>
    </row>
    <row r="1678">
      <c r="A1678" s="18" t="s">
        <v>6147</v>
      </c>
      <c r="B1678" s="18" t="s">
        <v>791</v>
      </c>
      <c r="C1678" s="18" t="s">
        <v>6148</v>
      </c>
      <c r="D1678" s="18"/>
      <c r="E1678" s="24">
        <v>8.573513516E9</v>
      </c>
      <c r="F1678" s="24">
        <v>1.0</v>
      </c>
      <c r="G1678" s="18" t="s">
        <v>6148</v>
      </c>
      <c r="H1678" s="18"/>
      <c r="I1678" s="24">
        <v>8.573513516E9</v>
      </c>
      <c r="J1678" s="18" t="s">
        <v>4469</v>
      </c>
      <c r="K1678" s="18"/>
      <c r="L1678" s="18" t="s">
        <v>6149</v>
      </c>
    </row>
    <row r="1679">
      <c r="A1679" s="18" t="s">
        <v>6150</v>
      </c>
      <c r="B1679" s="18" t="s">
        <v>791</v>
      </c>
      <c r="C1679" s="18" t="s">
        <v>6151</v>
      </c>
      <c r="D1679" s="18"/>
      <c r="E1679" s="24">
        <v>8.139025822E10</v>
      </c>
      <c r="F1679" s="24">
        <v>1.0</v>
      </c>
      <c r="G1679" s="18" t="s">
        <v>6151</v>
      </c>
      <c r="H1679" s="18"/>
      <c r="I1679" s="24">
        <v>8.139025822E10</v>
      </c>
      <c r="J1679" s="18" t="s">
        <v>4890</v>
      </c>
      <c r="K1679" s="18"/>
      <c r="L1679" s="18" t="s">
        <v>6152</v>
      </c>
    </row>
    <row r="1680">
      <c r="A1680" s="18" t="s">
        <v>6153</v>
      </c>
      <c r="B1680" s="18" t="s">
        <v>791</v>
      </c>
      <c r="C1680" s="18" t="s">
        <v>6154</v>
      </c>
      <c r="D1680" s="18"/>
      <c r="E1680" s="24">
        <v>8.5236233096E10</v>
      </c>
      <c r="F1680" s="24">
        <v>1.0</v>
      </c>
      <c r="G1680" s="18" t="s">
        <v>6154</v>
      </c>
      <c r="H1680" s="18"/>
      <c r="I1680" s="24">
        <v>8.5236233096E10</v>
      </c>
      <c r="J1680" s="18" t="s">
        <v>6155</v>
      </c>
      <c r="K1680" s="18"/>
      <c r="L1680" s="18" t="s">
        <v>1850</v>
      </c>
    </row>
    <row r="1681">
      <c r="A1681" s="18" t="s">
        <v>6156</v>
      </c>
      <c r="B1681" s="18" t="s">
        <v>791</v>
      </c>
      <c r="C1681" s="18" t="s">
        <v>6157</v>
      </c>
      <c r="D1681" s="18"/>
      <c r="E1681" s="24">
        <v>8.5257708516E10</v>
      </c>
      <c r="F1681" s="24">
        <v>1.0</v>
      </c>
      <c r="G1681" s="18" t="s">
        <v>6157</v>
      </c>
      <c r="H1681" s="18"/>
      <c r="I1681" s="24">
        <v>8.5257708516E10</v>
      </c>
      <c r="J1681" s="18" t="s">
        <v>6158</v>
      </c>
      <c r="K1681" s="18"/>
      <c r="L1681" s="18" t="s">
        <v>6006</v>
      </c>
    </row>
    <row r="1682">
      <c r="A1682" s="18" t="s">
        <v>6159</v>
      </c>
      <c r="B1682" s="18" t="s">
        <v>791</v>
      </c>
      <c r="C1682" s="18" t="s">
        <v>6160</v>
      </c>
      <c r="D1682" s="18"/>
      <c r="E1682" s="24">
        <v>8.5735135162E10</v>
      </c>
      <c r="F1682" s="24">
        <v>1.0</v>
      </c>
      <c r="G1682" s="18" t="s">
        <v>6160</v>
      </c>
      <c r="H1682" s="18"/>
      <c r="I1682" s="24">
        <v>8.5735135162E10</v>
      </c>
      <c r="J1682" s="18" t="s">
        <v>4749</v>
      </c>
      <c r="K1682" s="18"/>
      <c r="L1682" s="18" t="s">
        <v>6161</v>
      </c>
    </row>
    <row r="1683">
      <c r="A1683" s="18" t="s">
        <v>6162</v>
      </c>
      <c r="B1683" s="18" t="s">
        <v>791</v>
      </c>
      <c r="C1683" s="18" t="s">
        <v>6163</v>
      </c>
      <c r="D1683" s="18"/>
      <c r="E1683" s="24">
        <v>8.580684218E10</v>
      </c>
      <c r="F1683" s="24">
        <v>1.0</v>
      </c>
      <c r="G1683" s="18" t="s">
        <v>6163</v>
      </c>
      <c r="H1683" s="18"/>
      <c r="I1683" s="24">
        <v>8.580684218E10</v>
      </c>
      <c r="J1683" s="18" t="s">
        <v>5703</v>
      </c>
      <c r="K1683" s="18"/>
      <c r="L1683" s="18" t="s">
        <v>1850</v>
      </c>
    </row>
    <row r="1684">
      <c r="A1684" s="18" t="s">
        <v>6164</v>
      </c>
      <c r="B1684" s="18" t="s">
        <v>791</v>
      </c>
      <c r="C1684" s="18" t="s">
        <v>6165</v>
      </c>
      <c r="D1684" s="18"/>
      <c r="E1684" s="24">
        <v>8.1249106276E10</v>
      </c>
      <c r="F1684" s="24">
        <v>1.0</v>
      </c>
      <c r="G1684" s="18" t="s">
        <v>6165</v>
      </c>
      <c r="H1684" s="18"/>
      <c r="I1684" s="24">
        <v>8.1249106276E10</v>
      </c>
      <c r="J1684" s="18" t="s">
        <v>6166</v>
      </c>
      <c r="K1684" s="18"/>
      <c r="L1684" s="18" t="s">
        <v>6167</v>
      </c>
    </row>
    <row r="1685">
      <c r="A1685" s="18" t="s">
        <v>6168</v>
      </c>
      <c r="B1685" s="18" t="s">
        <v>791</v>
      </c>
      <c r="C1685" s="18" t="s">
        <v>6169</v>
      </c>
      <c r="D1685" s="18"/>
      <c r="E1685" s="24">
        <v>8.2143633962E10</v>
      </c>
      <c r="F1685" s="24">
        <v>1.0</v>
      </c>
      <c r="G1685" s="18" t="s">
        <v>6169</v>
      </c>
      <c r="H1685" s="18"/>
      <c r="I1685" s="24">
        <v>8.2143633962E10</v>
      </c>
      <c r="J1685" s="18" t="s">
        <v>6170</v>
      </c>
      <c r="K1685" s="18"/>
      <c r="L1685" s="18" t="s">
        <v>6171</v>
      </c>
    </row>
    <row r="1686">
      <c r="A1686" s="18" t="s">
        <v>6172</v>
      </c>
      <c r="B1686" s="18" t="s">
        <v>791</v>
      </c>
      <c r="C1686" s="18" t="s">
        <v>6173</v>
      </c>
      <c r="D1686" s="18"/>
      <c r="E1686" s="24">
        <v>8.5735135162E10</v>
      </c>
      <c r="F1686" s="24">
        <v>1.0</v>
      </c>
      <c r="G1686" s="18" t="s">
        <v>6173</v>
      </c>
      <c r="H1686" s="18"/>
      <c r="I1686" s="24">
        <v>8.5735135162E10</v>
      </c>
      <c r="J1686" s="18" t="s">
        <v>4737</v>
      </c>
      <c r="K1686" s="18"/>
      <c r="L1686" s="18" t="s">
        <v>6175</v>
      </c>
    </row>
    <row r="1687">
      <c r="A1687" s="18" t="s">
        <v>6176</v>
      </c>
      <c r="B1687" s="18" t="s">
        <v>791</v>
      </c>
      <c r="C1687" s="18" t="s">
        <v>6169</v>
      </c>
      <c r="D1687" s="18"/>
      <c r="E1687" s="24">
        <v>8.1216070182E10</v>
      </c>
      <c r="F1687" s="24">
        <v>1.0</v>
      </c>
      <c r="G1687" s="18" t="s">
        <v>6169</v>
      </c>
      <c r="H1687" s="18"/>
      <c r="I1687" s="24">
        <v>8.1216070182E10</v>
      </c>
      <c r="J1687" s="18" t="s">
        <v>6177</v>
      </c>
      <c r="K1687" s="18"/>
      <c r="L1687" s="18" t="s">
        <v>6178</v>
      </c>
    </row>
    <row r="1688">
      <c r="A1688" s="18" t="s">
        <v>6179</v>
      </c>
      <c r="B1688" s="18" t="s">
        <v>791</v>
      </c>
      <c r="C1688" s="18" t="s">
        <v>6180</v>
      </c>
      <c r="D1688" s="18"/>
      <c r="E1688" s="24">
        <v>8.5334913739E10</v>
      </c>
      <c r="F1688" s="24">
        <v>1.0</v>
      </c>
      <c r="G1688" s="18" t="s">
        <v>6180</v>
      </c>
      <c r="H1688" s="18"/>
      <c r="I1688" s="24">
        <v>8.5334913739E10</v>
      </c>
      <c r="J1688" s="18" t="s">
        <v>6181</v>
      </c>
      <c r="K1688" s="18"/>
      <c r="L1688" s="18" t="s">
        <v>1681</v>
      </c>
    </row>
    <row r="1689">
      <c r="A1689" s="18" t="s">
        <v>6182</v>
      </c>
      <c r="B1689" s="18" t="s">
        <v>791</v>
      </c>
      <c r="C1689" s="18" t="s">
        <v>6183</v>
      </c>
      <c r="D1689" s="18"/>
      <c r="E1689" s="24">
        <v>8.5230636009E10</v>
      </c>
      <c r="F1689" s="24">
        <v>1.0</v>
      </c>
      <c r="G1689" s="18" t="s">
        <v>6183</v>
      </c>
      <c r="H1689" s="18"/>
      <c r="I1689" s="24">
        <v>8.5230636009E10</v>
      </c>
      <c r="J1689" s="18" t="s">
        <v>6184</v>
      </c>
      <c r="K1689" s="18"/>
      <c r="L1689" s="18" t="s">
        <v>3253</v>
      </c>
    </row>
    <row r="1690">
      <c r="A1690" s="18" t="s">
        <v>6185</v>
      </c>
      <c r="B1690" s="18" t="s">
        <v>791</v>
      </c>
      <c r="C1690" s="18" t="s">
        <v>6186</v>
      </c>
      <c r="D1690" s="18"/>
      <c r="E1690" s="24">
        <v>8.2135033189E10</v>
      </c>
      <c r="F1690" s="24">
        <v>1.0</v>
      </c>
      <c r="G1690" s="18" t="s">
        <v>6186</v>
      </c>
      <c r="H1690" s="18"/>
      <c r="I1690" s="24">
        <v>8.2135033189E10</v>
      </c>
      <c r="J1690" s="18" t="s">
        <v>6187</v>
      </c>
      <c r="K1690" s="18"/>
      <c r="L1690" s="18" t="s">
        <v>2003</v>
      </c>
    </row>
    <row r="1691">
      <c r="A1691" s="18" t="s">
        <v>6188</v>
      </c>
      <c r="B1691" s="18" t="s">
        <v>791</v>
      </c>
      <c r="C1691" s="18" t="s">
        <v>6189</v>
      </c>
      <c r="D1691" s="18"/>
      <c r="E1691" s="24">
        <v>8.1335428622E10</v>
      </c>
      <c r="F1691" s="24">
        <v>1.0</v>
      </c>
      <c r="G1691" s="18" t="s">
        <v>6189</v>
      </c>
      <c r="H1691" s="18"/>
      <c r="I1691" s="24">
        <v>8.1335428622E10</v>
      </c>
      <c r="J1691" s="18" t="s">
        <v>6190</v>
      </c>
      <c r="K1691" s="18"/>
      <c r="L1691" s="18" t="s">
        <v>3367</v>
      </c>
    </row>
    <row r="1692">
      <c r="A1692" s="18" t="s">
        <v>6191</v>
      </c>
      <c r="B1692" s="18" t="s">
        <v>791</v>
      </c>
      <c r="C1692" s="18" t="s">
        <v>6192</v>
      </c>
      <c r="D1692" s="18"/>
      <c r="E1692" s="24">
        <v>8.2230460602E10</v>
      </c>
      <c r="F1692" s="24">
        <v>1.0</v>
      </c>
      <c r="G1692" s="18" t="s">
        <v>6192</v>
      </c>
      <c r="H1692" s="18"/>
      <c r="I1692" s="24">
        <v>8.2230460602E10</v>
      </c>
      <c r="J1692" s="18" t="s">
        <v>6193</v>
      </c>
      <c r="K1692" s="18"/>
      <c r="L1692" s="18" t="s">
        <v>6194</v>
      </c>
    </row>
    <row r="1693">
      <c r="A1693" s="18" t="s">
        <v>6195</v>
      </c>
      <c r="B1693" s="18" t="s">
        <v>791</v>
      </c>
      <c r="C1693" s="18" t="s">
        <v>6196</v>
      </c>
      <c r="D1693" s="18"/>
      <c r="E1693" s="24">
        <v>8.5334913739E10</v>
      </c>
      <c r="F1693" s="24">
        <v>1.0</v>
      </c>
      <c r="G1693" s="18" t="s">
        <v>6196</v>
      </c>
      <c r="H1693" s="18"/>
      <c r="I1693" s="24">
        <v>8.5334913739E10</v>
      </c>
      <c r="J1693" s="18" t="s">
        <v>6197</v>
      </c>
      <c r="K1693" s="18"/>
      <c r="L1693" s="18" t="s">
        <v>1681</v>
      </c>
    </row>
    <row r="1694">
      <c r="A1694" s="18" t="s">
        <v>6198</v>
      </c>
      <c r="B1694" s="18" t="s">
        <v>791</v>
      </c>
      <c r="C1694" s="18" t="s">
        <v>6199</v>
      </c>
      <c r="D1694" s="18"/>
      <c r="E1694" s="24">
        <v>8.1556453234E10</v>
      </c>
      <c r="F1694" s="24">
        <v>1.0</v>
      </c>
      <c r="G1694" s="18" t="s">
        <v>6199</v>
      </c>
      <c r="H1694" s="18"/>
      <c r="I1694" s="24">
        <v>8.1556453234E10</v>
      </c>
      <c r="J1694" s="18" t="s">
        <v>6200</v>
      </c>
      <c r="K1694" s="18"/>
      <c r="L1694" s="18" t="s">
        <v>6201</v>
      </c>
    </row>
    <row r="1695">
      <c r="A1695" s="18" t="s">
        <v>6202</v>
      </c>
      <c r="B1695" s="18" t="s">
        <v>791</v>
      </c>
      <c r="C1695" s="18" t="s">
        <v>6203</v>
      </c>
      <c r="D1695" s="18"/>
      <c r="E1695" s="24">
        <v>8.5233685156E10</v>
      </c>
      <c r="F1695" s="24">
        <v>1.0</v>
      </c>
      <c r="G1695" s="18" t="s">
        <v>6203</v>
      </c>
      <c r="H1695" s="18"/>
      <c r="I1695" s="24">
        <v>8.5233685156E10</v>
      </c>
      <c r="J1695" s="18" t="s">
        <v>6204</v>
      </c>
      <c r="K1695" s="18"/>
      <c r="L1695" s="18" t="s">
        <v>5697</v>
      </c>
    </row>
    <row r="1696">
      <c r="A1696" s="18" t="s">
        <v>6205</v>
      </c>
      <c r="B1696" s="18" t="s">
        <v>791</v>
      </c>
      <c r="C1696" s="18" t="s">
        <v>6206</v>
      </c>
      <c r="D1696" s="18"/>
      <c r="E1696" s="24">
        <v>8.133584603E10</v>
      </c>
      <c r="F1696" s="24">
        <v>1.0</v>
      </c>
      <c r="G1696" s="18" t="s">
        <v>6206</v>
      </c>
      <c r="H1696" s="18"/>
      <c r="I1696" s="24">
        <v>8.133584603E10</v>
      </c>
      <c r="J1696" s="18" t="s">
        <v>6207</v>
      </c>
      <c r="K1696" s="18"/>
      <c r="L1696" s="18" t="s">
        <v>3068</v>
      </c>
    </row>
    <row r="1697">
      <c r="A1697" s="18" t="s">
        <v>6208</v>
      </c>
      <c r="B1697" s="18" t="s">
        <v>791</v>
      </c>
      <c r="C1697" s="18" t="s">
        <v>6209</v>
      </c>
      <c r="D1697" s="18"/>
      <c r="E1697" s="24">
        <v>8.5235665279E10</v>
      </c>
      <c r="F1697" s="24">
        <v>1.0</v>
      </c>
      <c r="G1697" s="18" t="s">
        <v>6209</v>
      </c>
      <c r="H1697" s="18"/>
      <c r="I1697" s="24">
        <v>8.5235665279E10</v>
      </c>
      <c r="J1697" s="18" t="s">
        <v>6210</v>
      </c>
      <c r="K1697" s="18"/>
      <c r="L1697" s="18" t="s">
        <v>3993</v>
      </c>
    </row>
    <row r="1698">
      <c r="A1698" s="18" t="s">
        <v>6211</v>
      </c>
      <c r="B1698" s="18" t="s">
        <v>791</v>
      </c>
      <c r="C1698" s="18" t="s">
        <v>6212</v>
      </c>
      <c r="D1698" s="18"/>
      <c r="E1698" s="24">
        <v>8.5334913739E10</v>
      </c>
      <c r="F1698" s="24">
        <v>1.0</v>
      </c>
      <c r="G1698" s="18" t="s">
        <v>6212</v>
      </c>
      <c r="H1698" s="18"/>
      <c r="I1698" s="24">
        <v>8.5334913739E10</v>
      </c>
      <c r="J1698" s="18" t="s">
        <v>6213</v>
      </c>
      <c r="K1698" s="18"/>
      <c r="L1698" s="18" t="s">
        <v>1681</v>
      </c>
    </row>
    <row r="1699">
      <c r="A1699" s="18" t="s">
        <v>6214</v>
      </c>
      <c r="B1699" s="18" t="s">
        <v>791</v>
      </c>
      <c r="C1699" s="18" t="s">
        <v>6215</v>
      </c>
      <c r="D1699" s="18"/>
      <c r="E1699" s="24">
        <v>8.1311827844E10</v>
      </c>
      <c r="F1699" s="24">
        <v>1.0</v>
      </c>
      <c r="G1699" s="18" t="s">
        <v>6215</v>
      </c>
      <c r="H1699" s="18"/>
      <c r="I1699" s="24">
        <v>8.1311827844E10</v>
      </c>
      <c r="J1699" s="18" t="s">
        <v>5921</v>
      </c>
      <c r="K1699" s="18"/>
      <c r="L1699" s="18" t="s">
        <v>1681</v>
      </c>
    </row>
    <row r="1700">
      <c r="A1700" s="18" t="s">
        <v>6216</v>
      </c>
      <c r="B1700" s="18" t="s">
        <v>791</v>
      </c>
      <c r="C1700" s="18" t="s">
        <v>6217</v>
      </c>
      <c r="D1700" s="18"/>
      <c r="E1700" s="24">
        <v>8.5645773199E10</v>
      </c>
      <c r="F1700" s="24">
        <v>1.0</v>
      </c>
      <c r="G1700" s="18" t="s">
        <v>6217</v>
      </c>
      <c r="H1700" s="18"/>
      <c r="I1700" s="24">
        <v>8.5645773199E10</v>
      </c>
      <c r="J1700" s="18" t="s">
        <v>6218</v>
      </c>
      <c r="K1700" s="18"/>
      <c r="L1700" s="18" t="s">
        <v>3371</v>
      </c>
    </row>
    <row r="1701">
      <c r="A1701" s="18" t="s">
        <v>6219</v>
      </c>
      <c r="B1701" s="18" t="s">
        <v>791</v>
      </c>
      <c r="C1701" s="18" t="s">
        <v>6220</v>
      </c>
      <c r="D1701" s="18"/>
      <c r="E1701" s="24">
        <v>8.5706842269E10</v>
      </c>
      <c r="F1701" s="24">
        <v>1.0</v>
      </c>
      <c r="G1701" s="18" t="s">
        <v>6220</v>
      </c>
      <c r="H1701" s="18"/>
      <c r="I1701" s="24">
        <v>8.5706842269E10</v>
      </c>
      <c r="J1701" s="18" t="s">
        <v>6221</v>
      </c>
      <c r="K1701" s="18"/>
      <c r="L1701" s="18" t="s">
        <v>6222</v>
      </c>
    </row>
    <row r="1702">
      <c r="A1702" s="18" t="s">
        <v>6223</v>
      </c>
      <c r="B1702" s="18" t="s">
        <v>791</v>
      </c>
      <c r="C1702" s="18" t="s">
        <v>6224</v>
      </c>
      <c r="D1702" s="18"/>
      <c r="E1702" s="24">
        <v>8.1335274416E10</v>
      </c>
      <c r="F1702" s="24">
        <v>1.0</v>
      </c>
      <c r="G1702" s="18" t="s">
        <v>6224</v>
      </c>
      <c r="H1702" s="18"/>
      <c r="I1702" s="24">
        <v>8.1335274416E10</v>
      </c>
      <c r="J1702" s="18" t="s">
        <v>6225</v>
      </c>
      <c r="K1702" s="18"/>
      <c r="L1702" s="18" t="s">
        <v>6226</v>
      </c>
    </row>
    <row r="1703">
      <c r="A1703" s="18" t="s">
        <v>6227</v>
      </c>
      <c r="B1703" s="18" t="s">
        <v>791</v>
      </c>
      <c r="C1703" s="18" t="s">
        <v>6228</v>
      </c>
      <c r="D1703" s="18"/>
      <c r="E1703" s="24">
        <v>8.123430386E10</v>
      </c>
      <c r="F1703" s="24">
        <v>1.0</v>
      </c>
      <c r="G1703" s="18" t="s">
        <v>6228</v>
      </c>
      <c r="H1703" s="18"/>
      <c r="I1703" s="24">
        <v>8.123430386E10</v>
      </c>
      <c r="J1703" s="18" t="s">
        <v>6229</v>
      </c>
      <c r="K1703" s="18"/>
      <c r="L1703" s="18" t="s">
        <v>5456</v>
      </c>
    </row>
    <row r="1704">
      <c r="A1704" s="18" t="s">
        <v>6230</v>
      </c>
      <c r="B1704" s="18" t="s">
        <v>791</v>
      </c>
      <c r="C1704" s="18" t="s">
        <v>6228</v>
      </c>
      <c r="D1704" s="18"/>
      <c r="E1704" s="24">
        <v>8.2244488884E10</v>
      </c>
      <c r="F1704" s="24">
        <v>1.0</v>
      </c>
      <c r="G1704" s="18" t="s">
        <v>6228</v>
      </c>
      <c r="H1704" s="18"/>
      <c r="I1704" s="24">
        <v>8.2244488884E10</v>
      </c>
      <c r="J1704" s="18" t="s">
        <v>6231</v>
      </c>
      <c r="K1704" s="18"/>
      <c r="L1704" s="18" t="s">
        <v>3889</v>
      </c>
    </row>
    <row r="1705">
      <c r="A1705" s="18" t="s">
        <v>6232</v>
      </c>
      <c r="B1705" s="18" t="s">
        <v>791</v>
      </c>
      <c r="C1705" s="18" t="s">
        <v>6233</v>
      </c>
      <c r="D1705" s="18"/>
      <c r="E1705" s="24">
        <v>8.5334913739E10</v>
      </c>
      <c r="F1705" s="24">
        <v>1.0</v>
      </c>
      <c r="G1705" s="18" t="s">
        <v>6233</v>
      </c>
      <c r="H1705" s="18"/>
      <c r="I1705" s="24">
        <v>8.5334913739E10</v>
      </c>
      <c r="J1705" s="18" t="s">
        <v>6234</v>
      </c>
      <c r="K1705" s="18"/>
      <c r="L1705" s="18" t="s">
        <v>1681</v>
      </c>
    </row>
    <row r="1706">
      <c r="A1706" s="18" t="s">
        <v>6235</v>
      </c>
      <c r="B1706" s="18" t="s">
        <v>791</v>
      </c>
      <c r="C1706" s="18" t="s">
        <v>6236</v>
      </c>
      <c r="D1706" s="18"/>
      <c r="E1706" s="24">
        <v>8.1335428544E10</v>
      </c>
      <c r="F1706" s="24">
        <v>1.0</v>
      </c>
      <c r="G1706" s="18" t="s">
        <v>6236</v>
      </c>
      <c r="H1706" s="18"/>
      <c r="I1706" s="24">
        <v>8.1335428544E10</v>
      </c>
      <c r="J1706" s="18" t="s">
        <v>6237</v>
      </c>
      <c r="K1706" s="18"/>
      <c r="L1706" s="18" t="s">
        <v>2237</v>
      </c>
    </row>
    <row r="1707">
      <c r="A1707" s="18" t="s">
        <v>6239</v>
      </c>
      <c r="B1707" s="18" t="s">
        <v>791</v>
      </c>
      <c r="C1707" s="18" t="s">
        <v>6240</v>
      </c>
      <c r="D1707" s="18" t="s">
        <v>2025</v>
      </c>
      <c r="E1707" s="24">
        <v>8.2338729362E10</v>
      </c>
      <c r="F1707" s="24">
        <v>1.0</v>
      </c>
      <c r="G1707" s="18" t="s">
        <v>6240</v>
      </c>
      <c r="H1707" s="18" t="s">
        <v>2025</v>
      </c>
      <c r="I1707" s="24">
        <v>8.2338729362E10</v>
      </c>
      <c r="J1707" s="18" t="s">
        <v>6241</v>
      </c>
      <c r="K1707" s="24">
        <v>0.0</v>
      </c>
      <c r="L1707" s="18" t="s">
        <v>6242</v>
      </c>
    </row>
    <row r="1708">
      <c r="A1708" s="18" t="s">
        <v>6244</v>
      </c>
      <c r="B1708" s="18" t="s">
        <v>791</v>
      </c>
      <c r="C1708" s="18" t="s">
        <v>6245</v>
      </c>
      <c r="D1708" s="18"/>
      <c r="E1708" s="24">
        <v>8.5708931793E10</v>
      </c>
      <c r="F1708" s="24">
        <v>1.0</v>
      </c>
      <c r="G1708" s="18" t="s">
        <v>6245</v>
      </c>
      <c r="H1708" s="18"/>
      <c r="I1708" s="24">
        <v>8.5708931793E10</v>
      </c>
      <c r="J1708" s="18" t="s">
        <v>4435</v>
      </c>
      <c r="K1708" s="18"/>
      <c r="L1708" s="18" t="s">
        <v>4465</v>
      </c>
    </row>
    <row r="1709">
      <c r="A1709" s="18" t="s">
        <v>6246</v>
      </c>
      <c r="B1709" s="18" t="s">
        <v>791</v>
      </c>
      <c r="C1709" s="18" t="s">
        <v>6247</v>
      </c>
      <c r="D1709" s="18"/>
      <c r="E1709" s="24">
        <v>8.2334467939E10</v>
      </c>
      <c r="F1709" s="24">
        <v>1.0</v>
      </c>
      <c r="G1709" s="18" t="s">
        <v>6247</v>
      </c>
      <c r="H1709" s="18"/>
      <c r="I1709" s="24">
        <v>8.2334467939E10</v>
      </c>
      <c r="J1709" s="18" t="s">
        <v>6248</v>
      </c>
      <c r="K1709" s="18"/>
      <c r="L1709" s="18" t="s">
        <v>1503</v>
      </c>
    </row>
    <row r="1710">
      <c r="A1710" s="18" t="s">
        <v>6249</v>
      </c>
      <c r="B1710" s="18" t="s">
        <v>791</v>
      </c>
      <c r="C1710" s="18" t="s">
        <v>6247</v>
      </c>
      <c r="D1710" s="18"/>
      <c r="E1710" s="24">
        <v>8.1335669244E10</v>
      </c>
      <c r="F1710" s="24">
        <v>1.0</v>
      </c>
      <c r="G1710" s="18" t="s">
        <v>6247</v>
      </c>
      <c r="H1710" s="18"/>
      <c r="I1710" s="24">
        <v>8.1335669244E10</v>
      </c>
      <c r="J1710" s="18" t="s">
        <v>6250</v>
      </c>
      <c r="K1710" s="18"/>
      <c r="L1710" s="18" t="s">
        <v>6251</v>
      </c>
    </row>
    <row r="1711">
      <c r="A1711" s="18" t="s">
        <v>6252</v>
      </c>
      <c r="B1711" s="18" t="s">
        <v>791</v>
      </c>
      <c r="C1711" s="18" t="s">
        <v>6253</v>
      </c>
      <c r="D1711" s="18"/>
      <c r="E1711" s="24">
        <v>8.1334041615E10</v>
      </c>
      <c r="F1711" s="24">
        <v>1.0</v>
      </c>
      <c r="G1711" s="18" t="s">
        <v>6253</v>
      </c>
      <c r="H1711" s="18"/>
      <c r="I1711" s="24">
        <v>8.1334041615E10</v>
      </c>
      <c r="J1711" s="18" t="s">
        <v>6254</v>
      </c>
      <c r="K1711" s="18"/>
      <c r="L1711" s="18" t="s">
        <v>5573</v>
      </c>
    </row>
    <row r="1712">
      <c r="A1712" s="18" t="s">
        <v>6255</v>
      </c>
      <c r="B1712" s="18" t="s">
        <v>791</v>
      </c>
      <c r="C1712" s="18" t="s">
        <v>6256</v>
      </c>
      <c r="D1712" s="18"/>
      <c r="E1712" s="24">
        <v>8.5258006684E10</v>
      </c>
      <c r="F1712" s="24">
        <v>1.0</v>
      </c>
      <c r="G1712" s="18" t="s">
        <v>6256</v>
      </c>
      <c r="H1712" s="18"/>
      <c r="I1712" s="24">
        <v>8.5258006684E10</v>
      </c>
      <c r="J1712" s="18" t="s">
        <v>6257</v>
      </c>
      <c r="K1712" s="18"/>
      <c r="L1712" s="18" t="s">
        <v>4944</v>
      </c>
    </row>
    <row r="1713">
      <c r="A1713" s="18" t="s">
        <v>6258</v>
      </c>
      <c r="B1713" s="18" t="s">
        <v>791</v>
      </c>
      <c r="C1713" s="18" t="s">
        <v>6259</v>
      </c>
      <c r="D1713" s="18"/>
      <c r="E1713" s="24">
        <v>8.1234203007E10</v>
      </c>
      <c r="F1713" s="24">
        <v>1.0</v>
      </c>
      <c r="G1713" s="18" t="s">
        <v>6259</v>
      </c>
      <c r="H1713" s="18"/>
      <c r="I1713" s="24">
        <v>8.1234203007E10</v>
      </c>
      <c r="J1713" s="18" t="s">
        <v>6260</v>
      </c>
      <c r="K1713" s="18"/>
      <c r="L1713" s="18" t="s">
        <v>2098</v>
      </c>
    </row>
    <row r="1714">
      <c r="A1714" s="18" t="s">
        <v>6261</v>
      </c>
      <c r="B1714" s="18" t="s">
        <v>791</v>
      </c>
      <c r="C1714" s="18" t="s">
        <v>6262</v>
      </c>
      <c r="D1714" s="18"/>
      <c r="E1714" s="24">
        <v>8.2143633962E10</v>
      </c>
      <c r="F1714" s="24">
        <v>1.0</v>
      </c>
      <c r="G1714" s="18" t="s">
        <v>6262</v>
      </c>
      <c r="H1714" s="18"/>
      <c r="I1714" s="24">
        <v>8.2143633962E10</v>
      </c>
      <c r="J1714" s="18" t="s">
        <v>6263</v>
      </c>
      <c r="K1714" s="18"/>
      <c r="L1714" s="18" t="s">
        <v>6264</v>
      </c>
    </row>
    <row r="1715">
      <c r="A1715" s="18" t="s">
        <v>6265</v>
      </c>
      <c r="B1715" s="18" t="s">
        <v>791</v>
      </c>
      <c r="C1715" s="18" t="s">
        <v>6262</v>
      </c>
      <c r="D1715" s="18"/>
      <c r="E1715" s="24">
        <v>8.2230460603E10</v>
      </c>
      <c r="F1715" s="24">
        <v>1.0</v>
      </c>
      <c r="G1715" s="18" t="s">
        <v>6262</v>
      </c>
      <c r="H1715" s="18"/>
      <c r="I1715" s="24">
        <v>8.2230460603E10</v>
      </c>
      <c r="J1715" s="18" t="s">
        <v>6266</v>
      </c>
      <c r="K1715" s="18"/>
      <c r="L1715" s="18" t="s">
        <v>6194</v>
      </c>
    </row>
    <row r="1716">
      <c r="A1716" s="18" t="s">
        <v>6267</v>
      </c>
      <c r="B1716" s="18" t="s">
        <v>791</v>
      </c>
      <c r="C1716" s="18" t="s">
        <v>6269</v>
      </c>
      <c r="D1716" s="18"/>
      <c r="E1716" s="24">
        <v>8.1336721441E10</v>
      </c>
      <c r="F1716" s="24">
        <v>1.0</v>
      </c>
      <c r="G1716" s="18" t="s">
        <v>6269</v>
      </c>
      <c r="H1716" s="18"/>
      <c r="I1716" s="24">
        <v>8.1336721441E10</v>
      </c>
      <c r="J1716" s="18" t="s">
        <v>6270</v>
      </c>
      <c r="K1716" s="18"/>
      <c r="L1716" s="18" t="s">
        <v>5286</v>
      </c>
    </row>
    <row r="1717">
      <c r="A1717" s="18" t="s">
        <v>6271</v>
      </c>
      <c r="B1717" s="18" t="s">
        <v>791</v>
      </c>
      <c r="C1717" s="18" t="s">
        <v>6272</v>
      </c>
      <c r="D1717" s="18"/>
      <c r="E1717" s="24">
        <v>8.133598367E10</v>
      </c>
      <c r="F1717" s="24">
        <v>1.0</v>
      </c>
      <c r="G1717" s="18" t="s">
        <v>6272</v>
      </c>
      <c r="H1717" s="18"/>
      <c r="I1717" s="24">
        <v>8.133598367E10</v>
      </c>
      <c r="J1717" s="18" t="s">
        <v>6273</v>
      </c>
      <c r="K1717" s="18"/>
      <c r="L1717" s="18" t="s">
        <v>1623</v>
      </c>
    </row>
    <row r="1718">
      <c r="A1718" s="18" t="s">
        <v>6274</v>
      </c>
      <c r="B1718" s="18" t="s">
        <v>791</v>
      </c>
      <c r="C1718" s="18" t="s">
        <v>6275</v>
      </c>
      <c r="D1718" s="18"/>
      <c r="E1718" s="24">
        <v>8.21310086E10</v>
      </c>
      <c r="F1718" s="24">
        <v>1.0</v>
      </c>
      <c r="G1718" s="18" t="s">
        <v>6275</v>
      </c>
      <c r="H1718" s="18"/>
      <c r="I1718" s="24">
        <v>8.21310086E10</v>
      </c>
      <c r="J1718" s="18" t="s">
        <v>6276</v>
      </c>
      <c r="K1718" s="18"/>
      <c r="L1718" s="18" t="s">
        <v>2042</v>
      </c>
    </row>
    <row r="1719">
      <c r="A1719" s="18" t="s">
        <v>6277</v>
      </c>
      <c r="B1719" s="18" t="s">
        <v>791</v>
      </c>
      <c r="C1719" s="18" t="s">
        <v>6278</v>
      </c>
      <c r="D1719" s="18"/>
      <c r="E1719" s="24">
        <v>8.1335760149E10</v>
      </c>
      <c r="F1719" s="24">
        <v>1.0</v>
      </c>
      <c r="G1719" s="18" t="s">
        <v>6278</v>
      </c>
      <c r="H1719" s="18"/>
      <c r="I1719" s="24">
        <v>8.1335760149E10</v>
      </c>
      <c r="J1719" s="18" t="s">
        <v>5639</v>
      </c>
      <c r="K1719" s="18"/>
      <c r="L1719" s="18" t="s">
        <v>2458</v>
      </c>
    </row>
    <row r="1720">
      <c r="A1720" s="18" t="s">
        <v>6279</v>
      </c>
      <c r="B1720" s="18" t="s">
        <v>791</v>
      </c>
      <c r="C1720" s="18" t="s">
        <v>6280</v>
      </c>
      <c r="D1720" s="18"/>
      <c r="E1720" s="24">
        <v>8.5235782242E10</v>
      </c>
      <c r="F1720" s="24">
        <v>1.0</v>
      </c>
      <c r="G1720" s="18" t="s">
        <v>6280</v>
      </c>
      <c r="H1720" s="18"/>
      <c r="I1720" s="24">
        <v>8.5235782242E10</v>
      </c>
      <c r="J1720" s="18" t="s">
        <v>6281</v>
      </c>
      <c r="K1720" s="18"/>
      <c r="L1720" s="18" t="s">
        <v>3286</v>
      </c>
    </row>
    <row r="1721">
      <c r="A1721" s="18" t="s">
        <v>6282</v>
      </c>
      <c r="B1721" s="18" t="s">
        <v>791</v>
      </c>
      <c r="C1721" s="18" t="s">
        <v>6283</v>
      </c>
      <c r="D1721" s="18"/>
      <c r="E1721" s="24">
        <v>8.5259224597E10</v>
      </c>
      <c r="F1721" s="24">
        <v>1.0</v>
      </c>
      <c r="G1721" s="18" t="s">
        <v>6283</v>
      </c>
      <c r="H1721" s="18"/>
      <c r="I1721" s="24">
        <v>8.5259224597E10</v>
      </c>
      <c r="J1721" s="18" t="s">
        <v>6284</v>
      </c>
      <c r="K1721" s="18"/>
      <c r="L1721" s="18" t="s">
        <v>3137</v>
      </c>
    </row>
    <row r="1722">
      <c r="A1722" s="18" t="s">
        <v>6285</v>
      </c>
      <c r="B1722" s="18" t="s">
        <v>791</v>
      </c>
      <c r="C1722" s="18" t="s">
        <v>6286</v>
      </c>
      <c r="D1722" s="18"/>
      <c r="E1722" s="24">
        <v>8.5649010902E10</v>
      </c>
      <c r="F1722" s="24">
        <v>1.0</v>
      </c>
      <c r="G1722" s="18" t="s">
        <v>6286</v>
      </c>
      <c r="H1722" s="18"/>
      <c r="I1722" s="24">
        <v>8.5649010902E10</v>
      </c>
      <c r="J1722" s="18" t="s">
        <v>6287</v>
      </c>
      <c r="K1722" s="18"/>
      <c r="L1722" s="18" t="s">
        <v>6288</v>
      </c>
    </row>
    <row r="1723">
      <c r="A1723" s="18" t="s">
        <v>6289</v>
      </c>
      <c r="B1723" s="18" t="s">
        <v>791</v>
      </c>
      <c r="C1723" s="18" t="s">
        <v>6290</v>
      </c>
      <c r="D1723" s="18"/>
      <c r="E1723" s="24">
        <v>8.1311827844E10</v>
      </c>
      <c r="F1723" s="24">
        <v>1.0</v>
      </c>
      <c r="G1723" s="18" t="s">
        <v>6290</v>
      </c>
      <c r="H1723" s="18"/>
      <c r="I1723" s="24">
        <v>8.1311827844E10</v>
      </c>
      <c r="J1723" s="18" t="s">
        <v>5689</v>
      </c>
      <c r="K1723" s="18"/>
      <c r="L1723" s="18" t="s">
        <v>1681</v>
      </c>
    </row>
    <row r="1724">
      <c r="A1724" s="18" t="s">
        <v>6291</v>
      </c>
      <c r="B1724" s="18" t="s">
        <v>791</v>
      </c>
      <c r="C1724" s="18" t="s">
        <v>6290</v>
      </c>
      <c r="D1724" s="18"/>
      <c r="E1724" s="24">
        <v>8.2329249752E10</v>
      </c>
      <c r="F1724" s="24">
        <v>1.0</v>
      </c>
      <c r="G1724" s="18" t="s">
        <v>6290</v>
      </c>
      <c r="H1724" s="18"/>
      <c r="I1724" s="24">
        <v>8.2329249752E10</v>
      </c>
      <c r="J1724" s="18" t="s">
        <v>6293</v>
      </c>
      <c r="K1724" s="18"/>
      <c r="L1724" s="18" t="s">
        <v>1503</v>
      </c>
    </row>
    <row r="1725">
      <c r="A1725" s="18" t="s">
        <v>6294</v>
      </c>
      <c r="B1725" s="18" t="s">
        <v>791</v>
      </c>
      <c r="C1725" s="18" t="s">
        <v>6295</v>
      </c>
      <c r="D1725" s="18"/>
      <c r="E1725" s="24">
        <v>8.5649315581E10</v>
      </c>
      <c r="F1725" s="24">
        <v>1.0</v>
      </c>
      <c r="G1725" s="18" t="s">
        <v>6295</v>
      </c>
      <c r="H1725" s="18"/>
      <c r="I1725" s="24">
        <v>8.5649315581E10</v>
      </c>
      <c r="J1725" s="18" t="s">
        <v>6296</v>
      </c>
      <c r="K1725" s="18"/>
      <c r="L1725" s="18" t="s">
        <v>3863</v>
      </c>
    </row>
    <row r="1726">
      <c r="A1726" s="18" t="s">
        <v>6297</v>
      </c>
      <c r="B1726" s="18" t="s">
        <v>791</v>
      </c>
      <c r="C1726" s="18" t="s">
        <v>6298</v>
      </c>
      <c r="D1726" s="18"/>
      <c r="E1726" s="24">
        <v>8.1234251884E10</v>
      </c>
      <c r="F1726" s="24">
        <v>1.0</v>
      </c>
      <c r="G1726" s="18" t="s">
        <v>6298</v>
      </c>
      <c r="H1726" s="18"/>
      <c r="I1726" s="24">
        <v>8.1234251884E10</v>
      </c>
      <c r="J1726" s="18" t="s">
        <v>6299</v>
      </c>
      <c r="K1726" s="18"/>
      <c r="L1726" s="18" t="s">
        <v>5046</v>
      </c>
    </row>
    <row r="1727">
      <c r="A1727" s="18" t="s">
        <v>6300</v>
      </c>
      <c r="B1727" s="18" t="s">
        <v>791</v>
      </c>
      <c r="C1727" s="18" t="s">
        <v>6301</v>
      </c>
      <c r="D1727" s="18"/>
      <c r="E1727" s="24">
        <v>8.5791184735E10</v>
      </c>
      <c r="F1727" s="24">
        <v>1.0</v>
      </c>
      <c r="G1727" s="18" t="s">
        <v>6301</v>
      </c>
      <c r="H1727" s="18"/>
      <c r="I1727" s="24">
        <v>8.5791184735E10</v>
      </c>
      <c r="J1727" s="18" t="s">
        <v>6302</v>
      </c>
      <c r="K1727" s="18"/>
      <c r="L1727" s="18" t="s">
        <v>2559</v>
      </c>
    </row>
    <row r="1728">
      <c r="A1728" s="18" t="s">
        <v>6303</v>
      </c>
      <c r="B1728" s="18" t="s">
        <v>791</v>
      </c>
      <c r="C1728" s="18" t="s">
        <v>6304</v>
      </c>
      <c r="D1728" s="18"/>
      <c r="E1728" s="24">
        <v>8.2337334958E10</v>
      </c>
      <c r="F1728" s="24">
        <v>1.0</v>
      </c>
      <c r="G1728" s="18" t="s">
        <v>6304</v>
      </c>
      <c r="H1728" s="18"/>
      <c r="I1728" s="24">
        <v>8.2337334958E10</v>
      </c>
      <c r="J1728" s="18" t="s">
        <v>6305</v>
      </c>
      <c r="K1728" s="18"/>
      <c r="L1728" s="18" t="s">
        <v>6306</v>
      </c>
    </row>
    <row r="1729">
      <c r="A1729" s="18" t="s">
        <v>6307</v>
      </c>
      <c r="B1729" s="18" t="s">
        <v>791</v>
      </c>
      <c r="C1729" s="18" t="s">
        <v>6308</v>
      </c>
      <c r="D1729" s="18"/>
      <c r="E1729" s="24">
        <v>8.5856842353E10</v>
      </c>
      <c r="F1729" s="24">
        <v>1.0</v>
      </c>
      <c r="G1729" s="18" t="s">
        <v>6308</v>
      </c>
      <c r="H1729" s="18"/>
      <c r="I1729" s="24">
        <v>8.5856842353E10</v>
      </c>
      <c r="J1729" s="18" t="s">
        <v>6309</v>
      </c>
      <c r="K1729" s="18"/>
      <c r="L1729" s="18" t="s">
        <v>2860</v>
      </c>
    </row>
    <row r="1730">
      <c r="A1730" s="18" t="s">
        <v>6310</v>
      </c>
      <c r="B1730" s="18" t="s">
        <v>791</v>
      </c>
      <c r="C1730" s="18" t="s">
        <v>6308</v>
      </c>
      <c r="D1730" s="18"/>
      <c r="E1730" s="24">
        <v>8.5736736496E10</v>
      </c>
      <c r="F1730" s="24">
        <v>1.0</v>
      </c>
      <c r="G1730" s="18" t="s">
        <v>6308</v>
      </c>
      <c r="H1730" s="18"/>
      <c r="I1730" s="24">
        <v>8.5736736496E10</v>
      </c>
      <c r="J1730" s="18" t="s">
        <v>6311</v>
      </c>
      <c r="K1730" s="18"/>
      <c r="L1730" s="18" t="s">
        <v>2513</v>
      </c>
    </row>
    <row r="1731">
      <c r="A1731" s="18" t="s">
        <v>6312</v>
      </c>
      <c r="B1731" s="18" t="s">
        <v>791</v>
      </c>
      <c r="C1731" s="18" t="s">
        <v>6313</v>
      </c>
      <c r="D1731" s="18"/>
      <c r="E1731" s="24">
        <v>8.1335381021E10</v>
      </c>
      <c r="F1731" s="24">
        <v>1.0</v>
      </c>
      <c r="G1731" s="18" t="s">
        <v>6313</v>
      </c>
      <c r="H1731" s="18"/>
      <c r="I1731" s="24">
        <v>8.1335381021E10</v>
      </c>
      <c r="J1731" s="18" t="s">
        <v>6314</v>
      </c>
      <c r="K1731" s="18"/>
      <c r="L1731" s="18" t="s">
        <v>5442</v>
      </c>
    </row>
    <row r="1732">
      <c r="A1732" s="18" t="s">
        <v>1085</v>
      </c>
      <c r="B1732" s="18" t="s">
        <v>791</v>
      </c>
      <c r="C1732" s="18" t="s">
        <v>1087</v>
      </c>
      <c r="D1732" s="18" t="s">
        <v>1088</v>
      </c>
      <c r="E1732" s="24">
        <v>8.5259902795E10</v>
      </c>
      <c r="F1732" s="24">
        <v>1.0</v>
      </c>
      <c r="G1732" s="18" t="s">
        <v>1087</v>
      </c>
      <c r="H1732" s="18" t="s">
        <v>1088</v>
      </c>
      <c r="I1732" s="24">
        <v>8.5259902795E10</v>
      </c>
      <c r="J1732" s="18" t="s">
        <v>1086</v>
      </c>
      <c r="K1732" s="18" t="s">
        <v>1086</v>
      </c>
      <c r="L1732" s="18" t="s">
        <v>1089</v>
      </c>
    </row>
    <row r="1733">
      <c r="A1733" s="18" t="s">
        <v>6315</v>
      </c>
      <c r="B1733" s="18" t="s">
        <v>791</v>
      </c>
      <c r="C1733" s="18" t="s">
        <v>6316</v>
      </c>
      <c r="D1733" s="18"/>
      <c r="E1733" s="24">
        <v>8.5649010902E10</v>
      </c>
      <c r="F1733" s="24">
        <v>1.0</v>
      </c>
      <c r="G1733" s="18" t="s">
        <v>6316</v>
      </c>
      <c r="H1733" s="18"/>
      <c r="I1733" s="24">
        <v>8.5649010902E10</v>
      </c>
      <c r="J1733" s="18" t="s">
        <v>6317</v>
      </c>
      <c r="K1733" s="18"/>
      <c r="L1733" s="18" t="s">
        <v>6288</v>
      </c>
    </row>
    <row r="1734">
      <c r="A1734" s="18" t="s">
        <v>6318</v>
      </c>
      <c r="B1734" s="18" t="s">
        <v>791</v>
      </c>
      <c r="C1734" s="18" t="s">
        <v>6319</v>
      </c>
      <c r="D1734" s="18"/>
      <c r="E1734" s="24">
        <v>8.5816035703E10</v>
      </c>
      <c r="F1734" s="24">
        <v>1.0</v>
      </c>
      <c r="G1734" s="18" t="s">
        <v>6319</v>
      </c>
      <c r="H1734" s="18"/>
      <c r="I1734" s="24">
        <v>8.5816035703E10</v>
      </c>
      <c r="J1734" s="18" t="s">
        <v>6320</v>
      </c>
      <c r="K1734" s="18"/>
      <c r="L1734" s="18" t="s">
        <v>6321</v>
      </c>
    </row>
    <row r="1735">
      <c r="A1735" s="18" t="s">
        <v>6322</v>
      </c>
      <c r="B1735" s="18" t="s">
        <v>791</v>
      </c>
      <c r="C1735" s="18" t="s">
        <v>6323</v>
      </c>
      <c r="D1735" s="18"/>
      <c r="E1735" s="24">
        <v>8.579036555E10</v>
      </c>
      <c r="F1735" s="24">
        <v>1.0</v>
      </c>
      <c r="G1735" s="18" t="s">
        <v>6323</v>
      </c>
      <c r="H1735" s="18"/>
      <c r="I1735" s="24">
        <v>8.579036555E10</v>
      </c>
      <c r="J1735" s="18" t="s">
        <v>6324</v>
      </c>
      <c r="K1735" s="18"/>
      <c r="L1735" s="18" t="s">
        <v>6194</v>
      </c>
    </row>
    <row r="1736">
      <c r="A1736" s="18" t="s">
        <v>6325</v>
      </c>
      <c r="B1736" s="18" t="s">
        <v>791</v>
      </c>
      <c r="C1736" s="18" t="s">
        <v>6326</v>
      </c>
      <c r="D1736" s="18"/>
      <c r="E1736" s="24">
        <v>8.5235630305E10</v>
      </c>
      <c r="F1736" s="24">
        <v>1.0</v>
      </c>
      <c r="G1736" s="18" t="s">
        <v>6326</v>
      </c>
      <c r="H1736" s="18"/>
      <c r="I1736" s="24">
        <v>8.5235630305E10</v>
      </c>
      <c r="J1736" s="18" t="s">
        <v>6327</v>
      </c>
      <c r="K1736" s="18"/>
      <c r="L1736" s="18" t="s">
        <v>1511</v>
      </c>
    </row>
    <row r="1737">
      <c r="A1737" s="18" t="s">
        <v>6328</v>
      </c>
      <c r="B1737" s="18" t="s">
        <v>791</v>
      </c>
      <c r="C1737" s="18" t="s">
        <v>6329</v>
      </c>
      <c r="D1737" s="18"/>
      <c r="E1737" s="24">
        <v>8.5779150694E10</v>
      </c>
      <c r="F1737" s="24">
        <v>1.0</v>
      </c>
      <c r="G1737" s="18" t="s">
        <v>6329</v>
      </c>
      <c r="H1737" s="18"/>
      <c r="I1737" s="24">
        <v>8.5779150694E10</v>
      </c>
      <c r="J1737" s="18" t="s">
        <v>6330</v>
      </c>
      <c r="K1737" s="18"/>
      <c r="L1737" s="18" t="s">
        <v>1489</v>
      </c>
    </row>
    <row r="1738">
      <c r="A1738" s="18" t="s">
        <v>6331</v>
      </c>
      <c r="B1738" s="18" t="s">
        <v>791</v>
      </c>
      <c r="C1738" s="18" t="s">
        <v>1333</v>
      </c>
      <c r="D1738" s="18"/>
      <c r="E1738" s="18"/>
      <c r="F1738" s="24">
        <v>1.0</v>
      </c>
      <c r="G1738" s="18" t="s">
        <v>1333</v>
      </c>
      <c r="H1738" s="18"/>
      <c r="I1738" s="18"/>
      <c r="J1738" s="18" t="s">
        <v>6332</v>
      </c>
      <c r="K1738" s="18"/>
      <c r="L1738" s="18"/>
    </row>
    <row r="1739">
      <c r="A1739" s="18" t="s">
        <v>1331</v>
      </c>
      <c r="B1739" s="18" t="s">
        <v>791</v>
      </c>
      <c r="C1739" s="18" t="s">
        <v>1333</v>
      </c>
      <c r="D1739" s="18"/>
      <c r="E1739" s="24">
        <v>8.5784809735E10</v>
      </c>
      <c r="F1739" s="24">
        <v>1.0</v>
      </c>
      <c r="G1739" s="18" t="s">
        <v>1333</v>
      </c>
      <c r="H1739" s="18"/>
      <c r="I1739" s="24">
        <v>8.5784809735E10</v>
      </c>
      <c r="J1739" s="18" t="s">
        <v>1332</v>
      </c>
      <c r="K1739" s="18"/>
      <c r="L1739" s="18" t="s">
        <v>1315</v>
      </c>
    </row>
    <row r="1740">
      <c r="A1740" s="18" t="s">
        <v>6333</v>
      </c>
      <c r="B1740" s="18" t="s">
        <v>791</v>
      </c>
      <c r="C1740" s="18" t="s">
        <v>6334</v>
      </c>
      <c r="D1740" s="18"/>
      <c r="E1740" s="24">
        <v>8.2336770777E10</v>
      </c>
      <c r="F1740" s="24">
        <v>1.0</v>
      </c>
      <c r="G1740" s="18" t="s">
        <v>6334</v>
      </c>
      <c r="H1740" s="18"/>
      <c r="I1740" s="24">
        <v>8.2336770777E10</v>
      </c>
      <c r="J1740" s="18" t="s">
        <v>5121</v>
      </c>
      <c r="K1740" s="18"/>
      <c r="L1740" s="18" t="s">
        <v>1850</v>
      </c>
    </row>
    <row r="1741">
      <c r="A1741" s="18" t="s">
        <v>6335</v>
      </c>
      <c r="B1741" s="18" t="s">
        <v>791</v>
      </c>
      <c r="C1741" s="18" t="s">
        <v>6334</v>
      </c>
      <c r="D1741" s="18"/>
      <c r="E1741" s="24">
        <v>8.1359410878E10</v>
      </c>
      <c r="F1741" s="24">
        <v>1.0</v>
      </c>
      <c r="G1741" s="18" t="s">
        <v>6334</v>
      </c>
      <c r="H1741" s="18"/>
      <c r="I1741" s="24">
        <v>8.1359410878E10</v>
      </c>
      <c r="J1741" s="18" t="s">
        <v>6336</v>
      </c>
      <c r="K1741" s="18"/>
      <c r="L1741" s="18" t="s">
        <v>2843</v>
      </c>
    </row>
    <row r="1742">
      <c r="A1742" s="18" t="s">
        <v>6337</v>
      </c>
      <c r="B1742" s="18" t="s">
        <v>791</v>
      </c>
      <c r="C1742" s="18" t="s">
        <v>6338</v>
      </c>
      <c r="D1742" s="18"/>
      <c r="E1742" s="24">
        <v>8.2141533393E10</v>
      </c>
      <c r="F1742" s="24">
        <v>1.0</v>
      </c>
      <c r="G1742" s="18" t="s">
        <v>6338</v>
      </c>
      <c r="H1742" s="18"/>
      <c r="I1742" s="24">
        <v>8.2141533393E10</v>
      </c>
      <c r="J1742" s="18" t="s">
        <v>5538</v>
      </c>
      <c r="K1742" s="18"/>
      <c r="L1742" s="18" t="s">
        <v>1700</v>
      </c>
    </row>
    <row r="1743">
      <c r="A1743" s="18" t="s">
        <v>6340</v>
      </c>
      <c r="B1743" s="18" t="s">
        <v>791</v>
      </c>
      <c r="C1743" s="18" t="s">
        <v>6341</v>
      </c>
      <c r="D1743" s="18"/>
      <c r="E1743" s="24">
        <v>8.19732922E8</v>
      </c>
      <c r="F1743" s="24">
        <v>1.0</v>
      </c>
      <c r="G1743" s="18" t="s">
        <v>6341</v>
      </c>
      <c r="H1743" s="18"/>
      <c r="I1743" s="24">
        <v>8.19732922E8</v>
      </c>
      <c r="J1743" s="18" t="s">
        <v>6342</v>
      </c>
      <c r="K1743" s="18"/>
      <c r="L1743" s="18" t="s">
        <v>2189</v>
      </c>
    </row>
    <row r="1744">
      <c r="A1744" s="18" t="s">
        <v>6343</v>
      </c>
      <c r="B1744" s="18" t="s">
        <v>791</v>
      </c>
      <c r="C1744" s="18" t="s">
        <v>6344</v>
      </c>
      <c r="D1744" s="18"/>
      <c r="E1744" s="24">
        <v>8.5100341426E10</v>
      </c>
      <c r="F1744" s="24">
        <v>1.0</v>
      </c>
      <c r="G1744" s="18" t="s">
        <v>6344</v>
      </c>
      <c r="H1744" s="18"/>
      <c r="I1744" s="24">
        <v>8.5100341426E10</v>
      </c>
      <c r="J1744" s="18" t="s">
        <v>6346</v>
      </c>
      <c r="K1744" s="18"/>
      <c r="L1744" s="18" t="s">
        <v>3610</v>
      </c>
    </row>
    <row r="1745">
      <c r="A1745" s="18" t="s">
        <v>6347</v>
      </c>
      <c r="B1745" s="18" t="s">
        <v>791</v>
      </c>
      <c r="C1745" s="18" t="s">
        <v>6348</v>
      </c>
      <c r="D1745" s="18"/>
      <c r="E1745" s="24">
        <v>8.2132782503E10</v>
      </c>
      <c r="F1745" s="24">
        <v>1.0</v>
      </c>
      <c r="G1745" s="18" t="s">
        <v>6348</v>
      </c>
      <c r="H1745" s="18"/>
      <c r="I1745" s="24">
        <v>8.2132782503E10</v>
      </c>
      <c r="J1745" s="18" t="s">
        <v>6349</v>
      </c>
      <c r="K1745" s="18"/>
      <c r="L1745" s="18" t="s">
        <v>2118</v>
      </c>
    </row>
    <row r="1746">
      <c r="A1746" s="18" t="s">
        <v>6350</v>
      </c>
      <c r="B1746" s="18" t="s">
        <v>791</v>
      </c>
      <c r="C1746" s="18" t="s">
        <v>6351</v>
      </c>
      <c r="D1746" s="18"/>
      <c r="E1746" s="24">
        <v>8.5232934108E10</v>
      </c>
      <c r="F1746" s="24">
        <v>1.0</v>
      </c>
      <c r="G1746" s="18" t="s">
        <v>6351</v>
      </c>
      <c r="H1746" s="18"/>
      <c r="I1746" s="24">
        <v>8.5232934108E10</v>
      </c>
      <c r="J1746" s="18" t="s">
        <v>6352</v>
      </c>
      <c r="K1746" s="18"/>
      <c r="L1746" s="18" t="s">
        <v>2312</v>
      </c>
    </row>
    <row r="1747">
      <c r="A1747" s="18" t="s">
        <v>6353</v>
      </c>
      <c r="B1747" s="18" t="s">
        <v>791</v>
      </c>
      <c r="C1747" s="18" t="s">
        <v>6354</v>
      </c>
      <c r="D1747" s="18"/>
      <c r="E1747" s="24">
        <v>8.5607299568E10</v>
      </c>
      <c r="F1747" s="24">
        <v>1.0</v>
      </c>
      <c r="G1747" s="18" t="s">
        <v>6354</v>
      </c>
      <c r="H1747" s="18"/>
      <c r="I1747" s="24">
        <v>8.5607299568E10</v>
      </c>
      <c r="J1747" s="18" t="s">
        <v>6355</v>
      </c>
      <c r="K1747" s="18"/>
      <c r="L1747" s="18" t="s">
        <v>3263</v>
      </c>
    </row>
    <row r="1748">
      <c r="A1748" s="18" t="s">
        <v>6356</v>
      </c>
      <c r="B1748" s="18" t="s">
        <v>791</v>
      </c>
      <c r="C1748" s="18" t="s">
        <v>6351</v>
      </c>
      <c r="D1748" s="18"/>
      <c r="E1748" s="24">
        <v>8.2332492405E10</v>
      </c>
      <c r="F1748" s="24">
        <v>1.0</v>
      </c>
      <c r="G1748" s="18" t="s">
        <v>6351</v>
      </c>
      <c r="H1748" s="18"/>
      <c r="I1748" s="24">
        <v>8.2332492405E10</v>
      </c>
      <c r="J1748" s="18" t="s">
        <v>6357</v>
      </c>
      <c r="K1748" s="18"/>
      <c r="L1748" s="18" t="s">
        <v>6358</v>
      </c>
    </row>
    <row r="1749">
      <c r="A1749" s="18" t="s">
        <v>6359</v>
      </c>
      <c r="B1749" s="18" t="s">
        <v>791</v>
      </c>
      <c r="C1749" s="18" t="s">
        <v>6354</v>
      </c>
      <c r="D1749" s="18"/>
      <c r="E1749" s="24">
        <v>8.2336770777E10</v>
      </c>
      <c r="F1749" s="24">
        <v>1.0</v>
      </c>
      <c r="G1749" s="18" t="s">
        <v>6354</v>
      </c>
      <c r="H1749" s="18"/>
      <c r="I1749" s="24">
        <v>8.2336770777E10</v>
      </c>
      <c r="J1749" s="18" t="s">
        <v>6043</v>
      </c>
      <c r="K1749" s="18"/>
      <c r="L1749" s="18" t="s">
        <v>1850</v>
      </c>
    </row>
    <row r="1750">
      <c r="A1750" s="18" t="s">
        <v>6361</v>
      </c>
      <c r="B1750" s="18" t="s">
        <v>791</v>
      </c>
      <c r="C1750" s="18" t="s">
        <v>6354</v>
      </c>
      <c r="D1750" s="18"/>
      <c r="E1750" s="24">
        <v>8.5235180496E10</v>
      </c>
      <c r="F1750" s="24">
        <v>1.0</v>
      </c>
      <c r="G1750" s="18" t="s">
        <v>6354</v>
      </c>
      <c r="H1750" s="18"/>
      <c r="I1750" s="24">
        <v>8.5235180496E10</v>
      </c>
      <c r="J1750" s="18" t="s">
        <v>6362</v>
      </c>
      <c r="K1750" s="18"/>
      <c r="L1750" s="18" t="s">
        <v>1596</v>
      </c>
    </row>
    <row r="1751">
      <c r="A1751" s="18" t="s">
        <v>6363</v>
      </c>
      <c r="B1751" s="18" t="s">
        <v>791</v>
      </c>
      <c r="C1751" s="18" t="s">
        <v>6364</v>
      </c>
      <c r="D1751" s="18"/>
      <c r="E1751" s="24">
        <v>8.2336770777E10</v>
      </c>
      <c r="F1751" s="24">
        <v>1.0</v>
      </c>
      <c r="G1751" s="18" t="s">
        <v>6364</v>
      </c>
      <c r="H1751" s="18"/>
      <c r="I1751" s="24">
        <v>8.2336770777E10</v>
      </c>
      <c r="J1751" s="18" t="s">
        <v>5338</v>
      </c>
      <c r="K1751" s="18"/>
      <c r="L1751" s="18" t="s">
        <v>1850</v>
      </c>
    </row>
    <row r="1752">
      <c r="A1752" s="18" t="s">
        <v>6365</v>
      </c>
      <c r="B1752" s="18" t="s">
        <v>791</v>
      </c>
      <c r="C1752" s="18" t="s">
        <v>6366</v>
      </c>
      <c r="D1752" s="18"/>
      <c r="E1752" s="24">
        <v>8.214156551E10</v>
      </c>
      <c r="F1752" s="24">
        <v>1.0</v>
      </c>
      <c r="G1752" s="18" t="s">
        <v>6366</v>
      </c>
      <c r="H1752" s="18"/>
      <c r="I1752" s="24">
        <v>8.214156551E10</v>
      </c>
      <c r="J1752" s="18" t="s">
        <v>6367</v>
      </c>
      <c r="K1752" s="18"/>
      <c r="L1752" s="18" t="s">
        <v>1730</v>
      </c>
    </row>
    <row r="1753">
      <c r="A1753" s="18" t="s">
        <v>6368</v>
      </c>
      <c r="B1753" s="18" t="s">
        <v>791</v>
      </c>
      <c r="C1753" s="18" t="s">
        <v>6369</v>
      </c>
      <c r="D1753" s="18"/>
      <c r="E1753" s="24">
        <v>8.5806842179E10</v>
      </c>
      <c r="F1753" s="24">
        <v>1.0</v>
      </c>
      <c r="G1753" s="18" t="s">
        <v>6369</v>
      </c>
      <c r="H1753" s="18"/>
      <c r="I1753" s="24">
        <v>8.5806842179E10</v>
      </c>
      <c r="J1753" s="18" t="s">
        <v>5281</v>
      </c>
      <c r="K1753" s="18"/>
      <c r="L1753" s="18" t="s">
        <v>1850</v>
      </c>
    </row>
    <row r="1754">
      <c r="A1754" s="18" t="s">
        <v>6370</v>
      </c>
      <c r="B1754" s="18" t="s">
        <v>791</v>
      </c>
      <c r="C1754" s="18" t="s">
        <v>6371</v>
      </c>
      <c r="D1754" s="18"/>
      <c r="E1754" s="24">
        <v>8.5233685156E10</v>
      </c>
      <c r="F1754" s="24">
        <v>1.0</v>
      </c>
      <c r="G1754" s="18" t="s">
        <v>6371</v>
      </c>
      <c r="H1754" s="18"/>
      <c r="I1754" s="24">
        <v>8.5233685156E10</v>
      </c>
      <c r="J1754" s="18" t="s">
        <v>6373</v>
      </c>
      <c r="K1754" s="18"/>
      <c r="L1754" s="18" t="s">
        <v>5697</v>
      </c>
    </row>
    <row r="1755">
      <c r="A1755" s="18" t="s">
        <v>1053</v>
      </c>
      <c r="B1755" s="18" t="s">
        <v>791</v>
      </c>
      <c r="C1755" s="18" t="s">
        <v>1055</v>
      </c>
      <c r="D1755" s="18" t="s">
        <v>279</v>
      </c>
      <c r="E1755" s="24">
        <v>8.3119861215E10</v>
      </c>
      <c r="F1755" s="24">
        <v>1.0</v>
      </c>
      <c r="G1755" s="18" t="s">
        <v>1055</v>
      </c>
      <c r="H1755" s="18" t="s">
        <v>279</v>
      </c>
      <c r="I1755" s="24">
        <v>8.3119861215E10</v>
      </c>
      <c r="J1755" s="18" t="s">
        <v>1054</v>
      </c>
      <c r="K1755" s="18" t="s">
        <v>1054</v>
      </c>
      <c r="L1755" s="18" t="s">
        <v>1037</v>
      </c>
    </row>
    <row r="1756">
      <c r="A1756" s="18" t="s">
        <v>6374</v>
      </c>
      <c r="B1756" s="18" t="s">
        <v>791</v>
      </c>
      <c r="C1756" s="18" t="s">
        <v>6375</v>
      </c>
      <c r="D1756" s="18"/>
      <c r="E1756" s="24">
        <v>8.1217755213E10</v>
      </c>
      <c r="F1756" s="24">
        <v>1.0</v>
      </c>
      <c r="G1756" s="18" t="s">
        <v>6375</v>
      </c>
      <c r="H1756" s="18"/>
      <c r="I1756" s="24">
        <v>8.1217755213E10</v>
      </c>
      <c r="J1756" s="18" t="s">
        <v>6376</v>
      </c>
      <c r="K1756" s="18"/>
      <c r="L1756" s="18" t="s">
        <v>2213</v>
      </c>
    </row>
    <row r="1757">
      <c r="A1757" s="18" t="s">
        <v>6377</v>
      </c>
      <c r="B1757" s="18" t="s">
        <v>791</v>
      </c>
      <c r="C1757" s="18" t="s">
        <v>6378</v>
      </c>
      <c r="D1757" s="18"/>
      <c r="E1757" s="24">
        <v>8.5712708389E10</v>
      </c>
      <c r="F1757" s="24">
        <v>1.0</v>
      </c>
      <c r="G1757" s="18" t="s">
        <v>6378</v>
      </c>
      <c r="H1757" s="18"/>
      <c r="I1757" s="24">
        <v>8.5712708389E10</v>
      </c>
      <c r="J1757" s="18" t="s">
        <v>6379</v>
      </c>
      <c r="K1757" s="18"/>
      <c r="L1757" s="18" t="s">
        <v>3610</v>
      </c>
    </row>
    <row r="1758">
      <c r="A1758" s="18" t="s">
        <v>6381</v>
      </c>
      <c r="B1758" s="18" t="s">
        <v>791</v>
      </c>
      <c r="C1758" s="18" t="s">
        <v>6382</v>
      </c>
      <c r="D1758" s="18"/>
      <c r="E1758" s="24">
        <v>8.2143633962E10</v>
      </c>
      <c r="F1758" s="24">
        <v>1.0</v>
      </c>
      <c r="G1758" s="18" t="s">
        <v>6382</v>
      </c>
      <c r="H1758" s="18"/>
      <c r="I1758" s="24">
        <v>8.2143633962E10</v>
      </c>
      <c r="J1758" s="18" t="s">
        <v>6383</v>
      </c>
      <c r="K1758" s="18"/>
      <c r="L1758" s="18" t="s">
        <v>6171</v>
      </c>
    </row>
    <row r="1759">
      <c r="A1759" s="18" t="s">
        <v>6384</v>
      </c>
      <c r="B1759" s="18" t="s">
        <v>791</v>
      </c>
      <c r="C1759" s="18" t="s">
        <v>6385</v>
      </c>
      <c r="D1759" s="18"/>
      <c r="E1759" s="24">
        <v>8.5235792017E10</v>
      </c>
      <c r="F1759" s="24">
        <v>1.0</v>
      </c>
      <c r="G1759" s="18" t="s">
        <v>6385</v>
      </c>
      <c r="H1759" s="18"/>
      <c r="I1759" s="24">
        <v>8.5235792017E10</v>
      </c>
      <c r="J1759" s="18" t="s">
        <v>6386</v>
      </c>
      <c r="K1759" s="18"/>
      <c r="L1759" s="18" t="s">
        <v>5903</v>
      </c>
    </row>
    <row r="1760">
      <c r="A1760" s="18" t="s">
        <v>6387</v>
      </c>
      <c r="B1760" s="18" t="s">
        <v>791</v>
      </c>
      <c r="C1760" s="18" t="s">
        <v>6388</v>
      </c>
      <c r="D1760" s="18"/>
      <c r="E1760" s="24">
        <v>8.5336760229E10</v>
      </c>
      <c r="F1760" s="24">
        <v>1.0</v>
      </c>
      <c r="G1760" s="18" t="s">
        <v>6388</v>
      </c>
      <c r="H1760" s="18"/>
      <c r="I1760" s="24">
        <v>8.5336760229E10</v>
      </c>
      <c r="J1760" s="18" t="s">
        <v>6389</v>
      </c>
      <c r="K1760" s="18"/>
      <c r="L1760" s="18" t="s">
        <v>1722</v>
      </c>
    </row>
    <row r="1761">
      <c r="A1761" s="18" t="s">
        <v>6390</v>
      </c>
      <c r="B1761" s="18" t="s">
        <v>791</v>
      </c>
      <c r="C1761" s="18" t="s">
        <v>6391</v>
      </c>
      <c r="D1761" s="18"/>
      <c r="E1761" s="24">
        <v>8.5236049804E10</v>
      </c>
      <c r="F1761" s="24">
        <v>1.0</v>
      </c>
      <c r="G1761" s="18" t="s">
        <v>6391</v>
      </c>
      <c r="H1761" s="18"/>
      <c r="I1761" s="24">
        <v>8.5236049804E10</v>
      </c>
      <c r="J1761" s="18" t="s">
        <v>4444</v>
      </c>
      <c r="K1761" s="18"/>
      <c r="L1761" s="18" t="s">
        <v>4657</v>
      </c>
    </row>
    <row r="1762">
      <c r="A1762" s="18" t="s">
        <v>6392</v>
      </c>
      <c r="B1762" s="18" t="s">
        <v>791</v>
      </c>
      <c r="C1762" s="18" t="s">
        <v>6393</v>
      </c>
      <c r="D1762" s="18"/>
      <c r="E1762" s="24">
        <v>8.1335634747E10</v>
      </c>
      <c r="F1762" s="24">
        <v>1.0</v>
      </c>
      <c r="G1762" s="18" t="s">
        <v>6393</v>
      </c>
      <c r="H1762" s="18"/>
      <c r="I1762" s="24">
        <v>8.1335634747E10</v>
      </c>
      <c r="J1762" s="18" t="s">
        <v>6394</v>
      </c>
      <c r="K1762" s="18"/>
      <c r="L1762" s="18" t="s">
        <v>6395</v>
      </c>
    </row>
    <row r="1763">
      <c r="A1763" s="18" t="s">
        <v>6396</v>
      </c>
      <c r="B1763" s="18" t="s">
        <v>791</v>
      </c>
      <c r="C1763" s="18" t="s">
        <v>6397</v>
      </c>
      <c r="D1763" s="18"/>
      <c r="E1763" s="24">
        <v>8.5856163439E10</v>
      </c>
      <c r="F1763" s="24">
        <v>1.0</v>
      </c>
      <c r="G1763" s="18" t="s">
        <v>6397</v>
      </c>
      <c r="H1763" s="18"/>
      <c r="I1763" s="24">
        <v>8.5856163439E10</v>
      </c>
      <c r="J1763" s="18" t="s">
        <v>6398</v>
      </c>
      <c r="K1763" s="18"/>
      <c r="L1763" s="18" t="s">
        <v>1466</v>
      </c>
    </row>
    <row r="1764">
      <c r="A1764" s="18" t="s">
        <v>6399</v>
      </c>
      <c r="B1764" s="18" t="s">
        <v>791</v>
      </c>
      <c r="C1764" s="18" t="s">
        <v>6400</v>
      </c>
      <c r="D1764" s="18"/>
      <c r="E1764" s="24">
        <v>8.5236087879E10</v>
      </c>
      <c r="F1764" s="24">
        <v>1.0</v>
      </c>
      <c r="G1764" s="18" t="s">
        <v>6400</v>
      </c>
      <c r="H1764" s="18"/>
      <c r="I1764" s="24">
        <v>8.5236087879E10</v>
      </c>
      <c r="J1764" s="18" t="s">
        <v>6401</v>
      </c>
      <c r="K1764" s="18"/>
      <c r="L1764" s="18" t="s">
        <v>6402</v>
      </c>
    </row>
    <row r="1765">
      <c r="A1765" s="18" t="s">
        <v>6403</v>
      </c>
      <c r="B1765" s="18" t="s">
        <v>791</v>
      </c>
      <c r="C1765" s="18" t="s">
        <v>6400</v>
      </c>
      <c r="D1765" s="18"/>
      <c r="E1765" s="24">
        <v>8.2338186836E10</v>
      </c>
      <c r="F1765" s="24">
        <v>1.0</v>
      </c>
      <c r="G1765" s="18" t="s">
        <v>6400</v>
      </c>
      <c r="H1765" s="18"/>
      <c r="I1765" s="24">
        <v>8.2338186836E10</v>
      </c>
      <c r="J1765" s="18" t="s">
        <v>6404</v>
      </c>
      <c r="K1765" s="18"/>
      <c r="L1765" s="18" t="s">
        <v>6405</v>
      </c>
    </row>
    <row r="1766">
      <c r="A1766" s="18" t="s">
        <v>6406</v>
      </c>
      <c r="B1766" s="18" t="s">
        <v>791</v>
      </c>
      <c r="C1766" s="18" t="s">
        <v>6400</v>
      </c>
      <c r="D1766" s="18"/>
      <c r="E1766" s="24">
        <v>8.5853471211E10</v>
      </c>
      <c r="F1766" s="24">
        <v>1.0</v>
      </c>
      <c r="G1766" s="18" t="s">
        <v>6400</v>
      </c>
      <c r="H1766" s="18"/>
      <c r="I1766" s="24">
        <v>8.5853471211E10</v>
      </c>
      <c r="J1766" s="18" t="s">
        <v>6407</v>
      </c>
      <c r="K1766" s="18"/>
      <c r="L1766" s="18" t="s">
        <v>2132</v>
      </c>
    </row>
    <row r="1767">
      <c r="A1767" s="18" t="s">
        <v>6408</v>
      </c>
      <c r="B1767" s="18" t="s">
        <v>791</v>
      </c>
      <c r="C1767" s="18" t="s">
        <v>6409</v>
      </c>
      <c r="D1767" s="18"/>
      <c r="E1767" s="24">
        <v>8.5335370649E10</v>
      </c>
      <c r="F1767" s="24">
        <v>1.0</v>
      </c>
      <c r="G1767" s="18" t="s">
        <v>6409</v>
      </c>
      <c r="H1767" s="18"/>
      <c r="I1767" s="24">
        <v>8.5335370649E10</v>
      </c>
      <c r="J1767" s="18" t="s">
        <v>6410</v>
      </c>
      <c r="K1767" s="18"/>
      <c r="L1767" s="18" t="s">
        <v>6411</v>
      </c>
    </row>
    <row r="1768">
      <c r="A1768" s="18" t="s">
        <v>6412</v>
      </c>
      <c r="B1768" s="18" t="s">
        <v>791</v>
      </c>
      <c r="C1768" s="18" t="s">
        <v>6413</v>
      </c>
      <c r="D1768" s="18"/>
      <c r="E1768" s="24">
        <v>8.5336838268E10</v>
      </c>
      <c r="F1768" s="24">
        <v>1.0</v>
      </c>
      <c r="G1768" s="18" t="s">
        <v>6413</v>
      </c>
      <c r="H1768" s="18"/>
      <c r="I1768" s="24">
        <v>8.5336838268E10</v>
      </c>
      <c r="J1768" s="18" t="s">
        <v>6414</v>
      </c>
      <c r="K1768" s="18"/>
      <c r="L1768" s="18" t="s">
        <v>2125</v>
      </c>
    </row>
    <row r="1769">
      <c r="A1769" s="18" t="s">
        <v>6416</v>
      </c>
      <c r="B1769" s="18" t="s">
        <v>791</v>
      </c>
      <c r="C1769" s="18" t="s">
        <v>6417</v>
      </c>
      <c r="D1769" s="18"/>
      <c r="E1769" s="24">
        <v>8.1359612323E10</v>
      </c>
      <c r="F1769" s="24">
        <v>1.0</v>
      </c>
      <c r="G1769" s="18" t="s">
        <v>6417</v>
      </c>
      <c r="H1769" s="18"/>
      <c r="I1769" s="24">
        <v>8.1359612323E10</v>
      </c>
      <c r="J1769" s="18" t="s">
        <v>6418</v>
      </c>
      <c r="K1769" s="18"/>
      <c r="L1769" s="18" t="s">
        <v>6419</v>
      </c>
    </row>
    <row r="1770">
      <c r="A1770" s="18" t="s">
        <v>6420</v>
      </c>
      <c r="B1770" s="18" t="s">
        <v>791</v>
      </c>
      <c r="C1770" s="18" t="s">
        <v>6421</v>
      </c>
      <c r="D1770" s="18"/>
      <c r="E1770" s="24">
        <v>8.5236233096E10</v>
      </c>
      <c r="F1770" s="24">
        <v>1.0</v>
      </c>
      <c r="G1770" s="18" t="s">
        <v>6421</v>
      </c>
      <c r="H1770" s="18"/>
      <c r="I1770" s="24">
        <v>8.5236233096E10</v>
      </c>
      <c r="J1770" s="18" t="s">
        <v>5521</v>
      </c>
      <c r="K1770" s="18"/>
      <c r="L1770" s="18" t="s">
        <v>1850</v>
      </c>
    </row>
    <row r="1771">
      <c r="A1771" s="18" t="s">
        <v>6422</v>
      </c>
      <c r="B1771" s="18" t="s">
        <v>791</v>
      </c>
      <c r="C1771" s="18" t="s">
        <v>6423</v>
      </c>
      <c r="D1771" s="18"/>
      <c r="E1771" s="24">
        <v>8.1216143675E10</v>
      </c>
      <c r="F1771" s="24">
        <v>1.0</v>
      </c>
      <c r="G1771" s="18" t="s">
        <v>6423</v>
      </c>
      <c r="H1771" s="18"/>
      <c r="I1771" s="24">
        <v>8.1216143675E10</v>
      </c>
      <c r="J1771" s="18" t="s">
        <v>6424</v>
      </c>
      <c r="K1771" s="18"/>
      <c r="L1771" s="18" t="s">
        <v>1971</v>
      </c>
    </row>
    <row r="1772">
      <c r="A1772" s="18" t="s">
        <v>6425</v>
      </c>
      <c r="B1772" s="18" t="s">
        <v>791</v>
      </c>
      <c r="C1772" s="18" t="s">
        <v>6423</v>
      </c>
      <c r="D1772" s="18"/>
      <c r="E1772" s="24">
        <v>8.2335355254E10</v>
      </c>
      <c r="F1772" s="24">
        <v>1.0</v>
      </c>
      <c r="G1772" s="18" t="s">
        <v>6423</v>
      </c>
      <c r="H1772" s="18"/>
      <c r="I1772" s="24">
        <v>8.2335355254E10</v>
      </c>
      <c r="J1772" s="18" t="s">
        <v>6426</v>
      </c>
      <c r="K1772" s="18"/>
      <c r="L1772" s="18" t="s">
        <v>2022</v>
      </c>
    </row>
    <row r="1773">
      <c r="A1773" s="18" t="s">
        <v>6427</v>
      </c>
      <c r="B1773" s="18" t="s">
        <v>791</v>
      </c>
      <c r="C1773" s="18" t="s">
        <v>6428</v>
      </c>
      <c r="D1773" s="18"/>
      <c r="E1773" s="24">
        <v>8.1335760149E10</v>
      </c>
      <c r="F1773" s="24">
        <v>1.0</v>
      </c>
      <c r="G1773" s="18" t="s">
        <v>6428</v>
      </c>
      <c r="H1773" s="18"/>
      <c r="I1773" s="24">
        <v>8.1335760149E10</v>
      </c>
      <c r="J1773" s="18" t="s">
        <v>5238</v>
      </c>
      <c r="K1773" s="18"/>
      <c r="L1773" s="18" t="s">
        <v>2458</v>
      </c>
    </row>
    <row r="1774">
      <c r="A1774" s="18" t="s">
        <v>6429</v>
      </c>
      <c r="B1774" s="18" t="s">
        <v>791</v>
      </c>
      <c r="C1774" s="18" t="s">
        <v>6430</v>
      </c>
      <c r="D1774" s="18"/>
      <c r="E1774" s="24">
        <v>8.5736866727E10</v>
      </c>
      <c r="F1774" s="24">
        <v>1.0</v>
      </c>
      <c r="G1774" s="18" t="s">
        <v>6430</v>
      </c>
      <c r="H1774" s="18"/>
      <c r="I1774" s="24">
        <v>8.5736866727E10</v>
      </c>
      <c r="J1774" s="18" t="s">
        <v>6431</v>
      </c>
      <c r="K1774" s="18"/>
      <c r="L1774" s="18" t="s">
        <v>1971</v>
      </c>
    </row>
    <row r="1775">
      <c r="A1775" s="18" t="s">
        <v>1139</v>
      </c>
      <c r="B1775" s="18" t="s">
        <v>791</v>
      </c>
      <c r="C1775" s="18" t="s">
        <v>1141</v>
      </c>
      <c r="D1775" s="18" t="s">
        <v>1137</v>
      </c>
      <c r="E1775" s="24">
        <v>8.5103373232E10</v>
      </c>
      <c r="F1775" s="24">
        <v>1.0</v>
      </c>
      <c r="G1775" s="18" t="s">
        <v>1141</v>
      </c>
      <c r="H1775" s="18"/>
      <c r="I1775" s="24">
        <v>8.5103373232E10</v>
      </c>
      <c r="J1775" s="18" t="s">
        <v>1140</v>
      </c>
      <c r="K1775" s="18"/>
      <c r="L1775" s="18" t="s">
        <v>1142</v>
      </c>
    </row>
    <row r="1776">
      <c r="A1776" s="18" t="s">
        <v>6432</v>
      </c>
      <c r="B1776" s="18" t="s">
        <v>791</v>
      </c>
      <c r="C1776" s="18" t="s">
        <v>6433</v>
      </c>
      <c r="D1776" s="18"/>
      <c r="E1776" s="24">
        <v>8.526632055E9</v>
      </c>
      <c r="F1776" s="24">
        <v>1.0</v>
      </c>
      <c r="G1776" s="18" t="s">
        <v>6433</v>
      </c>
      <c r="H1776" s="18"/>
      <c r="I1776" s="24">
        <v>8.526632055E9</v>
      </c>
      <c r="J1776" s="18" t="s">
        <v>6434</v>
      </c>
      <c r="K1776" s="18"/>
      <c r="L1776" s="18" t="s">
        <v>4670</v>
      </c>
    </row>
    <row r="1777">
      <c r="A1777" s="18" t="s">
        <v>6435</v>
      </c>
      <c r="B1777" s="18" t="s">
        <v>791</v>
      </c>
      <c r="C1777" s="18" t="s">
        <v>6436</v>
      </c>
      <c r="D1777" s="18"/>
      <c r="E1777" s="24">
        <v>8.5259755878E10</v>
      </c>
      <c r="F1777" s="24">
        <v>1.0</v>
      </c>
      <c r="G1777" s="18" t="s">
        <v>6436</v>
      </c>
      <c r="H1777" s="18"/>
      <c r="I1777" s="24">
        <v>8.5259755878E10</v>
      </c>
      <c r="J1777" s="18" t="s">
        <v>6437</v>
      </c>
      <c r="K1777" s="18"/>
      <c r="L1777" s="18" t="s">
        <v>3154</v>
      </c>
    </row>
    <row r="1778">
      <c r="A1778" s="18" t="s">
        <v>6438</v>
      </c>
      <c r="B1778" s="18" t="s">
        <v>791</v>
      </c>
      <c r="C1778" s="18" t="s">
        <v>6439</v>
      </c>
      <c r="D1778" s="18"/>
      <c r="E1778" s="24">
        <v>8.125936923E9</v>
      </c>
      <c r="F1778" s="24">
        <v>1.0</v>
      </c>
      <c r="G1778" s="18" t="s">
        <v>6439</v>
      </c>
      <c r="H1778" s="18"/>
      <c r="I1778" s="24">
        <v>8.125936923E9</v>
      </c>
      <c r="J1778" s="18" t="s">
        <v>6440</v>
      </c>
      <c r="K1778" s="18"/>
      <c r="L1778" s="18" t="s">
        <v>3335</v>
      </c>
    </row>
    <row r="1779">
      <c r="A1779" s="18" t="s">
        <v>6441</v>
      </c>
      <c r="B1779" s="18" t="s">
        <v>791</v>
      </c>
      <c r="C1779" s="18" t="s">
        <v>6442</v>
      </c>
      <c r="D1779" s="18"/>
      <c r="E1779" s="24">
        <v>8.5735070067E10</v>
      </c>
      <c r="F1779" s="24">
        <v>1.0</v>
      </c>
      <c r="G1779" s="18" t="s">
        <v>6442</v>
      </c>
      <c r="H1779" s="18"/>
      <c r="I1779" s="24">
        <v>8.5735070067E10</v>
      </c>
      <c r="J1779" s="18" t="s">
        <v>6443</v>
      </c>
      <c r="K1779" s="18"/>
      <c r="L1779" s="18" t="s">
        <v>6444</v>
      </c>
    </row>
    <row r="1780">
      <c r="A1780" s="18" t="s">
        <v>6445</v>
      </c>
      <c r="B1780" s="18" t="s">
        <v>791</v>
      </c>
      <c r="C1780" s="18" t="s">
        <v>6446</v>
      </c>
      <c r="D1780" s="18"/>
      <c r="E1780" s="24">
        <v>8.1359797803E10</v>
      </c>
      <c r="F1780" s="24">
        <v>1.0</v>
      </c>
      <c r="G1780" s="18" t="s">
        <v>6446</v>
      </c>
      <c r="H1780" s="18"/>
      <c r="I1780" s="24">
        <v>8.1359797803E10</v>
      </c>
      <c r="J1780" s="18" t="s">
        <v>6448</v>
      </c>
      <c r="K1780" s="18"/>
      <c r="L1780" s="18" t="s">
        <v>5245</v>
      </c>
    </row>
    <row r="1781">
      <c r="A1781" s="18" t="s">
        <v>6449</v>
      </c>
      <c r="B1781" s="18" t="s">
        <v>791</v>
      </c>
      <c r="C1781" s="18" t="s">
        <v>6450</v>
      </c>
      <c r="D1781" s="18"/>
      <c r="E1781" s="24">
        <v>8.5645773199E10</v>
      </c>
      <c r="F1781" s="24">
        <v>1.0</v>
      </c>
      <c r="G1781" s="18" t="s">
        <v>6450</v>
      </c>
      <c r="H1781" s="18"/>
      <c r="I1781" s="24">
        <v>8.5645773199E10</v>
      </c>
      <c r="J1781" s="18" t="s">
        <v>6451</v>
      </c>
      <c r="K1781" s="18"/>
      <c r="L1781" s="18" t="s">
        <v>3371</v>
      </c>
    </row>
    <row r="1782">
      <c r="A1782" s="18" t="s">
        <v>6452</v>
      </c>
      <c r="B1782" s="18" t="s">
        <v>791</v>
      </c>
      <c r="C1782" s="18" t="s">
        <v>6453</v>
      </c>
      <c r="D1782" s="18"/>
      <c r="E1782" s="24">
        <v>8.5646118325E10</v>
      </c>
      <c r="F1782" s="24">
        <v>1.0</v>
      </c>
      <c r="G1782" s="18" t="s">
        <v>6453</v>
      </c>
      <c r="H1782" s="18"/>
      <c r="I1782" s="24">
        <v>8.5646118325E10</v>
      </c>
      <c r="J1782" s="18" t="s">
        <v>6454</v>
      </c>
      <c r="K1782" s="18"/>
      <c r="L1782" s="18" t="s">
        <v>6455</v>
      </c>
    </row>
    <row r="1783">
      <c r="A1783" s="18" t="s">
        <v>6456</v>
      </c>
      <c r="B1783" s="18" t="s">
        <v>791</v>
      </c>
      <c r="C1783" s="18" t="s">
        <v>6457</v>
      </c>
      <c r="D1783" s="18"/>
      <c r="E1783" s="24">
        <v>8.5337321218E10</v>
      </c>
      <c r="F1783" s="24">
        <v>1.0</v>
      </c>
      <c r="G1783" s="18" t="s">
        <v>6457</v>
      </c>
      <c r="H1783" s="18"/>
      <c r="I1783" s="24">
        <v>8.5337321218E10</v>
      </c>
      <c r="J1783" s="18" t="s">
        <v>6458</v>
      </c>
      <c r="K1783" s="18"/>
      <c r="L1783" s="18" t="s">
        <v>3751</v>
      </c>
    </row>
    <row r="1784">
      <c r="A1784" s="18" t="s">
        <v>6459</v>
      </c>
      <c r="B1784" s="18" t="s">
        <v>791</v>
      </c>
      <c r="C1784" s="18" t="s">
        <v>6460</v>
      </c>
      <c r="D1784" s="18"/>
      <c r="E1784" s="24">
        <v>8.5233563465E10</v>
      </c>
      <c r="F1784" s="24">
        <v>1.0</v>
      </c>
      <c r="G1784" s="18" t="s">
        <v>6460</v>
      </c>
      <c r="H1784" s="18"/>
      <c r="I1784" s="24">
        <v>8.5233563465E10</v>
      </c>
      <c r="J1784" s="18" t="s">
        <v>6461</v>
      </c>
      <c r="K1784" s="18"/>
      <c r="L1784" s="18" t="s">
        <v>2075</v>
      </c>
    </row>
    <row r="1785">
      <c r="A1785" s="18" t="s">
        <v>6462</v>
      </c>
      <c r="B1785" s="18" t="s">
        <v>791</v>
      </c>
      <c r="C1785" s="18" t="s">
        <v>6463</v>
      </c>
      <c r="D1785" s="18"/>
      <c r="E1785" s="18"/>
      <c r="F1785" s="24">
        <v>1.0</v>
      </c>
      <c r="G1785" s="18" t="s">
        <v>6463</v>
      </c>
      <c r="H1785" s="18"/>
      <c r="I1785" s="18"/>
      <c r="J1785" s="18" t="s">
        <v>6464</v>
      </c>
      <c r="K1785" s="18"/>
      <c r="L1785" s="18"/>
    </row>
    <row r="1786">
      <c r="A1786" s="18" t="s">
        <v>6465</v>
      </c>
      <c r="B1786" s="18" t="s">
        <v>791</v>
      </c>
      <c r="C1786" s="18" t="s">
        <v>6466</v>
      </c>
      <c r="D1786" s="18"/>
      <c r="E1786" s="24">
        <v>8.5103804726E10</v>
      </c>
      <c r="F1786" s="24">
        <v>1.0</v>
      </c>
      <c r="G1786" s="18" t="s">
        <v>6466</v>
      </c>
      <c r="H1786" s="18"/>
      <c r="I1786" s="24">
        <v>8.5103804726E10</v>
      </c>
      <c r="J1786" s="18" t="s">
        <v>6467</v>
      </c>
      <c r="K1786" s="18"/>
      <c r="L1786" s="18" t="s">
        <v>2532</v>
      </c>
    </row>
    <row r="1787">
      <c r="A1787" s="18" t="s">
        <v>6468</v>
      </c>
      <c r="B1787" s="18" t="s">
        <v>791</v>
      </c>
      <c r="C1787" s="18" t="s">
        <v>6469</v>
      </c>
      <c r="D1787" s="18"/>
      <c r="E1787" s="24">
        <v>8.5735098691E10</v>
      </c>
      <c r="F1787" s="24">
        <v>1.0</v>
      </c>
      <c r="G1787" s="18" t="s">
        <v>6469</v>
      </c>
      <c r="H1787" s="18"/>
      <c r="I1787" s="24">
        <v>8.5735098691E10</v>
      </c>
      <c r="J1787" s="18" t="s">
        <v>6470</v>
      </c>
      <c r="K1787" s="18"/>
      <c r="L1787" s="18" t="s">
        <v>2132</v>
      </c>
    </row>
    <row r="1788">
      <c r="A1788" s="18" t="s">
        <v>6471</v>
      </c>
      <c r="B1788" s="18" t="s">
        <v>791</v>
      </c>
      <c r="C1788" s="18" t="s">
        <v>6472</v>
      </c>
      <c r="D1788" s="18"/>
      <c r="E1788" s="24">
        <v>8.563638412E9</v>
      </c>
      <c r="F1788" s="24">
        <v>1.0</v>
      </c>
      <c r="G1788" s="18" t="s">
        <v>6472</v>
      </c>
      <c r="H1788" s="18"/>
      <c r="I1788" s="24">
        <v>8.563638412E9</v>
      </c>
      <c r="J1788" s="18" t="s">
        <v>6473</v>
      </c>
      <c r="K1788" s="18"/>
      <c r="L1788" s="18" t="s">
        <v>3049</v>
      </c>
    </row>
    <row r="1789">
      <c r="A1789" s="18" t="s">
        <v>6474</v>
      </c>
      <c r="B1789" s="18" t="s">
        <v>791</v>
      </c>
      <c r="C1789" s="18" t="s">
        <v>6475</v>
      </c>
      <c r="D1789" s="18"/>
      <c r="E1789" s="24">
        <v>8.5791184735E10</v>
      </c>
      <c r="F1789" s="24">
        <v>1.0</v>
      </c>
      <c r="G1789" s="18" t="s">
        <v>6475</v>
      </c>
      <c r="H1789" s="18"/>
      <c r="I1789" s="24">
        <v>8.5791184735E10</v>
      </c>
      <c r="J1789" s="18" t="s">
        <v>6476</v>
      </c>
      <c r="K1789" s="18"/>
      <c r="L1789" s="18" t="s">
        <v>6477</v>
      </c>
    </row>
    <row r="1790">
      <c r="A1790" s="18" t="s">
        <v>6478</v>
      </c>
      <c r="B1790" s="18" t="s">
        <v>791</v>
      </c>
      <c r="C1790" s="18" t="s">
        <v>6479</v>
      </c>
      <c r="D1790" s="18"/>
      <c r="E1790" s="24">
        <v>8.5234720809E10</v>
      </c>
      <c r="F1790" s="24">
        <v>1.0</v>
      </c>
      <c r="G1790" s="18" t="s">
        <v>6479</v>
      </c>
      <c r="H1790" s="18"/>
      <c r="I1790" s="24">
        <v>8.5234720809E10</v>
      </c>
      <c r="J1790" s="18" t="s">
        <v>5514</v>
      </c>
      <c r="K1790" s="18"/>
      <c r="L1790" s="18" t="s">
        <v>1677</v>
      </c>
    </row>
    <row r="1791">
      <c r="A1791" s="18" t="s">
        <v>6480</v>
      </c>
      <c r="B1791" s="18" t="s">
        <v>791</v>
      </c>
      <c r="C1791" s="18" t="s">
        <v>6481</v>
      </c>
      <c r="D1791" s="18"/>
      <c r="E1791" s="24">
        <v>8.5259568016E10</v>
      </c>
      <c r="F1791" s="24">
        <v>1.0</v>
      </c>
      <c r="G1791" s="18" t="s">
        <v>6481</v>
      </c>
      <c r="H1791" s="18"/>
      <c r="I1791" s="24">
        <v>8.5259568016E10</v>
      </c>
      <c r="J1791" s="24">
        <v>3.52107311253003E15</v>
      </c>
      <c r="K1791" s="18"/>
      <c r="L1791" s="18" t="s">
        <v>1996</v>
      </c>
    </row>
    <row r="1792">
      <c r="A1792" s="18" t="s">
        <v>6482</v>
      </c>
      <c r="B1792" s="18" t="s">
        <v>791</v>
      </c>
      <c r="C1792" s="18" t="s">
        <v>6483</v>
      </c>
      <c r="D1792" s="18"/>
      <c r="E1792" s="24">
        <v>8.2132333676E10</v>
      </c>
      <c r="F1792" s="24">
        <v>1.0</v>
      </c>
      <c r="G1792" s="18" t="s">
        <v>6483</v>
      </c>
      <c r="H1792" s="18"/>
      <c r="I1792" s="24">
        <v>8.2132333676E10</v>
      </c>
      <c r="J1792" s="18" t="s">
        <v>6484</v>
      </c>
      <c r="K1792" s="18"/>
      <c r="L1792" s="18" t="s">
        <v>129</v>
      </c>
    </row>
    <row r="1793">
      <c r="A1793" s="18" t="s">
        <v>6485</v>
      </c>
      <c r="B1793" s="18" t="s">
        <v>791</v>
      </c>
      <c r="C1793" s="18" t="s">
        <v>6486</v>
      </c>
      <c r="D1793" s="18"/>
      <c r="E1793" s="24">
        <v>8.1232810351E10</v>
      </c>
      <c r="F1793" s="24">
        <v>1.0</v>
      </c>
      <c r="G1793" s="18" t="s">
        <v>6486</v>
      </c>
      <c r="H1793" s="18"/>
      <c r="I1793" s="24">
        <v>8.1232810351E10</v>
      </c>
      <c r="J1793" s="18" t="s">
        <v>6487</v>
      </c>
      <c r="K1793" s="18"/>
      <c r="L1793" s="18" t="s">
        <v>6488</v>
      </c>
    </row>
    <row r="1794">
      <c r="A1794" s="18" t="s">
        <v>6489</v>
      </c>
      <c r="B1794" s="18" t="s">
        <v>791</v>
      </c>
      <c r="C1794" s="18" t="s">
        <v>6490</v>
      </c>
      <c r="D1794" s="18"/>
      <c r="E1794" s="24">
        <v>8.5101350059E10</v>
      </c>
      <c r="F1794" s="24">
        <v>1.0</v>
      </c>
      <c r="G1794" s="18" t="s">
        <v>6490</v>
      </c>
      <c r="H1794" s="18"/>
      <c r="I1794" s="24">
        <v>8.5101350059E10</v>
      </c>
      <c r="J1794" s="18" t="s">
        <v>6491</v>
      </c>
      <c r="K1794" s="18"/>
      <c r="L1794" s="18" t="s">
        <v>6493</v>
      </c>
    </row>
    <row r="1795">
      <c r="A1795" s="18" t="s">
        <v>6494</v>
      </c>
      <c r="B1795" s="18" t="s">
        <v>791</v>
      </c>
      <c r="C1795" s="18" t="s">
        <v>6495</v>
      </c>
      <c r="D1795" s="18"/>
      <c r="E1795" s="24">
        <v>8.1311827844E10</v>
      </c>
      <c r="F1795" s="24">
        <v>1.0</v>
      </c>
      <c r="G1795" s="18" t="s">
        <v>6495</v>
      </c>
      <c r="H1795" s="18"/>
      <c r="I1795" s="24">
        <v>8.1311827844E10</v>
      </c>
      <c r="J1795" s="18" t="s">
        <v>5008</v>
      </c>
      <c r="K1795" s="18"/>
      <c r="L1795" s="18" t="s">
        <v>1681</v>
      </c>
    </row>
    <row r="1796">
      <c r="A1796" s="18" t="s">
        <v>6496</v>
      </c>
      <c r="B1796" s="18" t="s">
        <v>791</v>
      </c>
      <c r="C1796" s="18" t="s">
        <v>6497</v>
      </c>
      <c r="D1796" s="18"/>
      <c r="E1796" s="24">
        <v>8.1216070182E10</v>
      </c>
      <c r="F1796" s="24">
        <v>1.0</v>
      </c>
      <c r="G1796" s="18" t="s">
        <v>6497</v>
      </c>
      <c r="H1796" s="18"/>
      <c r="I1796" s="24">
        <v>8.1216070182E10</v>
      </c>
      <c r="J1796" s="18" t="s">
        <v>6498</v>
      </c>
      <c r="K1796" s="18"/>
      <c r="L1796" s="18" t="s">
        <v>6178</v>
      </c>
    </row>
    <row r="1797">
      <c r="A1797" s="18" t="s">
        <v>6499</v>
      </c>
      <c r="B1797" s="18" t="s">
        <v>791</v>
      </c>
      <c r="C1797" s="18" t="s">
        <v>6500</v>
      </c>
      <c r="D1797" s="18"/>
      <c r="E1797" s="24">
        <v>8.2143633962E10</v>
      </c>
      <c r="F1797" s="24">
        <v>1.0</v>
      </c>
      <c r="G1797" s="18" t="s">
        <v>6500</v>
      </c>
      <c r="H1797" s="18"/>
      <c r="I1797" s="24">
        <v>8.2143633962E10</v>
      </c>
      <c r="J1797" s="18" t="s">
        <v>4226</v>
      </c>
      <c r="K1797" s="18"/>
      <c r="L1797" s="18" t="s">
        <v>6171</v>
      </c>
    </row>
    <row r="1798">
      <c r="A1798" s="18" t="s">
        <v>6502</v>
      </c>
      <c r="B1798" s="18" t="s">
        <v>791</v>
      </c>
      <c r="C1798" s="18" t="s">
        <v>6503</v>
      </c>
      <c r="D1798" s="18"/>
      <c r="E1798" s="24">
        <v>8.5334726934E10</v>
      </c>
      <c r="F1798" s="24">
        <v>1.0</v>
      </c>
      <c r="G1798" s="18" t="s">
        <v>6503</v>
      </c>
      <c r="H1798" s="18"/>
      <c r="I1798" s="24">
        <v>8.5334726934E10</v>
      </c>
      <c r="J1798" s="18" t="s">
        <v>6504</v>
      </c>
      <c r="K1798" s="18"/>
      <c r="L1798" s="18" t="s">
        <v>5934</v>
      </c>
    </row>
    <row r="1799">
      <c r="A1799" s="18" t="s">
        <v>6505</v>
      </c>
      <c r="B1799" s="18" t="s">
        <v>791</v>
      </c>
      <c r="C1799" s="18" t="s">
        <v>6506</v>
      </c>
      <c r="D1799" s="18"/>
      <c r="E1799" s="24">
        <v>8.5236233096E10</v>
      </c>
      <c r="F1799" s="24">
        <v>1.0</v>
      </c>
      <c r="G1799" s="18" t="s">
        <v>6506</v>
      </c>
      <c r="H1799" s="18"/>
      <c r="I1799" s="24">
        <v>8.5236233096E10</v>
      </c>
      <c r="J1799" s="18" t="s">
        <v>6447</v>
      </c>
      <c r="K1799" s="18"/>
      <c r="L1799" s="18" t="s">
        <v>1850</v>
      </c>
    </row>
    <row r="1800">
      <c r="A1800" s="18" t="s">
        <v>6507</v>
      </c>
      <c r="B1800" s="18" t="s">
        <v>791</v>
      </c>
      <c r="C1800" s="18" t="s">
        <v>6508</v>
      </c>
      <c r="D1800" s="18"/>
      <c r="E1800" s="24">
        <v>8.2335045393E10</v>
      </c>
      <c r="F1800" s="24">
        <v>1.0</v>
      </c>
      <c r="G1800" s="18" t="s">
        <v>6508</v>
      </c>
      <c r="H1800" s="18"/>
      <c r="I1800" s="24">
        <v>8.2335045393E10</v>
      </c>
      <c r="J1800" s="18" t="s">
        <v>6509</v>
      </c>
      <c r="K1800" s="18"/>
      <c r="L1800" s="18" t="s">
        <v>3552</v>
      </c>
    </row>
    <row r="1801">
      <c r="A1801" s="18" t="s">
        <v>6510</v>
      </c>
      <c r="B1801" s="18" t="s">
        <v>791</v>
      </c>
      <c r="C1801" s="18" t="s">
        <v>6511</v>
      </c>
      <c r="D1801" s="18"/>
      <c r="E1801" s="24">
        <v>8.573618027E10</v>
      </c>
      <c r="F1801" s="24">
        <v>1.0</v>
      </c>
      <c r="G1801" s="18" t="s">
        <v>6511</v>
      </c>
      <c r="H1801" s="18"/>
      <c r="I1801" s="24">
        <v>8.573618027E10</v>
      </c>
      <c r="J1801" s="18" t="s">
        <v>6513</v>
      </c>
      <c r="K1801" s="18"/>
      <c r="L1801" s="18" t="s">
        <v>4048</v>
      </c>
    </row>
    <row r="1802">
      <c r="A1802" s="18" t="s">
        <v>6514</v>
      </c>
      <c r="B1802" s="18" t="s">
        <v>791</v>
      </c>
      <c r="C1802" s="18" t="s">
        <v>6511</v>
      </c>
      <c r="D1802" s="18"/>
      <c r="E1802" s="24">
        <v>6.285259626461E12</v>
      </c>
      <c r="F1802" s="24">
        <v>1.0</v>
      </c>
      <c r="G1802" s="18" t="s">
        <v>6511</v>
      </c>
      <c r="H1802" s="18"/>
      <c r="I1802" s="24">
        <v>6.285259626461E12</v>
      </c>
      <c r="J1802" s="18" t="s">
        <v>4759</v>
      </c>
      <c r="K1802" s="18"/>
      <c r="L1802" s="18" t="s">
        <v>6515</v>
      </c>
    </row>
    <row r="1803">
      <c r="A1803" s="18" t="s">
        <v>6516</v>
      </c>
      <c r="B1803" s="18" t="s">
        <v>791</v>
      </c>
      <c r="C1803" s="18" t="s">
        <v>1189</v>
      </c>
      <c r="D1803" s="18"/>
      <c r="E1803" s="18"/>
      <c r="F1803" s="24">
        <v>1.0</v>
      </c>
      <c r="G1803" s="18" t="s">
        <v>1189</v>
      </c>
      <c r="H1803" s="18"/>
      <c r="I1803" s="18"/>
      <c r="J1803" s="18" t="s">
        <v>6517</v>
      </c>
      <c r="K1803" s="18"/>
      <c r="L1803" s="18"/>
    </row>
    <row r="1804">
      <c r="A1804" s="18" t="s">
        <v>6518</v>
      </c>
      <c r="B1804" s="18" t="s">
        <v>791</v>
      </c>
      <c r="C1804" s="18" t="s">
        <v>1189</v>
      </c>
      <c r="D1804" s="18"/>
      <c r="E1804" s="24">
        <v>8.5235617345E10</v>
      </c>
      <c r="F1804" s="24">
        <v>1.0</v>
      </c>
      <c r="G1804" s="18" t="s">
        <v>1189</v>
      </c>
      <c r="H1804" s="18"/>
      <c r="I1804" s="24">
        <v>8.5235617345E10</v>
      </c>
      <c r="J1804" s="18" t="s">
        <v>6519</v>
      </c>
      <c r="K1804" s="18"/>
      <c r="L1804" s="18" t="s">
        <v>6520</v>
      </c>
    </row>
    <row r="1805">
      <c r="A1805" s="18" t="s">
        <v>1187</v>
      </c>
      <c r="B1805" s="18" t="s">
        <v>791</v>
      </c>
      <c r="C1805" s="18" t="s">
        <v>1189</v>
      </c>
      <c r="D1805" s="18" t="s">
        <v>1190</v>
      </c>
      <c r="E1805" s="24">
        <v>8.560470467E10</v>
      </c>
      <c r="F1805" s="24">
        <v>1.0</v>
      </c>
      <c r="G1805" s="18" t="s">
        <v>1189</v>
      </c>
      <c r="H1805" s="18" t="s">
        <v>1190</v>
      </c>
      <c r="I1805" s="24">
        <v>8.560470467E10</v>
      </c>
      <c r="J1805" s="18" t="s">
        <v>1188</v>
      </c>
      <c r="K1805" s="18" t="s">
        <v>1188</v>
      </c>
      <c r="L1805" s="18" t="s">
        <v>1191</v>
      </c>
    </row>
    <row r="1806">
      <c r="A1806" s="18" t="s">
        <v>6521</v>
      </c>
      <c r="B1806" s="18" t="s">
        <v>791</v>
      </c>
      <c r="C1806" s="18" t="s">
        <v>6522</v>
      </c>
      <c r="D1806" s="18"/>
      <c r="E1806" s="24">
        <v>8.5330778688E10</v>
      </c>
      <c r="F1806" s="24">
        <v>1.0</v>
      </c>
      <c r="G1806" s="18" t="s">
        <v>6522</v>
      </c>
      <c r="H1806" s="18"/>
      <c r="I1806" s="24">
        <v>8.5330778688E10</v>
      </c>
      <c r="J1806" s="18" t="s">
        <v>6523</v>
      </c>
      <c r="K1806" s="18"/>
      <c r="L1806" s="18" t="s">
        <v>1493</v>
      </c>
    </row>
    <row r="1807">
      <c r="A1807" s="18" t="s">
        <v>6524</v>
      </c>
      <c r="B1807" s="18" t="s">
        <v>791</v>
      </c>
      <c r="C1807" s="18" t="s">
        <v>6525</v>
      </c>
      <c r="D1807" s="18"/>
      <c r="E1807" s="24">
        <v>8.5235040123E10</v>
      </c>
      <c r="F1807" s="24">
        <v>1.0</v>
      </c>
      <c r="G1807" s="18" t="s">
        <v>6525</v>
      </c>
      <c r="H1807" s="18"/>
      <c r="I1807" s="24">
        <v>8.5235040123E10</v>
      </c>
      <c r="J1807" s="18" t="s">
        <v>6526</v>
      </c>
      <c r="K1807" s="18"/>
      <c r="L1807" s="18" t="s">
        <v>4472</v>
      </c>
    </row>
    <row r="1808">
      <c r="A1808" s="18" t="s">
        <v>6527</v>
      </c>
      <c r="B1808" s="18" t="s">
        <v>791</v>
      </c>
      <c r="C1808" s="18" t="s">
        <v>6528</v>
      </c>
      <c r="D1808" s="18"/>
      <c r="E1808" s="24">
        <v>8.5649315581E10</v>
      </c>
      <c r="F1808" s="24">
        <v>1.0</v>
      </c>
      <c r="G1808" s="18" t="s">
        <v>6528</v>
      </c>
      <c r="H1808" s="18"/>
      <c r="I1808" s="24">
        <v>8.5649315581E10</v>
      </c>
      <c r="J1808" s="18" t="s">
        <v>6529</v>
      </c>
      <c r="K1808" s="18"/>
      <c r="L1808" s="18" t="s">
        <v>3863</v>
      </c>
    </row>
    <row r="1809">
      <c r="A1809" s="18" t="s">
        <v>6530</v>
      </c>
      <c r="B1809" s="18" t="s">
        <v>791</v>
      </c>
      <c r="C1809" s="18" t="s">
        <v>6531</v>
      </c>
      <c r="D1809" s="18"/>
      <c r="E1809" s="24">
        <v>8.5235782242E10</v>
      </c>
      <c r="F1809" s="24">
        <v>1.0</v>
      </c>
      <c r="G1809" s="18" t="s">
        <v>6531</v>
      </c>
      <c r="H1809" s="18"/>
      <c r="I1809" s="24">
        <v>8.5235782242E10</v>
      </c>
      <c r="J1809" s="18" t="s">
        <v>6532</v>
      </c>
      <c r="K1809" s="18"/>
      <c r="L1809" s="18" t="s">
        <v>3286</v>
      </c>
    </row>
    <row r="1810">
      <c r="A1810" s="18" t="s">
        <v>6533</v>
      </c>
      <c r="B1810" s="18" t="s">
        <v>791</v>
      </c>
      <c r="C1810" s="18" t="s">
        <v>6534</v>
      </c>
      <c r="D1810" s="18"/>
      <c r="E1810" s="24">
        <v>8.5336760229E10</v>
      </c>
      <c r="F1810" s="24">
        <v>1.0</v>
      </c>
      <c r="G1810" s="18" t="s">
        <v>6534</v>
      </c>
      <c r="H1810" s="18"/>
      <c r="I1810" s="24">
        <v>8.5336760229E10</v>
      </c>
      <c r="J1810" s="18" t="s">
        <v>6535</v>
      </c>
      <c r="K1810" s="18"/>
      <c r="L1810" s="18" t="s">
        <v>1722</v>
      </c>
    </row>
    <row r="1811">
      <c r="A1811" s="18" t="s">
        <v>6536</v>
      </c>
      <c r="B1811" s="18" t="s">
        <v>791</v>
      </c>
      <c r="C1811" s="18" t="s">
        <v>6537</v>
      </c>
      <c r="D1811" s="18"/>
      <c r="E1811" s="24">
        <v>8.2244825856E10</v>
      </c>
      <c r="F1811" s="24">
        <v>1.0</v>
      </c>
      <c r="G1811" s="18" t="s">
        <v>6537</v>
      </c>
      <c r="H1811" s="18"/>
      <c r="I1811" s="24">
        <v>8.2244825856E10</v>
      </c>
      <c r="J1811" s="18" t="s">
        <v>6538</v>
      </c>
      <c r="K1811" s="18"/>
      <c r="L1811" s="18" t="s">
        <v>1669</v>
      </c>
    </row>
    <row r="1812">
      <c r="A1812" s="18" t="s">
        <v>6539</v>
      </c>
      <c r="B1812" s="18" t="s">
        <v>791</v>
      </c>
      <c r="C1812" s="18" t="s">
        <v>6540</v>
      </c>
      <c r="D1812" s="18"/>
      <c r="E1812" s="18"/>
      <c r="F1812" s="24">
        <v>1.0</v>
      </c>
      <c r="G1812" s="18" t="s">
        <v>6540</v>
      </c>
      <c r="H1812" s="18"/>
      <c r="I1812" s="18"/>
      <c r="J1812" s="18" t="s">
        <v>6541</v>
      </c>
      <c r="K1812" s="18"/>
      <c r="L1812" s="18"/>
    </row>
    <row r="1813">
      <c r="A1813" s="18" t="s">
        <v>6542</v>
      </c>
      <c r="B1813" s="18" t="s">
        <v>791</v>
      </c>
      <c r="C1813" s="18" t="s">
        <v>6543</v>
      </c>
      <c r="D1813" s="18"/>
      <c r="E1813" s="24">
        <v>8.1335634747E10</v>
      </c>
      <c r="F1813" s="24">
        <v>1.0</v>
      </c>
      <c r="G1813" s="18" t="s">
        <v>6543</v>
      </c>
      <c r="H1813" s="18"/>
      <c r="I1813" s="24">
        <v>8.1335634747E10</v>
      </c>
      <c r="J1813" s="18" t="s">
        <v>6544</v>
      </c>
      <c r="K1813" s="18"/>
      <c r="L1813" s="18" t="s">
        <v>6395</v>
      </c>
    </row>
    <row r="1814">
      <c r="A1814" s="18" t="s">
        <v>6545</v>
      </c>
      <c r="B1814" s="18" t="s">
        <v>791</v>
      </c>
      <c r="C1814" s="18" t="s">
        <v>6546</v>
      </c>
      <c r="D1814" s="18"/>
      <c r="E1814" s="24">
        <v>8.570857555E10</v>
      </c>
      <c r="F1814" s="24">
        <v>1.0</v>
      </c>
      <c r="G1814" s="18" t="s">
        <v>6546</v>
      </c>
      <c r="H1814" s="18"/>
      <c r="I1814" s="24">
        <v>8.570857555E10</v>
      </c>
      <c r="J1814" s="18" t="s">
        <v>5135</v>
      </c>
      <c r="K1814" s="18"/>
      <c r="L1814" s="18" t="s">
        <v>4504</v>
      </c>
    </row>
    <row r="1815">
      <c r="A1815" s="18" t="s">
        <v>6547</v>
      </c>
      <c r="B1815" s="18" t="s">
        <v>791</v>
      </c>
      <c r="C1815" s="18" t="s">
        <v>6548</v>
      </c>
      <c r="D1815" s="18"/>
      <c r="E1815" s="24">
        <v>8.5337321218E10</v>
      </c>
      <c r="F1815" s="24">
        <v>1.0</v>
      </c>
      <c r="G1815" s="18" t="s">
        <v>6548</v>
      </c>
      <c r="H1815" s="18"/>
      <c r="I1815" s="24">
        <v>8.5337321218E10</v>
      </c>
      <c r="J1815" s="18" t="s">
        <v>6550</v>
      </c>
      <c r="K1815" s="18"/>
      <c r="L1815" s="18" t="s">
        <v>3751</v>
      </c>
    </row>
    <row r="1816">
      <c r="A1816" s="18" t="s">
        <v>6551</v>
      </c>
      <c r="B1816" s="18" t="s">
        <v>791</v>
      </c>
      <c r="C1816" s="18" t="s">
        <v>6552</v>
      </c>
      <c r="D1816" s="18"/>
      <c r="E1816" s="24">
        <v>8.2333458612E10</v>
      </c>
      <c r="F1816" s="24">
        <v>1.0</v>
      </c>
      <c r="G1816" s="18" t="s">
        <v>6552</v>
      </c>
      <c r="H1816" s="18"/>
      <c r="I1816" s="24">
        <v>8.2333458612E10</v>
      </c>
      <c r="J1816" s="18" t="s">
        <v>6553</v>
      </c>
      <c r="K1816" s="18"/>
      <c r="L1816" s="18" t="s">
        <v>2332</v>
      </c>
    </row>
    <row r="1817">
      <c r="A1817" s="18" t="s">
        <v>6554</v>
      </c>
      <c r="B1817" s="18" t="s">
        <v>791</v>
      </c>
      <c r="C1817" s="18" t="s">
        <v>6555</v>
      </c>
      <c r="D1817" s="18"/>
      <c r="E1817" s="24">
        <v>8.1311827844E10</v>
      </c>
      <c r="F1817" s="24">
        <v>1.0</v>
      </c>
      <c r="G1817" s="18" t="s">
        <v>6555</v>
      </c>
      <c r="H1817" s="18"/>
      <c r="I1817" s="24">
        <v>8.1311827844E10</v>
      </c>
      <c r="J1817" s="18" t="s">
        <v>3537</v>
      </c>
      <c r="K1817" s="18"/>
      <c r="L1817" s="18" t="s">
        <v>1681</v>
      </c>
    </row>
    <row r="1818">
      <c r="A1818" s="18" t="s">
        <v>6556</v>
      </c>
      <c r="B1818" s="18" t="s">
        <v>791</v>
      </c>
      <c r="C1818" s="18" t="s">
        <v>6557</v>
      </c>
      <c r="D1818" s="18"/>
      <c r="E1818" s="24">
        <v>8.1217509357E10</v>
      </c>
      <c r="F1818" s="24">
        <v>1.0</v>
      </c>
      <c r="G1818" s="18" t="s">
        <v>6557</v>
      </c>
      <c r="H1818" s="18"/>
      <c r="I1818" s="24">
        <v>8.1217509357E10</v>
      </c>
      <c r="J1818" s="18" t="s">
        <v>6558</v>
      </c>
      <c r="K1818" s="18"/>
      <c r="L1818" s="18" t="s">
        <v>3178</v>
      </c>
    </row>
    <row r="1819">
      <c r="A1819" s="18" t="s">
        <v>6559</v>
      </c>
      <c r="B1819" s="18" t="s">
        <v>791</v>
      </c>
      <c r="C1819" s="18" t="s">
        <v>6560</v>
      </c>
      <c r="D1819" s="18"/>
      <c r="E1819" s="24">
        <v>8.580684218E10</v>
      </c>
      <c r="F1819" s="24">
        <v>1.0</v>
      </c>
      <c r="G1819" s="18" t="s">
        <v>6560</v>
      </c>
      <c r="H1819" s="18"/>
      <c r="I1819" s="24">
        <v>8.580684218E10</v>
      </c>
      <c r="J1819" s="18" t="s">
        <v>5006</v>
      </c>
      <c r="K1819" s="18"/>
      <c r="L1819" s="18" t="s">
        <v>1850</v>
      </c>
    </row>
    <row r="1820">
      <c r="A1820" s="18" t="s">
        <v>6561</v>
      </c>
      <c r="B1820" s="18" t="s">
        <v>791</v>
      </c>
      <c r="C1820" s="18" t="s">
        <v>6562</v>
      </c>
      <c r="D1820" s="18"/>
      <c r="E1820" s="24">
        <v>8.5215504501E10</v>
      </c>
      <c r="F1820" s="24">
        <v>1.0</v>
      </c>
      <c r="G1820" s="18" t="s">
        <v>6562</v>
      </c>
      <c r="H1820" s="18"/>
      <c r="I1820" s="24">
        <v>8.5215504501E10</v>
      </c>
      <c r="J1820" s="18" t="s">
        <v>6563</v>
      </c>
      <c r="K1820" s="18"/>
      <c r="L1820" s="18" t="s">
        <v>2903</v>
      </c>
    </row>
    <row r="1821">
      <c r="A1821" s="18" t="s">
        <v>6564</v>
      </c>
      <c r="B1821" s="18" t="s">
        <v>791</v>
      </c>
      <c r="C1821" s="18" t="s">
        <v>6565</v>
      </c>
      <c r="D1821" s="18"/>
      <c r="E1821" s="24">
        <v>8.1252245391E10</v>
      </c>
      <c r="F1821" s="24">
        <v>1.0</v>
      </c>
      <c r="G1821" s="18" t="s">
        <v>6565</v>
      </c>
      <c r="H1821" s="18"/>
      <c r="I1821" s="24">
        <v>8.1252245391E10</v>
      </c>
      <c r="J1821" s="18" t="s">
        <v>6566</v>
      </c>
      <c r="K1821" s="18"/>
      <c r="L1821" s="18" t="s">
        <v>1466</v>
      </c>
    </row>
    <row r="1822">
      <c r="A1822" s="18" t="s">
        <v>6567</v>
      </c>
      <c r="B1822" s="18" t="s">
        <v>791</v>
      </c>
      <c r="C1822" s="18" t="s">
        <v>6568</v>
      </c>
      <c r="D1822" s="18"/>
      <c r="E1822" s="24">
        <v>8.1335428622E10</v>
      </c>
      <c r="F1822" s="24">
        <v>1.0</v>
      </c>
      <c r="G1822" s="18" t="s">
        <v>6568</v>
      </c>
      <c r="H1822" s="18"/>
      <c r="I1822" s="24">
        <v>8.1335428622E10</v>
      </c>
      <c r="J1822" s="18" t="s">
        <v>6569</v>
      </c>
      <c r="K1822" s="18"/>
      <c r="L1822" s="18" t="s">
        <v>3367</v>
      </c>
    </row>
    <row r="1823">
      <c r="A1823" s="18" t="s">
        <v>6570</v>
      </c>
      <c r="B1823" s="18" t="s">
        <v>791</v>
      </c>
      <c r="C1823" s="18" t="s">
        <v>6571</v>
      </c>
      <c r="D1823" s="18"/>
      <c r="E1823" s="24">
        <v>8.5236233096E10</v>
      </c>
      <c r="F1823" s="24">
        <v>1.0</v>
      </c>
      <c r="G1823" s="18" t="s">
        <v>6571</v>
      </c>
      <c r="H1823" s="18"/>
      <c r="I1823" s="24">
        <v>8.5236233096E10</v>
      </c>
      <c r="J1823" s="18" t="s">
        <v>5938</v>
      </c>
      <c r="K1823" s="18"/>
      <c r="L1823" s="18" t="s">
        <v>1850</v>
      </c>
    </row>
    <row r="1824">
      <c r="A1824" s="18" t="s">
        <v>6572</v>
      </c>
      <c r="B1824" s="18" t="s">
        <v>791</v>
      </c>
      <c r="C1824" s="18" t="s">
        <v>6573</v>
      </c>
      <c r="D1824" s="18"/>
      <c r="E1824" s="24">
        <v>8.57364455E10</v>
      </c>
      <c r="F1824" s="24">
        <v>1.0</v>
      </c>
      <c r="G1824" s="18" t="s">
        <v>6573</v>
      </c>
      <c r="H1824" s="18"/>
      <c r="I1824" s="24">
        <v>8.57364455E10</v>
      </c>
      <c r="J1824" s="18" t="s">
        <v>6574</v>
      </c>
      <c r="K1824" s="18"/>
      <c r="L1824" s="18" t="s">
        <v>1289</v>
      </c>
    </row>
    <row r="1825">
      <c r="A1825" s="18" t="s">
        <v>6575</v>
      </c>
      <c r="B1825" s="18" t="s">
        <v>791</v>
      </c>
      <c r="C1825" s="18" t="s">
        <v>6576</v>
      </c>
      <c r="D1825" s="18"/>
      <c r="E1825" s="24">
        <v>8.5649315581E10</v>
      </c>
      <c r="F1825" s="24">
        <v>1.0</v>
      </c>
      <c r="G1825" s="18" t="s">
        <v>6576</v>
      </c>
      <c r="H1825" s="18"/>
      <c r="I1825" s="24">
        <v>8.5649315581E10</v>
      </c>
      <c r="J1825" s="18" t="s">
        <v>6577</v>
      </c>
      <c r="K1825" s="18"/>
      <c r="L1825" s="18" t="s">
        <v>3863</v>
      </c>
    </row>
    <row r="1826">
      <c r="A1826" s="18" t="s">
        <v>6578</v>
      </c>
      <c r="B1826" s="18" t="s">
        <v>791</v>
      </c>
      <c r="C1826" s="18" t="s">
        <v>6579</v>
      </c>
      <c r="D1826" s="18"/>
      <c r="E1826" s="24">
        <v>8.1556579761E10</v>
      </c>
      <c r="F1826" s="24">
        <v>1.0</v>
      </c>
      <c r="G1826" s="18" t="s">
        <v>6579</v>
      </c>
      <c r="H1826" s="18"/>
      <c r="I1826" s="24">
        <v>8.1556579761E10</v>
      </c>
      <c r="J1826" s="18" t="s">
        <v>6580</v>
      </c>
      <c r="K1826" s="18"/>
      <c r="L1826" s="18" t="s">
        <v>2205</v>
      </c>
    </row>
    <row r="1827">
      <c r="A1827" s="18" t="s">
        <v>6581</v>
      </c>
      <c r="B1827" s="18" t="s">
        <v>791</v>
      </c>
      <c r="C1827" s="18" t="s">
        <v>6582</v>
      </c>
      <c r="D1827" s="18"/>
      <c r="E1827" s="24">
        <v>8.5236049804E10</v>
      </c>
      <c r="F1827" s="24">
        <v>1.0</v>
      </c>
      <c r="G1827" s="18" t="s">
        <v>6582</v>
      </c>
      <c r="H1827" s="18"/>
      <c r="I1827" s="24">
        <v>8.5236049804E10</v>
      </c>
      <c r="J1827" s="24">
        <v>3.52101510781E15</v>
      </c>
      <c r="K1827" s="18"/>
      <c r="L1827" s="18" t="s">
        <v>6583</v>
      </c>
    </row>
    <row r="1828">
      <c r="A1828" s="18" t="s">
        <v>1056</v>
      </c>
      <c r="B1828" s="18" t="s">
        <v>791</v>
      </c>
      <c r="C1828" s="18" t="s">
        <v>1058</v>
      </c>
      <c r="D1828" s="18" t="s">
        <v>279</v>
      </c>
      <c r="E1828" s="24">
        <v>8.2135189165E10</v>
      </c>
      <c r="F1828" s="24">
        <v>1.0</v>
      </c>
      <c r="G1828" s="18" t="s">
        <v>1058</v>
      </c>
      <c r="H1828" s="18" t="s">
        <v>279</v>
      </c>
      <c r="I1828" s="24">
        <v>8.2135189165E10</v>
      </c>
      <c r="J1828" s="18" t="s">
        <v>1057</v>
      </c>
      <c r="K1828" s="18" t="s">
        <v>1057</v>
      </c>
      <c r="L1828" s="18" t="s">
        <v>1059</v>
      </c>
    </row>
    <row r="1829">
      <c r="A1829" s="18" t="s">
        <v>6584</v>
      </c>
      <c r="B1829" s="18" t="s">
        <v>791</v>
      </c>
      <c r="C1829" s="18" t="s">
        <v>6585</v>
      </c>
      <c r="D1829" s="18"/>
      <c r="E1829" s="24">
        <v>8.1556735721E10</v>
      </c>
      <c r="F1829" s="24">
        <v>1.0</v>
      </c>
      <c r="G1829" s="18" t="s">
        <v>6585</v>
      </c>
      <c r="H1829" s="18"/>
      <c r="I1829" s="24">
        <v>8.1556735721E10</v>
      </c>
      <c r="J1829" s="18" t="s">
        <v>6586</v>
      </c>
      <c r="K1829" s="18"/>
      <c r="L1829" s="18" t="s">
        <v>2385</v>
      </c>
    </row>
    <row r="1830">
      <c r="A1830" s="18" t="s">
        <v>6587</v>
      </c>
      <c r="B1830" s="18" t="s">
        <v>791</v>
      </c>
      <c r="C1830" s="18" t="s">
        <v>6588</v>
      </c>
      <c r="D1830" s="18"/>
      <c r="E1830" s="24">
        <v>8.1330768511E10</v>
      </c>
      <c r="F1830" s="24">
        <v>1.0</v>
      </c>
      <c r="G1830" s="18" t="s">
        <v>6588</v>
      </c>
      <c r="H1830" s="18"/>
      <c r="I1830" s="24">
        <v>8.1330768511E10</v>
      </c>
      <c r="J1830" s="18" t="s">
        <v>6589</v>
      </c>
      <c r="K1830" s="18"/>
      <c r="L1830" s="18" t="s">
        <v>4414</v>
      </c>
    </row>
    <row r="1831">
      <c r="A1831" s="18" t="s">
        <v>6591</v>
      </c>
      <c r="B1831" s="18" t="s">
        <v>791</v>
      </c>
      <c r="C1831" s="18" t="s">
        <v>6592</v>
      </c>
      <c r="D1831" s="18"/>
      <c r="E1831" s="24">
        <v>8.127535007E10</v>
      </c>
      <c r="F1831" s="24">
        <v>1.0</v>
      </c>
      <c r="G1831" s="18" t="s">
        <v>6592</v>
      </c>
      <c r="H1831" s="18"/>
      <c r="I1831" s="24">
        <v>8.127535007E10</v>
      </c>
      <c r="J1831" s="18" t="s">
        <v>6594</v>
      </c>
      <c r="K1831" s="18"/>
      <c r="L1831" s="18" t="s">
        <v>2711</v>
      </c>
    </row>
    <row r="1832">
      <c r="A1832" s="18" t="s">
        <v>6595</v>
      </c>
      <c r="B1832" s="18" t="s">
        <v>791</v>
      </c>
      <c r="C1832" s="18" t="s">
        <v>6596</v>
      </c>
      <c r="D1832" s="18"/>
      <c r="E1832" s="24">
        <v>8.1281437099E10</v>
      </c>
      <c r="F1832" s="24">
        <v>1.0</v>
      </c>
      <c r="G1832" s="18" t="s">
        <v>6596</v>
      </c>
      <c r="H1832" s="18"/>
      <c r="I1832" s="24">
        <v>8.1281437099E10</v>
      </c>
      <c r="J1832" s="18" t="s">
        <v>6597</v>
      </c>
      <c r="K1832" s="18"/>
      <c r="L1832" s="18" t="s">
        <v>5880</v>
      </c>
    </row>
    <row r="1833">
      <c r="A1833" s="18" t="s">
        <v>6598</v>
      </c>
      <c r="B1833" s="18" t="s">
        <v>791</v>
      </c>
      <c r="C1833" s="18" t="s">
        <v>6599</v>
      </c>
      <c r="D1833" s="18"/>
      <c r="E1833" s="24">
        <v>8.523362704E10</v>
      </c>
      <c r="F1833" s="24">
        <v>1.0</v>
      </c>
      <c r="G1833" s="18" t="s">
        <v>6599</v>
      </c>
      <c r="H1833" s="18"/>
      <c r="I1833" s="24">
        <v>8.523362704E10</v>
      </c>
      <c r="J1833" s="18" t="s">
        <v>6600</v>
      </c>
      <c r="K1833" s="18"/>
      <c r="L1833" s="18" t="s">
        <v>3721</v>
      </c>
    </row>
    <row r="1834">
      <c r="A1834" s="18" t="s">
        <v>6602</v>
      </c>
      <c r="B1834" s="18" t="s">
        <v>791</v>
      </c>
      <c r="C1834" s="18" t="s">
        <v>6603</v>
      </c>
      <c r="D1834" s="18"/>
      <c r="E1834" s="24">
        <v>8.1556735721E10</v>
      </c>
      <c r="F1834" s="24">
        <v>1.0</v>
      </c>
      <c r="G1834" s="18" t="s">
        <v>6603</v>
      </c>
      <c r="H1834" s="18"/>
      <c r="I1834" s="24">
        <v>8.1556735721E10</v>
      </c>
      <c r="J1834" s="18" t="s">
        <v>6604</v>
      </c>
      <c r="K1834" s="18"/>
      <c r="L1834" s="18" t="s">
        <v>2385</v>
      </c>
    </row>
    <row r="1835">
      <c r="A1835" s="18" t="s">
        <v>6605</v>
      </c>
      <c r="B1835" s="18" t="s">
        <v>791</v>
      </c>
      <c r="C1835" s="18" t="s">
        <v>6606</v>
      </c>
      <c r="D1835" s="18"/>
      <c r="E1835" s="24">
        <v>8.5235782242E10</v>
      </c>
      <c r="F1835" s="24">
        <v>1.0</v>
      </c>
      <c r="G1835" s="18" t="s">
        <v>6606</v>
      </c>
      <c r="H1835" s="18"/>
      <c r="I1835" s="24">
        <v>8.5235782242E10</v>
      </c>
      <c r="J1835" s="18" t="s">
        <v>6607</v>
      </c>
      <c r="K1835" s="18"/>
      <c r="L1835" s="18" t="s">
        <v>3286</v>
      </c>
    </row>
    <row r="1836">
      <c r="A1836" s="18" t="s">
        <v>6608</v>
      </c>
      <c r="B1836" s="18" t="s">
        <v>791</v>
      </c>
      <c r="C1836" s="18" t="s">
        <v>6609</v>
      </c>
      <c r="D1836" s="18"/>
      <c r="E1836" s="24">
        <v>8.5336760229E10</v>
      </c>
      <c r="F1836" s="24">
        <v>1.0</v>
      </c>
      <c r="G1836" s="18" t="s">
        <v>6609</v>
      </c>
      <c r="H1836" s="18"/>
      <c r="I1836" s="24">
        <v>8.5336760229E10</v>
      </c>
      <c r="J1836" s="18" t="s">
        <v>6611</v>
      </c>
      <c r="K1836" s="18"/>
      <c r="L1836" s="18" t="s">
        <v>1722</v>
      </c>
    </row>
    <row r="1837">
      <c r="A1837" s="18" t="s">
        <v>6613</v>
      </c>
      <c r="B1837" s="18" t="s">
        <v>791</v>
      </c>
      <c r="C1837" s="18" t="s">
        <v>6614</v>
      </c>
      <c r="D1837" s="18"/>
      <c r="E1837" s="24">
        <v>8.1230515354E10</v>
      </c>
      <c r="F1837" s="24">
        <v>1.0</v>
      </c>
      <c r="G1837" s="18" t="s">
        <v>6614</v>
      </c>
      <c r="H1837" s="18"/>
      <c r="I1837" s="24">
        <v>8.1230515354E10</v>
      </c>
      <c r="J1837" s="18" t="s">
        <v>6615</v>
      </c>
      <c r="K1837" s="18"/>
      <c r="L1837" s="18" t="s">
        <v>3342</v>
      </c>
    </row>
    <row r="1838">
      <c r="A1838" s="18" t="s">
        <v>6616</v>
      </c>
      <c r="B1838" s="18" t="s">
        <v>791</v>
      </c>
      <c r="C1838" s="18" t="s">
        <v>6614</v>
      </c>
      <c r="D1838" s="18"/>
      <c r="E1838" s="24">
        <v>8.5257708517E10</v>
      </c>
      <c r="F1838" s="24">
        <v>1.0</v>
      </c>
      <c r="G1838" s="18" t="s">
        <v>6614</v>
      </c>
      <c r="H1838" s="18"/>
      <c r="I1838" s="24">
        <v>8.5257708517E10</v>
      </c>
      <c r="J1838" s="18" t="s">
        <v>6617</v>
      </c>
      <c r="K1838" s="18"/>
      <c r="L1838" s="18" t="s">
        <v>6006</v>
      </c>
    </row>
    <row r="1839">
      <c r="A1839" s="18" t="s">
        <v>6618</v>
      </c>
      <c r="B1839" s="18" t="s">
        <v>791</v>
      </c>
      <c r="C1839" s="18" t="s">
        <v>6619</v>
      </c>
      <c r="D1839" s="18"/>
      <c r="E1839" s="24">
        <v>8.2331697033E10</v>
      </c>
      <c r="F1839" s="24">
        <v>1.0</v>
      </c>
      <c r="G1839" s="18" t="s">
        <v>6619</v>
      </c>
      <c r="H1839" s="18"/>
      <c r="I1839" s="24">
        <v>8.2331697033E10</v>
      </c>
      <c r="J1839" s="18" t="s">
        <v>6620</v>
      </c>
      <c r="K1839" s="18"/>
      <c r="L1839" s="18" t="s">
        <v>2615</v>
      </c>
    </row>
    <row r="1840">
      <c r="A1840" s="18" t="s">
        <v>6621</v>
      </c>
      <c r="B1840" s="18" t="s">
        <v>791</v>
      </c>
      <c r="C1840" s="18" t="s">
        <v>6622</v>
      </c>
      <c r="D1840" s="18"/>
      <c r="E1840" s="24">
        <v>8.5731615748E10</v>
      </c>
      <c r="F1840" s="24">
        <v>1.0</v>
      </c>
      <c r="G1840" s="18" t="s">
        <v>6622</v>
      </c>
      <c r="H1840" s="18"/>
      <c r="I1840" s="24">
        <v>8.5731615748E10</v>
      </c>
      <c r="J1840" s="18" t="s">
        <v>6623</v>
      </c>
      <c r="K1840" s="18"/>
      <c r="L1840" s="18" t="s">
        <v>5426</v>
      </c>
    </row>
    <row r="1841">
      <c r="A1841" s="18" t="s">
        <v>6624</v>
      </c>
      <c r="B1841" s="18" t="s">
        <v>791</v>
      </c>
      <c r="C1841" s="18" t="s">
        <v>6625</v>
      </c>
      <c r="D1841" s="18"/>
      <c r="E1841" s="24">
        <v>8.1332581089E10</v>
      </c>
      <c r="F1841" s="24">
        <v>1.0</v>
      </c>
      <c r="G1841" s="18" t="s">
        <v>6625</v>
      </c>
      <c r="H1841" s="18"/>
      <c r="I1841" s="24">
        <v>8.1332581089E10</v>
      </c>
      <c r="J1841" s="18" t="s">
        <v>6626</v>
      </c>
      <c r="K1841" s="18"/>
      <c r="L1841" s="18" t="s">
        <v>1186</v>
      </c>
    </row>
    <row r="1842">
      <c r="A1842" s="18" t="s">
        <v>6627</v>
      </c>
      <c r="B1842" s="18" t="s">
        <v>791</v>
      </c>
      <c r="C1842" s="18" t="s">
        <v>6628</v>
      </c>
      <c r="D1842" s="18"/>
      <c r="E1842" s="18"/>
      <c r="F1842" s="24">
        <v>1.0</v>
      </c>
      <c r="G1842" s="18" t="s">
        <v>6628</v>
      </c>
      <c r="H1842" s="18"/>
      <c r="I1842" s="18"/>
      <c r="J1842" s="18" t="s">
        <v>6629</v>
      </c>
      <c r="K1842" s="18"/>
      <c r="L1842" s="18"/>
    </row>
    <row r="1843">
      <c r="A1843" s="18" t="s">
        <v>6630</v>
      </c>
      <c r="B1843" s="18" t="s">
        <v>791</v>
      </c>
      <c r="C1843" s="18" t="s">
        <v>6631</v>
      </c>
      <c r="D1843" s="18"/>
      <c r="E1843" s="24">
        <v>8.5234720809E10</v>
      </c>
      <c r="F1843" s="24">
        <v>1.0</v>
      </c>
      <c r="G1843" s="18" t="s">
        <v>6631</v>
      </c>
      <c r="H1843" s="18"/>
      <c r="I1843" s="24">
        <v>8.5234720809E10</v>
      </c>
      <c r="J1843" s="18" t="s">
        <v>5247</v>
      </c>
      <c r="K1843" s="18"/>
      <c r="L1843" s="18" t="s">
        <v>1677</v>
      </c>
    </row>
    <row r="1844">
      <c r="A1844" s="18" t="s">
        <v>6632</v>
      </c>
      <c r="B1844" s="18" t="s">
        <v>791</v>
      </c>
      <c r="C1844" s="18" t="s">
        <v>6633</v>
      </c>
      <c r="D1844" s="18"/>
      <c r="E1844" s="24">
        <v>8.2337029948E10</v>
      </c>
      <c r="F1844" s="24">
        <v>1.0</v>
      </c>
      <c r="G1844" s="18" t="s">
        <v>6633</v>
      </c>
      <c r="H1844" s="18"/>
      <c r="I1844" s="24">
        <v>8.2337029948E10</v>
      </c>
      <c r="J1844" s="18" t="s">
        <v>6634</v>
      </c>
      <c r="K1844" s="18"/>
      <c r="L1844" s="18" t="s">
        <v>3202</v>
      </c>
    </row>
    <row r="1845">
      <c r="A1845" s="18" t="s">
        <v>6635</v>
      </c>
      <c r="B1845" s="18" t="s">
        <v>791</v>
      </c>
      <c r="C1845" s="18" t="s">
        <v>6633</v>
      </c>
      <c r="D1845" s="18"/>
      <c r="E1845" s="24">
        <v>8.5103373232E10</v>
      </c>
      <c r="F1845" s="24">
        <v>1.0</v>
      </c>
      <c r="G1845" s="18" t="s">
        <v>6633</v>
      </c>
      <c r="H1845" s="18"/>
      <c r="I1845" s="24">
        <v>8.5103373232E10</v>
      </c>
      <c r="J1845" s="18" t="s">
        <v>6636</v>
      </c>
      <c r="K1845" s="18"/>
      <c r="L1845" s="18" t="s">
        <v>1519</v>
      </c>
    </row>
    <row r="1846">
      <c r="A1846" s="18" t="s">
        <v>6637</v>
      </c>
      <c r="B1846" s="18" t="s">
        <v>791</v>
      </c>
      <c r="C1846" s="18" t="s">
        <v>6631</v>
      </c>
      <c r="D1846" s="18"/>
      <c r="E1846" s="24">
        <v>8.1335782873E10</v>
      </c>
      <c r="F1846" s="24">
        <v>1.0</v>
      </c>
      <c r="G1846" s="18" t="s">
        <v>6631</v>
      </c>
      <c r="H1846" s="18"/>
      <c r="I1846" s="24">
        <v>8.1335782873E10</v>
      </c>
      <c r="J1846" s="18" t="s">
        <v>6638</v>
      </c>
      <c r="K1846" s="18"/>
      <c r="L1846" s="18" t="s">
        <v>6639</v>
      </c>
    </row>
    <row r="1847">
      <c r="A1847" s="18" t="s">
        <v>6640</v>
      </c>
      <c r="B1847" s="18" t="s">
        <v>791</v>
      </c>
      <c r="C1847" s="18" t="s">
        <v>6641</v>
      </c>
      <c r="D1847" s="18"/>
      <c r="E1847" s="24">
        <v>8.5259755878E10</v>
      </c>
      <c r="F1847" s="24">
        <v>1.0</v>
      </c>
      <c r="G1847" s="18" t="s">
        <v>6641</v>
      </c>
      <c r="H1847" s="18"/>
      <c r="I1847" s="24">
        <v>8.5259755878E10</v>
      </c>
      <c r="J1847" s="18" t="s">
        <v>6642</v>
      </c>
      <c r="K1847" s="18"/>
      <c r="L1847" s="18" t="s">
        <v>3154</v>
      </c>
    </row>
    <row r="1848">
      <c r="A1848" s="18" t="s">
        <v>6643</v>
      </c>
      <c r="B1848" s="18" t="s">
        <v>791</v>
      </c>
      <c r="C1848" s="18" t="s">
        <v>6644</v>
      </c>
      <c r="D1848" s="18"/>
      <c r="E1848" s="24">
        <v>8.1335309623E10</v>
      </c>
      <c r="F1848" s="24">
        <v>1.0</v>
      </c>
      <c r="G1848" s="18" t="s">
        <v>6644</v>
      </c>
      <c r="H1848" s="18"/>
      <c r="I1848" s="24">
        <v>8.1335309623E10</v>
      </c>
      <c r="J1848" s="18" t="s">
        <v>6645</v>
      </c>
      <c r="K1848" s="18"/>
      <c r="L1848" s="18" t="s">
        <v>6646</v>
      </c>
    </row>
    <row r="1849">
      <c r="A1849" s="18" t="s">
        <v>6647</v>
      </c>
      <c r="B1849" s="18" t="s">
        <v>791</v>
      </c>
      <c r="C1849" s="18" t="s">
        <v>6648</v>
      </c>
      <c r="D1849" s="18"/>
      <c r="E1849" s="24">
        <v>8.2332409958E10</v>
      </c>
      <c r="F1849" s="24">
        <v>1.0</v>
      </c>
      <c r="G1849" s="18" t="s">
        <v>6648</v>
      </c>
      <c r="H1849" s="18"/>
      <c r="I1849" s="24">
        <v>8.2332409958E10</v>
      </c>
      <c r="J1849" s="18" t="s">
        <v>6649</v>
      </c>
      <c r="K1849" s="18"/>
      <c r="L1849" s="18" t="s">
        <v>2098</v>
      </c>
    </row>
    <row r="1850">
      <c r="A1850" s="18" t="s">
        <v>1334</v>
      </c>
      <c r="B1850" s="18" t="s">
        <v>791</v>
      </c>
      <c r="C1850" s="18" t="s">
        <v>1336</v>
      </c>
      <c r="D1850" s="18"/>
      <c r="E1850" s="24">
        <v>8.5784809735E10</v>
      </c>
      <c r="F1850" s="24">
        <v>1.0</v>
      </c>
      <c r="G1850" s="18" t="s">
        <v>1336</v>
      </c>
      <c r="H1850" s="18"/>
      <c r="I1850" s="24">
        <v>8.5784809735E10</v>
      </c>
      <c r="J1850" s="18" t="s">
        <v>1335</v>
      </c>
      <c r="K1850" s="18"/>
      <c r="L1850" s="18" t="s">
        <v>1315</v>
      </c>
    </row>
    <row r="1851">
      <c r="A1851" s="18" t="s">
        <v>6651</v>
      </c>
      <c r="B1851" s="18" t="s">
        <v>791</v>
      </c>
      <c r="C1851" s="18" t="s">
        <v>1336</v>
      </c>
      <c r="D1851" s="18"/>
      <c r="E1851" s="24">
        <v>8.2143044811E10</v>
      </c>
      <c r="F1851" s="24">
        <v>1.0</v>
      </c>
      <c r="G1851" s="18" t="s">
        <v>1336</v>
      </c>
      <c r="H1851" s="18"/>
      <c r="I1851" s="24">
        <v>8.2143044811E10</v>
      </c>
      <c r="J1851" s="18" t="s">
        <v>6652</v>
      </c>
      <c r="K1851" s="18"/>
      <c r="L1851" s="18" t="s">
        <v>5580</v>
      </c>
    </row>
    <row r="1852">
      <c r="A1852" s="18" t="s">
        <v>6653</v>
      </c>
      <c r="B1852" s="18" t="s">
        <v>791</v>
      </c>
      <c r="C1852" s="18" t="s">
        <v>6654</v>
      </c>
      <c r="D1852" s="18"/>
      <c r="E1852" s="24">
        <v>8.125936923E9</v>
      </c>
      <c r="F1852" s="24">
        <v>1.0</v>
      </c>
      <c r="G1852" s="18" t="s">
        <v>6654</v>
      </c>
      <c r="H1852" s="18"/>
      <c r="I1852" s="24">
        <v>8.125936923E9</v>
      </c>
      <c r="J1852" s="18" t="s">
        <v>6655</v>
      </c>
      <c r="K1852" s="18"/>
      <c r="L1852" s="18" t="s">
        <v>3335</v>
      </c>
    </row>
    <row r="1853">
      <c r="A1853" s="18" t="s">
        <v>6656</v>
      </c>
      <c r="B1853" s="18" t="s">
        <v>791</v>
      </c>
      <c r="C1853" s="18" t="s">
        <v>1336</v>
      </c>
      <c r="D1853" s="18"/>
      <c r="E1853" s="24">
        <v>8.1234326507E10</v>
      </c>
      <c r="F1853" s="24">
        <v>1.0</v>
      </c>
      <c r="G1853" s="18" t="s">
        <v>1336</v>
      </c>
      <c r="H1853" s="18"/>
      <c r="I1853" s="24">
        <v>8.1234326507E10</v>
      </c>
      <c r="J1853" s="18" t="s">
        <v>6657</v>
      </c>
      <c r="K1853" s="18"/>
      <c r="L1853" s="18" t="s">
        <v>6658</v>
      </c>
    </row>
    <row r="1854">
      <c r="A1854" s="18" t="s">
        <v>6659</v>
      </c>
      <c r="B1854" s="18" t="s">
        <v>791</v>
      </c>
      <c r="C1854" s="18" t="s">
        <v>6660</v>
      </c>
      <c r="D1854" s="18"/>
      <c r="E1854" s="24">
        <v>8.1217843127E10</v>
      </c>
      <c r="F1854" s="24">
        <v>1.0</v>
      </c>
      <c r="G1854" s="18" t="s">
        <v>6660</v>
      </c>
      <c r="H1854" s="18"/>
      <c r="I1854" s="24">
        <v>8.1217843127E10</v>
      </c>
      <c r="J1854" s="18" t="s">
        <v>6661</v>
      </c>
      <c r="K1854" s="18"/>
      <c r="L1854" s="18" t="s">
        <v>84</v>
      </c>
    </row>
    <row r="1855">
      <c r="A1855" s="18" t="s">
        <v>6662</v>
      </c>
      <c r="B1855" s="18" t="s">
        <v>791</v>
      </c>
      <c r="C1855" s="18" t="s">
        <v>6663</v>
      </c>
      <c r="D1855" s="18"/>
      <c r="E1855" s="24">
        <v>8.1335683393E10</v>
      </c>
      <c r="F1855" s="24">
        <v>1.0</v>
      </c>
      <c r="G1855" s="18" t="s">
        <v>6663</v>
      </c>
      <c r="H1855" s="18"/>
      <c r="I1855" s="24">
        <v>8.1335683393E10</v>
      </c>
      <c r="J1855" s="18" t="s">
        <v>6665</v>
      </c>
      <c r="K1855" s="18"/>
      <c r="L1855" s="18" t="s">
        <v>3178</v>
      </c>
    </row>
    <row r="1856">
      <c r="A1856" s="18" t="s">
        <v>6666</v>
      </c>
      <c r="B1856" s="18" t="s">
        <v>791</v>
      </c>
      <c r="C1856" s="18" t="s">
        <v>6667</v>
      </c>
      <c r="D1856" s="18"/>
      <c r="E1856" s="24">
        <v>8.2131375474E10</v>
      </c>
      <c r="F1856" s="24">
        <v>1.0</v>
      </c>
      <c r="G1856" s="18" t="s">
        <v>6667</v>
      </c>
      <c r="H1856" s="18"/>
      <c r="I1856" s="24">
        <v>8.2131375474E10</v>
      </c>
      <c r="J1856" s="18" t="s">
        <v>6668</v>
      </c>
      <c r="K1856" s="18"/>
      <c r="L1856" s="18" t="s">
        <v>5573</v>
      </c>
    </row>
    <row r="1857">
      <c r="A1857" s="18" t="s">
        <v>6670</v>
      </c>
      <c r="B1857" s="18" t="s">
        <v>791</v>
      </c>
      <c r="C1857" s="18" t="s">
        <v>6667</v>
      </c>
      <c r="D1857" s="18"/>
      <c r="E1857" s="24">
        <v>8.123430386E10</v>
      </c>
      <c r="F1857" s="24">
        <v>1.0</v>
      </c>
      <c r="G1857" s="18" t="s">
        <v>6667</v>
      </c>
      <c r="H1857" s="18"/>
      <c r="I1857" s="24">
        <v>8.123430386E10</v>
      </c>
      <c r="J1857" s="18" t="s">
        <v>6671</v>
      </c>
      <c r="K1857" s="18"/>
      <c r="L1857" s="18" t="s">
        <v>3115</v>
      </c>
    </row>
    <row r="1858">
      <c r="A1858" s="18" t="s">
        <v>6672</v>
      </c>
      <c r="B1858" s="18" t="s">
        <v>791</v>
      </c>
      <c r="C1858" s="18" t="s">
        <v>6673</v>
      </c>
      <c r="D1858" s="18"/>
      <c r="E1858" s="24">
        <v>8.5233605545E10</v>
      </c>
      <c r="F1858" s="24">
        <v>1.0</v>
      </c>
      <c r="G1858" s="18" t="s">
        <v>6673</v>
      </c>
      <c r="H1858" s="18"/>
      <c r="I1858" s="24">
        <v>8.5233605545E10</v>
      </c>
      <c r="J1858" s="18" t="s">
        <v>6674</v>
      </c>
      <c r="K1858" s="18"/>
      <c r="L1858" s="18" t="s">
        <v>1673</v>
      </c>
    </row>
    <row r="1859">
      <c r="A1859" s="18" t="s">
        <v>6675</v>
      </c>
      <c r="B1859" s="18" t="s">
        <v>791</v>
      </c>
      <c r="C1859" s="18" t="s">
        <v>6676</v>
      </c>
      <c r="D1859" s="18"/>
      <c r="E1859" s="24">
        <v>8.5102517456E10</v>
      </c>
      <c r="F1859" s="24">
        <v>1.0</v>
      </c>
      <c r="G1859" s="18" t="s">
        <v>6676</v>
      </c>
      <c r="H1859" s="18"/>
      <c r="I1859" s="24">
        <v>8.5102517456E10</v>
      </c>
      <c r="J1859" s="18" t="s">
        <v>6677</v>
      </c>
      <c r="K1859" s="18"/>
      <c r="L1859" s="18" t="s">
        <v>1246</v>
      </c>
    </row>
    <row r="1860">
      <c r="A1860" s="18" t="s">
        <v>6678</v>
      </c>
      <c r="B1860" s="18" t="s">
        <v>791</v>
      </c>
      <c r="C1860" s="18" t="s">
        <v>6679</v>
      </c>
      <c r="D1860" s="18"/>
      <c r="E1860" s="24">
        <v>8.2335355254E10</v>
      </c>
      <c r="F1860" s="24">
        <v>1.0</v>
      </c>
      <c r="G1860" s="18" t="s">
        <v>6679</v>
      </c>
      <c r="H1860" s="18"/>
      <c r="I1860" s="24">
        <v>8.2335355254E10</v>
      </c>
      <c r="J1860" s="18" t="s">
        <v>6680</v>
      </c>
      <c r="K1860" s="18"/>
      <c r="L1860" s="18" t="s">
        <v>2022</v>
      </c>
    </row>
    <row r="1861">
      <c r="A1861" s="18" t="s">
        <v>6681</v>
      </c>
      <c r="B1861" s="18" t="s">
        <v>791</v>
      </c>
      <c r="C1861" s="18" t="s">
        <v>6682</v>
      </c>
      <c r="D1861" s="18"/>
      <c r="E1861" s="24">
        <v>8.121339341E9</v>
      </c>
      <c r="F1861" s="24">
        <v>1.0</v>
      </c>
      <c r="G1861" s="18" t="s">
        <v>6682</v>
      </c>
      <c r="H1861" s="18"/>
      <c r="I1861" s="24">
        <v>8.121339341E9</v>
      </c>
      <c r="J1861" s="18" t="s">
        <v>6683</v>
      </c>
      <c r="K1861" s="18"/>
      <c r="L1861" s="18" t="s">
        <v>6684</v>
      </c>
    </row>
    <row r="1862">
      <c r="A1862" s="18" t="s">
        <v>6685</v>
      </c>
      <c r="B1862" s="18" t="s">
        <v>791</v>
      </c>
      <c r="C1862" s="18" t="s">
        <v>6686</v>
      </c>
      <c r="D1862" s="18"/>
      <c r="E1862" s="18"/>
      <c r="F1862" s="24">
        <v>1.0</v>
      </c>
      <c r="G1862" s="18" t="s">
        <v>6686</v>
      </c>
      <c r="H1862" s="18"/>
      <c r="I1862" s="18"/>
      <c r="J1862" s="18" t="s">
        <v>6687</v>
      </c>
      <c r="K1862" s="18"/>
      <c r="L1862" s="18"/>
    </row>
    <row r="1863">
      <c r="A1863" s="18" t="s">
        <v>6688</v>
      </c>
      <c r="B1863" s="18" t="s">
        <v>791</v>
      </c>
      <c r="C1863" s="18" t="s">
        <v>6689</v>
      </c>
      <c r="D1863" s="18"/>
      <c r="E1863" s="24">
        <v>8.12342722E9</v>
      </c>
      <c r="F1863" s="24">
        <v>1.0</v>
      </c>
      <c r="G1863" s="18" t="s">
        <v>6689</v>
      </c>
      <c r="H1863" s="18"/>
      <c r="I1863" s="24">
        <v>8.12342722E9</v>
      </c>
      <c r="J1863" s="18" t="s">
        <v>6690</v>
      </c>
      <c r="K1863" s="18"/>
      <c r="L1863" s="18" t="s">
        <v>3792</v>
      </c>
    </row>
    <row r="1864">
      <c r="A1864" s="18" t="s">
        <v>6691</v>
      </c>
      <c r="B1864" s="18" t="s">
        <v>791</v>
      </c>
      <c r="C1864" s="18" t="s">
        <v>6692</v>
      </c>
      <c r="D1864" s="18"/>
      <c r="E1864" s="24">
        <v>8.1330388914E10</v>
      </c>
      <c r="F1864" s="24">
        <v>1.0</v>
      </c>
      <c r="G1864" s="18" t="s">
        <v>6692</v>
      </c>
      <c r="H1864" s="18"/>
      <c r="I1864" s="24">
        <v>8.1330388914E10</v>
      </c>
      <c r="J1864" s="18" t="s">
        <v>6693</v>
      </c>
      <c r="K1864" s="18"/>
      <c r="L1864" s="18" t="s">
        <v>6694</v>
      </c>
    </row>
    <row r="1865">
      <c r="A1865" s="18" t="s">
        <v>6695</v>
      </c>
      <c r="B1865" s="18" t="s">
        <v>791</v>
      </c>
      <c r="C1865" s="18" t="s">
        <v>6692</v>
      </c>
      <c r="D1865" s="18"/>
      <c r="E1865" s="24">
        <v>8.5790365549E10</v>
      </c>
      <c r="F1865" s="24">
        <v>1.0</v>
      </c>
      <c r="G1865" s="18" t="s">
        <v>6692</v>
      </c>
      <c r="H1865" s="18"/>
      <c r="I1865" s="24">
        <v>8.5790365549E10</v>
      </c>
      <c r="J1865" s="18" t="s">
        <v>6696</v>
      </c>
      <c r="K1865" s="18"/>
      <c r="L1865" s="18" t="s">
        <v>6194</v>
      </c>
    </row>
    <row r="1866">
      <c r="A1866" s="18" t="s">
        <v>6698</v>
      </c>
      <c r="B1866" s="18" t="s">
        <v>791</v>
      </c>
      <c r="C1866" s="18" t="s">
        <v>6699</v>
      </c>
      <c r="D1866" s="18"/>
      <c r="E1866" s="24">
        <v>8.5807224409E10</v>
      </c>
      <c r="F1866" s="24">
        <v>1.0</v>
      </c>
      <c r="G1866" s="18" t="s">
        <v>6699</v>
      </c>
      <c r="H1866" s="18"/>
      <c r="I1866" s="24">
        <v>8.5807224409E10</v>
      </c>
      <c r="J1866" s="18" t="s">
        <v>6700</v>
      </c>
      <c r="K1866" s="18"/>
      <c r="L1866" s="18" t="s">
        <v>2872</v>
      </c>
    </row>
    <row r="1867">
      <c r="A1867" s="18" t="s">
        <v>6701</v>
      </c>
      <c r="B1867" s="18" t="s">
        <v>791</v>
      </c>
      <c r="C1867" s="18" t="s">
        <v>6702</v>
      </c>
      <c r="D1867" s="18"/>
      <c r="E1867" s="24">
        <v>8.125949144E9</v>
      </c>
      <c r="F1867" s="24">
        <v>1.0</v>
      </c>
      <c r="G1867" s="18" t="s">
        <v>6702</v>
      </c>
      <c r="H1867" s="18"/>
      <c r="I1867" s="24">
        <v>8.125949144E9</v>
      </c>
      <c r="J1867" s="18" t="s">
        <v>6703</v>
      </c>
      <c r="K1867" s="18"/>
      <c r="L1867" s="18" t="s">
        <v>5573</v>
      </c>
    </row>
    <row r="1868">
      <c r="A1868" s="18" t="s">
        <v>6704</v>
      </c>
      <c r="B1868" s="18" t="s">
        <v>791</v>
      </c>
      <c r="C1868" s="18" t="s">
        <v>6706</v>
      </c>
      <c r="D1868" s="18"/>
      <c r="E1868" s="24">
        <v>8.1232856662E10</v>
      </c>
      <c r="F1868" s="24">
        <v>1.0</v>
      </c>
      <c r="G1868" s="18" t="s">
        <v>6706</v>
      </c>
      <c r="H1868" s="18"/>
      <c r="I1868" s="24">
        <v>8.1232856662E10</v>
      </c>
      <c r="J1868" s="18" t="s">
        <v>6707</v>
      </c>
      <c r="K1868" s="18"/>
      <c r="L1868" s="18" t="s">
        <v>1466</v>
      </c>
    </row>
    <row r="1869">
      <c r="A1869" s="18" t="s">
        <v>6708</v>
      </c>
      <c r="B1869" s="18" t="s">
        <v>791</v>
      </c>
      <c r="C1869" s="18" t="s">
        <v>6710</v>
      </c>
      <c r="D1869" s="18"/>
      <c r="E1869" s="24">
        <v>8.570857555E10</v>
      </c>
      <c r="F1869" s="24">
        <v>1.0</v>
      </c>
      <c r="G1869" s="18" t="s">
        <v>6710</v>
      </c>
      <c r="H1869" s="18"/>
      <c r="I1869" s="24">
        <v>8.570857555E10</v>
      </c>
      <c r="J1869" s="18" t="s">
        <v>5141</v>
      </c>
      <c r="K1869" s="18"/>
      <c r="L1869" s="18" t="s">
        <v>4504</v>
      </c>
    </row>
    <row r="1870">
      <c r="A1870" s="18" t="s">
        <v>6711</v>
      </c>
      <c r="B1870" s="18" t="s">
        <v>791</v>
      </c>
      <c r="C1870" s="18" t="s">
        <v>6712</v>
      </c>
      <c r="D1870" s="18"/>
      <c r="E1870" s="24">
        <v>8.125990493E9</v>
      </c>
      <c r="F1870" s="24">
        <v>1.0</v>
      </c>
      <c r="G1870" s="18" t="s">
        <v>6712</v>
      </c>
      <c r="H1870" s="18"/>
      <c r="I1870" s="24">
        <v>8.125990493E9</v>
      </c>
      <c r="J1870" s="18" t="s">
        <v>6713</v>
      </c>
      <c r="K1870" s="18"/>
      <c r="L1870" s="18" t="s">
        <v>4472</v>
      </c>
    </row>
    <row r="1871">
      <c r="A1871" s="18" t="s">
        <v>6714</v>
      </c>
      <c r="B1871" s="18" t="s">
        <v>791</v>
      </c>
      <c r="C1871" s="18" t="s">
        <v>6715</v>
      </c>
      <c r="D1871" s="18"/>
      <c r="E1871" s="24">
        <v>8.5103373232E10</v>
      </c>
      <c r="F1871" s="24">
        <v>1.0</v>
      </c>
      <c r="G1871" s="18" t="s">
        <v>6715</v>
      </c>
      <c r="H1871" s="18"/>
      <c r="I1871" s="24">
        <v>8.5103373232E10</v>
      </c>
      <c r="J1871" s="18" t="s">
        <v>6716</v>
      </c>
      <c r="K1871" s="18"/>
      <c r="L1871" s="18" t="s">
        <v>1519</v>
      </c>
    </row>
    <row r="1872">
      <c r="A1872" s="18" t="s">
        <v>6717</v>
      </c>
      <c r="B1872" s="18" t="s">
        <v>791</v>
      </c>
      <c r="C1872" s="18" t="s">
        <v>6715</v>
      </c>
      <c r="D1872" s="18"/>
      <c r="E1872" s="24">
        <v>8.5735537955E10</v>
      </c>
      <c r="F1872" s="24">
        <v>1.0</v>
      </c>
      <c r="G1872" s="18" t="s">
        <v>6715</v>
      </c>
      <c r="H1872" s="18"/>
      <c r="I1872" s="24">
        <v>8.5735537955E10</v>
      </c>
      <c r="J1872" s="18" t="s">
        <v>6718</v>
      </c>
      <c r="K1872" s="18"/>
      <c r="L1872" s="18" t="s">
        <v>6719</v>
      </c>
    </row>
    <row r="1873">
      <c r="A1873" s="18" t="s">
        <v>6720</v>
      </c>
      <c r="B1873" s="18" t="s">
        <v>791</v>
      </c>
      <c r="C1873" s="18" t="s">
        <v>6721</v>
      </c>
      <c r="D1873" s="18"/>
      <c r="E1873" s="18"/>
      <c r="F1873" s="24">
        <v>1.0</v>
      </c>
      <c r="G1873" s="18" t="s">
        <v>6721</v>
      </c>
      <c r="H1873" s="18"/>
      <c r="I1873" s="18"/>
      <c r="J1873" s="18" t="s">
        <v>6722</v>
      </c>
      <c r="K1873" s="18"/>
      <c r="L1873" s="18"/>
    </row>
    <row r="1874">
      <c r="A1874" s="18" t="s">
        <v>6723</v>
      </c>
      <c r="B1874" s="18" t="s">
        <v>791</v>
      </c>
      <c r="C1874" s="18" t="s">
        <v>6721</v>
      </c>
      <c r="D1874" s="18"/>
      <c r="E1874" s="24">
        <v>8.5235665154E10</v>
      </c>
      <c r="F1874" s="24">
        <v>1.0</v>
      </c>
      <c r="G1874" s="18" t="s">
        <v>6721</v>
      </c>
      <c r="H1874" s="18"/>
      <c r="I1874" s="24">
        <v>8.5235665154E10</v>
      </c>
      <c r="J1874" s="18" t="s">
        <v>6725</v>
      </c>
      <c r="K1874" s="18"/>
      <c r="L1874" s="18" t="s">
        <v>949</v>
      </c>
    </row>
    <row r="1875">
      <c r="A1875" s="18" t="s">
        <v>6726</v>
      </c>
      <c r="B1875" s="18" t="s">
        <v>791</v>
      </c>
      <c r="C1875" s="18" t="s">
        <v>6715</v>
      </c>
      <c r="D1875" s="18"/>
      <c r="E1875" s="24">
        <v>8.1335285851E10</v>
      </c>
      <c r="F1875" s="24">
        <v>1.0</v>
      </c>
      <c r="G1875" s="18" t="s">
        <v>6715</v>
      </c>
      <c r="H1875" s="18"/>
      <c r="I1875" s="24">
        <v>8.1335285851E10</v>
      </c>
      <c r="J1875" s="18" t="s">
        <v>6727</v>
      </c>
      <c r="K1875" s="18"/>
      <c r="L1875" s="18" t="s">
        <v>2308</v>
      </c>
    </row>
    <row r="1876">
      <c r="A1876" s="18" t="s">
        <v>6728</v>
      </c>
      <c r="B1876" s="18" t="s">
        <v>791</v>
      </c>
      <c r="C1876" s="18" t="s">
        <v>6729</v>
      </c>
      <c r="D1876" s="18"/>
      <c r="E1876" s="24">
        <v>8.1335671489E10</v>
      </c>
      <c r="F1876" s="24">
        <v>1.0</v>
      </c>
      <c r="G1876" s="18" t="s">
        <v>6729</v>
      </c>
      <c r="H1876" s="18"/>
      <c r="I1876" s="24">
        <v>8.1335671489E10</v>
      </c>
      <c r="J1876" s="18" t="s">
        <v>6730</v>
      </c>
      <c r="K1876" s="18"/>
      <c r="L1876" s="18" t="s">
        <v>3137</v>
      </c>
    </row>
    <row r="1877">
      <c r="A1877" s="18" t="s">
        <v>6732</v>
      </c>
      <c r="B1877" s="18" t="s">
        <v>791</v>
      </c>
      <c r="C1877" s="18" t="s">
        <v>6733</v>
      </c>
      <c r="D1877" s="18"/>
      <c r="E1877" s="24">
        <v>8.5234720809E10</v>
      </c>
      <c r="F1877" s="24">
        <v>1.0</v>
      </c>
      <c r="G1877" s="18" t="s">
        <v>6733</v>
      </c>
      <c r="H1877" s="18"/>
      <c r="I1877" s="24">
        <v>8.5234720809E10</v>
      </c>
      <c r="J1877" s="18" t="s">
        <v>5290</v>
      </c>
      <c r="K1877" s="18"/>
      <c r="L1877" s="18" t="s">
        <v>1677</v>
      </c>
    </row>
    <row r="1878">
      <c r="A1878" s="18" t="s">
        <v>6734</v>
      </c>
      <c r="B1878" s="18" t="s">
        <v>791</v>
      </c>
      <c r="C1878" s="18" t="s">
        <v>6735</v>
      </c>
      <c r="D1878" s="18"/>
      <c r="E1878" s="24">
        <v>8.5236233096E10</v>
      </c>
      <c r="F1878" s="24">
        <v>1.0</v>
      </c>
      <c r="G1878" s="18" t="s">
        <v>6735</v>
      </c>
      <c r="H1878" s="18"/>
      <c r="I1878" s="24">
        <v>8.5236233096E10</v>
      </c>
      <c r="J1878" s="18" t="s">
        <v>5001</v>
      </c>
      <c r="K1878" s="18"/>
      <c r="L1878" s="18" t="s">
        <v>1850</v>
      </c>
    </row>
    <row r="1879">
      <c r="A1879" s="18" t="s">
        <v>6736</v>
      </c>
      <c r="B1879" s="18" t="s">
        <v>791</v>
      </c>
      <c r="C1879" s="18" t="s">
        <v>6737</v>
      </c>
      <c r="D1879" s="18"/>
      <c r="E1879" s="24">
        <v>8.570857555E10</v>
      </c>
      <c r="F1879" s="24">
        <v>1.0</v>
      </c>
      <c r="G1879" s="18" t="s">
        <v>6737</v>
      </c>
      <c r="H1879" s="18"/>
      <c r="I1879" s="24">
        <v>8.570857555E10</v>
      </c>
      <c r="J1879" s="18" t="s">
        <v>6268</v>
      </c>
      <c r="K1879" s="18"/>
      <c r="L1879" s="18" t="s">
        <v>4504</v>
      </c>
    </row>
    <row r="1880">
      <c r="A1880" s="18" t="s">
        <v>6738</v>
      </c>
      <c r="B1880" s="18" t="s">
        <v>791</v>
      </c>
      <c r="C1880" s="18" t="s">
        <v>6739</v>
      </c>
      <c r="D1880" s="18"/>
      <c r="E1880" s="24">
        <v>8.1335464406E10</v>
      </c>
      <c r="F1880" s="24">
        <v>1.0</v>
      </c>
      <c r="G1880" s="18" t="s">
        <v>6739</v>
      </c>
      <c r="H1880" s="18"/>
      <c r="I1880" s="24">
        <v>8.1335464406E10</v>
      </c>
      <c r="J1880" s="18" t="s">
        <v>6740</v>
      </c>
      <c r="K1880" s="18"/>
      <c r="L1880" s="18" t="s">
        <v>1623</v>
      </c>
    </row>
    <row r="1881">
      <c r="A1881" s="18" t="s">
        <v>6741</v>
      </c>
      <c r="B1881" s="18" t="s">
        <v>791</v>
      </c>
      <c r="C1881" s="18" t="s">
        <v>6743</v>
      </c>
      <c r="D1881" s="18"/>
      <c r="E1881" s="24">
        <v>8.1335186373E10</v>
      </c>
      <c r="F1881" s="24">
        <v>1.0</v>
      </c>
      <c r="G1881" s="18" t="s">
        <v>6743</v>
      </c>
      <c r="H1881" s="18"/>
      <c r="I1881" s="24">
        <v>8.1335186373E10</v>
      </c>
      <c r="J1881" s="18" t="s">
        <v>6744</v>
      </c>
      <c r="K1881" s="18"/>
      <c r="L1881" s="18" t="s">
        <v>6745</v>
      </c>
    </row>
    <row r="1882">
      <c r="A1882" s="18" t="s">
        <v>6746</v>
      </c>
      <c r="B1882" s="18" t="s">
        <v>791</v>
      </c>
      <c r="C1882" s="18" t="s">
        <v>6747</v>
      </c>
      <c r="D1882" s="18"/>
      <c r="E1882" s="24">
        <v>8.1335785687E10</v>
      </c>
      <c r="F1882" s="24">
        <v>1.0</v>
      </c>
      <c r="G1882" s="18" t="s">
        <v>6747</v>
      </c>
      <c r="H1882" s="18"/>
      <c r="I1882" s="24">
        <v>8.1335785687E10</v>
      </c>
      <c r="J1882" s="18" t="s">
        <v>6748</v>
      </c>
      <c r="K1882" s="18"/>
      <c r="L1882" s="18" t="s">
        <v>5042</v>
      </c>
    </row>
    <row r="1883">
      <c r="A1883" s="18" t="s">
        <v>6749</v>
      </c>
      <c r="B1883" s="18" t="s">
        <v>791</v>
      </c>
      <c r="C1883" s="18" t="s">
        <v>6750</v>
      </c>
      <c r="D1883" s="18"/>
      <c r="E1883" s="24">
        <v>8.5257516356E10</v>
      </c>
      <c r="F1883" s="24">
        <v>1.0</v>
      </c>
      <c r="G1883" s="18" t="s">
        <v>6750</v>
      </c>
      <c r="H1883" s="18"/>
      <c r="I1883" s="24">
        <v>8.5257516356E10</v>
      </c>
      <c r="J1883" s="18" t="s">
        <v>6751</v>
      </c>
      <c r="K1883" s="18"/>
      <c r="L1883" s="18" t="s">
        <v>1515</v>
      </c>
    </row>
    <row r="1884">
      <c r="A1884" s="18" t="s">
        <v>943</v>
      </c>
      <c r="B1884" s="18" t="s">
        <v>791</v>
      </c>
      <c r="C1884" s="18" t="s">
        <v>944</v>
      </c>
      <c r="D1884" s="18"/>
      <c r="E1884" s="24">
        <v>8.3845898316E10</v>
      </c>
      <c r="F1884" s="24">
        <v>1.0</v>
      </c>
      <c r="G1884" s="18" t="s">
        <v>944</v>
      </c>
      <c r="H1884" s="18"/>
      <c r="I1884" s="24">
        <v>8.3845898316E10</v>
      </c>
      <c r="J1884" s="18" t="s">
        <v>922</v>
      </c>
      <c r="K1884" s="18"/>
      <c r="L1884" s="18" t="s">
        <v>949</v>
      </c>
    </row>
    <row r="1885">
      <c r="A1885" s="18" t="s">
        <v>6752</v>
      </c>
      <c r="B1885" s="18" t="s">
        <v>791</v>
      </c>
      <c r="C1885" s="18" t="s">
        <v>6750</v>
      </c>
      <c r="D1885" s="18"/>
      <c r="E1885" s="24">
        <v>8.5103373232E10</v>
      </c>
      <c r="F1885" s="24">
        <v>1.0</v>
      </c>
      <c r="G1885" s="18" t="s">
        <v>6750</v>
      </c>
      <c r="H1885" s="18"/>
      <c r="I1885" s="24">
        <v>8.5103373232E10</v>
      </c>
      <c r="J1885" s="18" t="s">
        <v>6753</v>
      </c>
      <c r="K1885" s="18"/>
      <c r="L1885" s="18" t="s">
        <v>1519</v>
      </c>
    </row>
    <row r="1886">
      <c r="A1886" s="18" t="s">
        <v>6754</v>
      </c>
      <c r="B1886" s="18" t="s">
        <v>791</v>
      </c>
      <c r="C1886" s="18" t="s">
        <v>6756</v>
      </c>
      <c r="D1886" s="18"/>
      <c r="E1886" s="24">
        <v>8.5806844018E10</v>
      </c>
      <c r="F1886" s="24">
        <v>1.0</v>
      </c>
      <c r="G1886" s="18" t="s">
        <v>6756</v>
      </c>
      <c r="H1886" s="18"/>
      <c r="I1886" s="24">
        <v>8.5806844018E10</v>
      </c>
      <c r="J1886" s="18" t="s">
        <v>6669</v>
      </c>
      <c r="K1886" s="18"/>
      <c r="L1886" s="18" t="s">
        <v>6757</v>
      </c>
    </row>
    <row r="1887">
      <c r="A1887" s="18" t="s">
        <v>6758</v>
      </c>
      <c r="B1887" s="18" t="s">
        <v>791</v>
      </c>
      <c r="C1887" s="18" t="s">
        <v>6759</v>
      </c>
      <c r="D1887" s="18"/>
      <c r="E1887" s="24">
        <v>8.817105691E9</v>
      </c>
      <c r="F1887" s="24">
        <v>1.0</v>
      </c>
      <c r="G1887" s="18" t="s">
        <v>6759</v>
      </c>
      <c r="H1887" s="18"/>
      <c r="I1887" s="24">
        <v>8.817105691E9</v>
      </c>
      <c r="J1887" s="18" t="s">
        <v>6760</v>
      </c>
      <c r="K1887" s="18"/>
      <c r="L1887" s="18" t="s">
        <v>3178</v>
      </c>
    </row>
    <row r="1888">
      <c r="A1888" s="18" t="s">
        <v>6761</v>
      </c>
      <c r="B1888" s="18" t="s">
        <v>791</v>
      </c>
      <c r="C1888" s="18" t="s">
        <v>6759</v>
      </c>
      <c r="D1888" s="18"/>
      <c r="E1888" s="24">
        <v>8.5233879638E10</v>
      </c>
      <c r="F1888" s="24">
        <v>1.0</v>
      </c>
      <c r="G1888" s="18" t="s">
        <v>6759</v>
      </c>
      <c r="H1888" s="18"/>
      <c r="I1888" s="24">
        <v>8.5233879638E10</v>
      </c>
      <c r="J1888" s="18" t="s">
        <v>5015</v>
      </c>
      <c r="K1888" s="18"/>
      <c r="L1888" s="18" t="s">
        <v>3829</v>
      </c>
    </row>
    <row r="1889">
      <c r="A1889" s="18" t="s">
        <v>6762</v>
      </c>
      <c r="B1889" s="18" t="s">
        <v>791</v>
      </c>
      <c r="C1889" s="18" t="s">
        <v>6763</v>
      </c>
      <c r="D1889" s="18"/>
      <c r="E1889" s="24">
        <v>8.1235597531E10</v>
      </c>
      <c r="F1889" s="24">
        <v>1.0</v>
      </c>
      <c r="G1889" s="18" t="s">
        <v>6763</v>
      </c>
      <c r="H1889" s="18"/>
      <c r="I1889" s="24">
        <v>8.1235597531E10</v>
      </c>
      <c r="J1889" s="18" t="s">
        <v>6764</v>
      </c>
      <c r="K1889" s="18"/>
      <c r="L1889" s="18" t="s">
        <v>1186</v>
      </c>
    </row>
    <row r="1890">
      <c r="A1890" s="18" t="s">
        <v>6765</v>
      </c>
      <c r="B1890" s="18" t="s">
        <v>791</v>
      </c>
      <c r="C1890" s="18" t="s">
        <v>6766</v>
      </c>
      <c r="D1890" s="18"/>
      <c r="E1890" s="24">
        <v>8.5748180154E10</v>
      </c>
      <c r="F1890" s="24">
        <v>1.0</v>
      </c>
      <c r="G1890" s="18" t="s">
        <v>6766</v>
      </c>
      <c r="H1890" s="18"/>
      <c r="I1890" s="24">
        <v>8.5748180154E10</v>
      </c>
      <c r="J1890" s="18" t="s">
        <v>6767</v>
      </c>
      <c r="K1890" s="18"/>
      <c r="L1890" s="18" t="s">
        <v>5181</v>
      </c>
    </row>
    <row r="1891">
      <c r="A1891" s="18" t="s">
        <v>6768</v>
      </c>
      <c r="B1891" s="18" t="s">
        <v>791</v>
      </c>
      <c r="C1891" s="18" t="s">
        <v>6769</v>
      </c>
      <c r="D1891" s="18"/>
      <c r="E1891" s="24">
        <v>8.1232188844E10</v>
      </c>
      <c r="F1891" s="24">
        <v>1.0</v>
      </c>
      <c r="G1891" s="18" t="s">
        <v>6769</v>
      </c>
      <c r="H1891" s="18"/>
      <c r="I1891" s="24">
        <v>8.1232188844E10</v>
      </c>
      <c r="J1891" s="18" t="s">
        <v>6770</v>
      </c>
      <c r="K1891" s="18"/>
      <c r="L1891" s="18" t="s">
        <v>2991</v>
      </c>
    </row>
    <row r="1892">
      <c r="A1892" s="18" t="s">
        <v>6771</v>
      </c>
      <c r="B1892" s="18" t="s">
        <v>791</v>
      </c>
      <c r="C1892" s="18" t="s">
        <v>6769</v>
      </c>
      <c r="D1892" s="18"/>
      <c r="E1892" s="24">
        <v>8.123251442E10</v>
      </c>
      <c r="F1892" s="24">
        <v>1.0</v>
      </c>
      <c r="G1892" s="18" t="s">
        <v>6769</v>
      </c>
      <c r="H1892" s="18"/>
      <c r="I1892" s="24">
        <v>8.123251442E10</v>
      </c>
      <c r="J1892" s="18" t="s">
        <v>6772</v>
      </c>
      <c r="K1892" s="18"/>
      <c r="L1892" s="18" t="s">
        <v>2350</v>
      </c>
    </row>
    <row r="1893">
      <c r="A1893" s="18" t="s">
        <v>6773</v>
      </c>
      <c r="B1893" s="18" t="s">
        <v>791</v>
      </c>
      <c r="C1893" s="18" t="s">
        <v>6774</v>
      </c>
      <c r="D1893" s="18"/>
      <c r="E1893" s="24">
        <v>8.1357237172E10</v>
      </c>
      <c r="F1893" s="24">
        <v>1.0</v>
      </c>
      <c r="G1893" s="18" t="s">
        <v>6774</v>
      </c>
      <c r="H1893" s="18"/>
      <c r="I1893" s="24">
        <v>8.1357237172E10</v>
      </c>
      <c r="J1893" s="18" t="s">
        <v>6775</v>
      </c>
      <c r="K1893" s="18"/>
      <c r="L1893" s="18" t="s">
        <v>6776</v>
      </c>
    </row>
    <row r="1894">
      <c r="A1894" s="18" t="s">
        <v>6777</v>
      </c>
      <c r="B1894" s="18" t="s">
        <v>791</v>
      </c>
      <c r="C1894" s="18" t="s">
        <v>6778</v>
      </c>
      <c r="D1894" s="18"/>
      <c r="E1894" s="24">
        <v>8.533508125E10</v>
      </c>
      <c r="F1894" s="24">
        <v>1.0</v>
      </c>
      <c r="G1894" s="18" t="s">
        <v>6778</v>
      </c>
      <c r="H1894" s="18"/>
      <c r="I1894" s="24">
        <v>8.533508125E10</v>
      </c>
      <c r="J1894" s="18" t="s">
        <v>6779</v>
      </c>
      <c r="K1894" s="18"/>
      <c r="L1894" s="18" t="s">
        <v>3068</v>
      </c>
    </row>
    <row r="1895">
      <c r="A1895" s="18" t="s">
        <v>6781</v>
      </c>
      <c r="B1895" s="18" t="s">
        <v>791</v>
      </c>
      <c r="C1895" s="18" t="s">
        <v>6778</v>
      </c>
      <c r="D1895" s="18"/>
      <c r="E1895" s="24">
        <v>8.5872294307E10</v>
      </c>
      <c r="F1895" s="24">
        <v>1.0</v>
      </c>
      <c r="G1895" s="18" t="s">
        <v>6778</v>
      </c>
      <c r="H1895" s="18"/>
      <c r="I1895" s="24">
        <v>8.5872294307E10</v>
      </c>
      <c r="J1895" s="18" t="s">
        <v>6782</v>
      </c>
      <c r="K1895" s="18"/>
      <c r="L1895" s="18" t="s">
        <v>2132</v>
      </c>
    </row>
    <row r="1896">
      <c r="A1896" s="18" t="s">
        <v>6783</v>
      </c>
      <c r="B1896" s="18" t="s">
        <v>791</v>
      </c>
      <c r="C1896" s="18" t="s">
        <v>6784</v>
      </c>
      <c r="D1896" s="18"/>
      <c r="E1896" s="24">
        <v>8.57369384E10</v>
      </c>
      <c r="F1896" s="24">
        <v>1.0</v>
      </c>
      <c r="G1896" s="18" t="s">
        <v>6784</v>
      </c>
      <c r="H1896" s="18"/>
      <c r="I1896" s="24">
        <v>8.57369384E10</v>
      </c>
      <c r="J1896" s="18" t="s">
        <v>6785</v>
      </c>
      <c r="K1896" s="18"/>
      <c r="L1896" s="18" t="s">
        <v>6786</v>
      </c>
    </row>
    <row r="1897">
      <c r="A1897" s="18" t="s">
        <v>6787</v>
      </c>
      <c r="B1897" s="18" t="s">
        <v>791</v>
      </c>
      <c r="C1897" s="18" t="s">
        <v>6788</v>
      </c>
      <c r="D1897" s="18"/>
      <c r="E1897" s="24">
        <v>8.5101350058E10</v>
      </c>
      <c r="F1897" s="24">
        <v>1.0</v>
      </c>
      <c r="G1897" s="18" t="s">
        <v>6788</v>
      </c>
      <c r="H1897" s="18"/>
      <c r="I1897" s="24">
        <v>8.5101350058E10</v>
      </c>
      <c r="J1897" s="18" t="s">
        <v>6789</v>
      </c>
      <c r="K1897" s="18"/>
      <c r="L1897" s="18" t="s">
        <v>6493</v>
      </c>
    </row>
    <row r="1898">
      <c r="A1898" s="18" t="s">
        <v>6790</v>
      </c>
      <c r="B1898" s="18" t="s">
        <v>791</v>
      </c>
      <c r="C1898" s="18" t="s">
        <v>6791</v>
      </c>
      <c r="D1898" s="18"/>
      <c r="E1898" s="24">
        <v>8.5785871948E10</v>
      </c>
      <c r="F1898" s="24">
        <v>1.0</v>
      </c>
      <c r="G1898" s="18" t="s">
        <v>6791</v>
      </c>
      <c r="H1898" s="18"/>
      <c r="I1898" s="24">
        <v>8.5785871948E10</v>
      </c>
      <c r="J1898" s="18" t="s">
        <v>6792</v>
      </c>
      <c r="K1898" s="18"/>
      <c r="L1898" s="18" t="s">
        <v>6793</v>
      </c>
    </row>
    <row r="1899">
      <c r="A1899" s="18" t="s">
        <v>6794</v>
      </c>
      <c r="B1899" s="18" t="s">
        <v>791</v>
      </c>
      <c r="C1899" s="18" t="s">
        <v>6795</v>
      </c>
      <c r="D1899" s="18"/>
      <c r="E1899" s="24">
        <v>8.5645803221E10</v>
      </c>
      <c r="F1899" s="24">
        <v>1.0</v>
      </c>
      <c r="G1899" s="18" t="s">
        <v>6795</v>
      </c>
      <c r="H1899" s="18"/>
      <c r="I1899" s="24">
        <v>8.5645803221E10</v>
      </c>
      <c r="J1899" s="18" t="s">
        <v>6796</v>
      </c>
      <c r="K1899" s="18"/>
      <c r="L1899" s="18" t="s">
        <v>5181</v>
      </c>
    </row>
    <row r="1900">
      <c r="A1900" s="18" t="s">
        <v>6797</v>
      </c>
      <c r="B1900" s="18" t="s">
        <v>791</v>
      </c>
      <c r="C1900" s="18" t="s">
        <v>6795</v>
      </c>
      <c r="D1900" s="18"/>
      <c r="E1900" s="24">
        <v>8.2141569707E10</v>
      </c>
      <c r="F1900" s="24">
        <v>1.0</v>
      </c>
      <c r="G1900" s="18" t="s">
        <v>6795</v>
      </c>
      <c r="H1900" s="18"/>
      <c r="I1900" s="24">
        <v>8.2141569707E10</v>
      </c>
      <c r="J1900" s="18" t="s">
        <v>6798</v>
      </c>
      <c r="K1900" s="18"/>
      <c r="L1900" s="18" t="s">
        <v>3309</v>
      </c>
    </row>
    <row r="1901">
      <c r="A1901" s="18" t="s">
        <v>6799</v>
      </c>
      <c r="B1901" s="18" t="s">
        <v>791</v>
      </c>
      <c r="C1901" s="18" t="s">
        <v>6800</v>
      </c>
      <c r="D1901" s="18"/>
      <c r="E1901" s="24">
        <v>8.523362704E10</v>
      </c>
      <c r="F1901" s="24">
        <v>1.0</v>
      </c>
      <c r="G1901" s="18" t="s">
        <v>6800</v>
      </c>
      <c r="H1901" s="18"/>
      <c r="I1901" s="24">
        <v>8.523362704E10</v>
      </c>
      <c r="J1901" s="18" t="s">
        <v>6801</v>
      </c>
      <c r="K1901" s="18"/>
      <c r="L1901" s="18" t="s">
        <v>3721</v>
      </c>
    </row>
    <row r="1902">
      <c r="A1902" s="18" t="s">
        <v>6802</v>
      </c>
      <c r="B1902" s="18" t="s">
        <v>791</v>
      </c>
      <c r="C1902" s="18" t="s">
        <v>6803</v>
      </c>
      <c r="D1902" s="18"/>
      <c r="E1902" s="24">
        <v>8.5335334134E10</v>
      </c>
      <c r="F1902" s="24">
        <v>1.0</v>
      </c>
      <c r="G1902" s="18" t="s">
        <v>6803</v>
      </c>
      <c r="H1902" s="18"/>
      <c r="I1902" s="24">
        <v>8.5335334134E10</v>
      </c>
      <c r="J1902" s="18" t="s">
        <v>6804</v>
      </c>
      <c r="K1902" s="18"/>
      <c r="L1902" s="18" t="s">
        <v>5245</v>
      </c>
    </row>
    <row r="1903">
      <c r="A1903" s="18" t="s">
        <v>6805</v>
      </c>
      <c r="B1903" s="18" t="s">
        <v>791</v>
      </c>
      <c r="C1903" s="18" t="s">
        <v>6806</v>
      </c>
      <c r="D1903" s="18"/>
      <c r="E1903" s="24">
        <v>8.1242054445E10</v>
      </c>
      <c r="F1903" s="24">
        <v>1.0</v>
      </c>
      <c r="G1903" s="18" t="s">
        <v>6806</v>
      </c>
      <c r="H1903" s="18"/>
      <c r="I1903" s="24">
        <v>8.1242054445E10</v>
      </c>
      <c r="J1903" s="18" t="s">
        <v>6807</v>
      </c>
      <c r="K1903" s="18"/>
      <c r="L1903" s="18" t="s">
        <v>2451</v>
      </c>
    </row>
    <row r="1904">
      <c r="A1904" s="18" t="s">
        <v>6808</v>
      </c>
      <c r="B1904" s="18" t="s">
        <v>791</v>
      </c>
      <c r="C1904" s="18" t="s">
        <v>6809</v>
      </c>
      <c r="D1904" s="18"/>
      <c r="E1904" s="24">
        <v>8.5235256948E10</v>
      </c>
      <c r="F1904" s="24">
        <v>1.0</v>
      </c>
      <c r="G1904" s="18" t="s">
        <v>6809</v>
      </c>
      <c r="H1904" s="18"/>
      <c r="I1904" s="24">
        <v>8.5235256948E10</v>
      </c>
      <c r="J1904" s="18" t="s">
        <v>6810</v>
      </c>
      <c r="K1904" s="18"/>
      <c r="L1904" s="18" t="s">
        <v>2689</v>
      </c>
    </row>
    <row r="1905">
      <c r="A1905" s="18" t="s">
        <v>6811</v>
      </c>
      <c r="B1905" s="18" t="s">
        <v>791</v>
      </c>
      <c r="C1905" s="18" t="s">
        <v>6809</v>
      </c>
      <c r="D1905" s="18"/>
      <c r="E1905" s="24">
        <v>8.1259277372E10</v>
      </c>
      <c r="F1905" s="24">
        <v>1.0</v>
      </c>
      <c r="G1905" s="18" t="s">
        <v>6809</v>
      </c>
      <c r="H1905" s="18"/>
      <c r="I1905" s="24">
        <v>8.1259277372E10</v>
      </c>
      <c r="J1905" s="18" t="s">
        <v>6812</v>
      </c>
      <c r="K1905" s="18"/>
      <c r="L1905" s="18" t="s">
        <v>1052</v>
      </c>
    </row>
    <row r="1906">
      <c r="A1906" s="18" t="s">
        <v>6813</v>
      </c>
      <c r="B1906" s="18" t="s">
        <v>791</v>
      </c>
      <c r="C1906" s="18" t="s">
        <v>6809</v>
      </c>
      <c r="D1906" s="18"/>
      <c r="E1906" s="24">
        <v>8.1348191E10</v>
      </c>
      <c r="F1906" s="24">
        <v>1.0</v>
      </c>
      <c r="G1906" s="18" t="s">
        <v>6809</v>
      </c>
      <c r="H1906" s="18"/>
      <c r="I1906" s="24">
        <v>8.1348191E10</v>
      </c>
      <c r="J1906" s="18" t="s">
        <v>5410</v>
      </c>
      <c r="K1906" s="18"/>
      <c r="L1906" s="18" t="s">
        <v>2876</v>
      </c>
    </row>
    <row r="1907">
      <c r="A1907" s="18" t="s">
        <v>6814</v>
      </c>
      <c r="B1907" s="18" t="s">
        <v>791</v>
      </c>
      <c r="C1907" s="18" t="s">
        <v>6815</v>
      </c>
      <c r="D1907" s="18"/>
      <c r="E1907" s="24">
        <v>8.5235256945E10</v>
      </c>
      <c r="F1907" s="24">
        <v>1.0</v>
      </c>
      <c r="G1907" s="18" t="s">
        <v>6815</v>
      </c>
      <c r="H1907" s="18"/>
      <c r="I1907" s="24">
        <v>8.5235256945E10</v>
      </c>
      <c r="J1907" s="18" t="s">
        <v>6816</v>
      </c>
      <c r="K1907" s="18"/>
      <c r="L1907" s="18" t="s">
        <v>2689</v>
      </c>
    </row>
    <row r="1908">
      <c r="A1908" s="18" t="s">
        <v>6817</v>
      </c>
      <c r="B1908" s="18" t="s">
        <v>791</v>
      </c>
      <c r="C1908" s="18" t="s">
        <v>6818</v>
      </c>
      <c r="D1908" s="18"/>
      <c r="E1908" s="24">
        <v>8.1359118259E10</v>
      </c>
      <c r="F1908" s="24">
        <v>1.0</v>
      </c>
      <c r="G1908" s="18" t="s">
        <v>6818</v>
      </c>
      <c r="H1908" s="18"/>
      <c r="I1908" s="24">
        <v>8.1359118259E10</v>
      </c>
      <c r="J1908" s="18" t="s">
        <v>6819</v>
      </c>
      <c r="K1908" s="18"/>
      <c r="L1908" s="18" t="s">
        <v>6820</v>
      </c>
    </row>
    <row r="1909">
      <c r="A1909" s="18" t="s">
        <v>6821</v>
      </c>
      <c r="B1909" s="18" t="s">
        <v>791</v>
      </c>
      <c r="C1909" s="18" t="s">
        <v>6818</v>
      </c>
      <c r="D1909" s="18"/>
      <c r="E1909" s="24">
        <v>8.222739834E10</v>
      </c>
      <c r="F1909" s="24">
        <v>1.0</v>
      </c>
      <c r="G1909" s="18" t="s">
        <v>6818</v>
      </c>
      <c r="H1909" s="18"/>
      <c r="I1909" s="24">
        <v>8.222739834E10</v>
      </c>
      <c r="J1909" s="18" t="s">
        <v>4948</v>
      </c>
      <c r="K1909" s="18"/>
      <c r="L1909" s="18" t="s">
        <v>1677</v>
      </c>
    </row>
    <row r="1910">
      <c r="A1910" s="18" t="s">
        <v>6822</v>
      </c>
      <c r="B1910" s="18" t="s">
        <v>791</v>
      </c>
      <c r="C1910" s="18" t="s">
        <v>6818</v>
      </c>
      <c r="D1910" s="18"/>
      <c r="E1910" s="24">
        <v>8.5624085325E10</v>
      </c>
      <c r="F1910" s="24">
        <v>1.0</v>
      </c>
      <c r="G1910" s="18" t="s">
        <v>6818</v>
      </c>
      <c r="H1910" s="18"/>
      <c r="I1910" s="24">
        <v>8.5624085325E10</v>
      </c>
      <c r="J1910" s="18" t="s">
        <v>6823</v>
      </c>
      <c r="K1910" s="18"/>
      <c r="L1910" s="18" t="s">
        <v>4009</v>
      </c>
    </row>
    <row r="1911">
      <c r="A1911" s="18" t="s">
        <v>6824</v>
      </c>
      <c r="B1911" s="18" t="s">
        <v>791</v>
      </c>
      <c r="C1911" s="18" t="s">
        <v>6818</v>
      </c>
      <c r="D1911" s="18"/>
      <c r="E1911" s="24">
        <v>8.523444667E10</v>
      </c>
      <c r="F1911" s="24">
        <v>1.0</v>
      </c>
      <c r="G1911" s="18" t="s">
        <v>6818</v>
      </c>
      <c r="H1911" s="18"/>
      <c r="I1911" s="24">
        <v>8.523444667E10</v>
      </c>
      <c r="J1911" s="18" t="s">
        <v>6825</v>
      </c>
      <c r="K1911" s="18"/>
      <c r="L1911" s="18" t="s">
        <v>1609</v>
      </c>
    </row>
    <row r="1912">
      <c r="A1912" s="18" t="s">
        <v>6826</v>
      </c>
      <c r="B1912" s="18" t="s">
        <v>791</v>
      </c>
      <c r="C1912" s="18" t="s">
        <v>6827</v>
      </c>
      <c r="D1912" s="18"/>
      <c r="E1912" s="24">
        <v>8.567399788E9</v>
      </c>
      <c r="F1912" s="24">
        <v>1.0</v>
      </c>
      <c r="G1912" s="18" t="s">
        <v>6827</v>
      </c>
      <c r="H1912" s="18"/>
      <c r="I1912" s="24">
        <v>8.567399788E9</v>
      </c>
      <c r="J1912" s="18" t="s">
        <v>6828</v>
      </c>
      <c r="K1912" s="18"/>
      <c r="L1912" s="18" t="s">
        <v>1834</v>
      </c>
    </row>
    <row r="1913">
      <c r="A1913" s="18" t="s">
        <v>6829</v>
      </c>
      <c r="B1913" s="18" t="s">
        <v>791</v>
      </c>
      <c r="C1913" s="18" t="s">
        <v>6830</v>
      </c>
      <c r="D1913" s="18"/>
      <c r="E1913" s="24">
        <v>8.1233685156E10</v>
      </c>
      <c r="F1913" s="24">
        <v>1.0</v>
      </c>
      <c r="G1913" s="18" t="s">
        <v>6830</v>
      </c>
      <c r="H1913" s="18"/>
      <c r="I1913" s="24">
        <v>8.1233685156E10</v>
      </c>
      <c r="J1913" s="18" t="s">
        <v>6831</v>
      </c>
      <c r="K1913" s="18"/>
      <c r="L1913" s="18" t="s">
        <v>5697</v>
      </c>
    </row>
    <row r="1914">
      <c r="A1914" s="18" t="s">
        <v>6832</v>
      </c>
      <c r="B1914" s="18" t="s">
        <v>791</v>
      </c>
      <c r="C1914" s="18" t="s">
        <v>6833</v>
      </c>
      <c r="D1914" s="18"/>
      <c r="E1914" s="24">
        <v>8.5735616988E10</v>
      </c>
      <c r="F1914" s="24">
        <v>1.0</v>
      </c>
      <c r="G1914" s="18" t="s">
        <v>6833</v>
      </c>
      <c r="H1914" s="18"/>
      <c r="I1914" s="24">
        <v>8.5735616988E10</v>
      </c>
      <c r="J1914" s="18" t="s">
        <v>6834</v>
      </c>
      <c r="K1914" s="18"/>
      <c r="L1914" s="18" t="s">
        <v>6835</v>
      </c>
    </row>
    <row r="1915">
      <c r="A1915" s="18" t="s">
        <v>6836</v>
      </c>
      <c r="B1915" s="18" t="s">
        <v>791</v>
      </c>
      <c r="C1915" s="18" t="s">
        <v>6837</v>
      </c>
      <c r="D1915" s="18"/>
      <c r="E1915" s="24">
        <v>8.1249465798E10</v>
      </c>
      <c r="F1915" s="24">
        <v>1.0</v>
      </c>
      <c r="G1915" s="18" t="s">
        <v>6837</v>
      </c>
      <c r="H1915" s="18"/>
      <c r="I1915" s="24">
        <v>8.1249465798E10</v>
      </c>
      <c r="J1915" s="18" t="s">
        <v>6838</v>
      </c>
      <c r="K1915" s="18"/>
      <c r="L1915" s="18" t="s">
        <v>3889</v>
      </c>
    </row>
    <row r="1916">
      <c r="A1916" s="18" t="s">
        <v>6839</v>
      </c>
      <c r="B1916" s="18" t="s">
        <v>791</v>
      </c>
      <c r="C1916" s="18" t="s">
        <v>6837</v>
      </c>
      <c r="D1916" s="18"/>
      <c r="E1916" s="24">
        <v>8.233279389E10</v>
      </c>
      <c r="F1916" s="24">
        <v>1.0</v>
      </c>
      <c r="G1916" s="18" t="s">
        <v>6837</v>
      </c>
      <c r="H1916" s="18"/>
      <c r="I1916" s="24">
        <v>8.233279389E10</v>
      </c>
      <c r="J1916" s="18" t="s">
        <v>6840</v>
      </c>
      <c r="K1916" s="18"/>
      <c r="L1916" s="18" t="s">
        <v>1560</v>
      </c>
    </row>
    <row r="1917">
      <c r="A1917" s="18" t="s">
        <v>6841</v>
      </c>
      <c r="B1917" s="18" t="s">
        <v>791</v>
      </c>
      <c r="C1917" s="18" t="s">
        <v>6842</v>
      </c>
      <c r="D1917" s="18"/>
      <c r="E1917" s="24">
        <v>8.5335793658E10</v>
      </c>
      <c r="F1917" s="24">
        <v>1.0</v>
      </c>
      <c r="G1917" s="18" t="s">
        <v>6842</v>
      </c>
      <c r="H1917" s="18"/>
      <c r="I1917" s="24">
        <v>8.5335793658E10</v>
      </c>
      <c r="J1917" s="18" t="s">
        <v>6844</v>
      </c>
      <c r="K1917" s="18"/>
      <c r="L1917" s="18" t="s">
        <v>2308</v>
      </c>
    </row>
    <row r="1918">
      <c r="A1918" s="18" t="s">
        <v>6845</v>
      </c>
      <c r="B1918" s="18" t="s">
        <v>791</v>
      </c>
      <c r="C1918" s="18" t="s">
        <v>6837</v>
      </c>
      <c r="D1918" s="18"/>
      <c r="E1918" s="24">
        <v>8.2132186212E10</v>
      </c>
      <c r="F1918" s="24">
        <v>1.0</v>
      </c>
      <c r="G1918" s="18" t="s">
        <v>6837</v>
      </c>
      <c r="H1918" s="18"/>
      <c r="I1918" s="24">
        <v>8.2132186212E10</v>
      </c>
      <c r="J1918" s="18" t="s">
        <v>6846</v>
      </c>
      <c r="K1918" s="18"/>
      <c r="L1918" s="18" t="s">
        <v>6847</v>
      </c>
    </row>
    <row r="1919">
      <c r="A1919" s="18" t="s">
        <v>6848</v>
      </c>
      <c r="B1919" s="18" t="s">
        <v>791</v>
      </c>
      <c r="C1919" s="18" t="s">
        <v>6849</v>
      </c>
      <c r="D1919" s="18"/>
      <c r="E1919" s="24">
        <v>8.5236233096E10</v>
      </c>
      <c r="F1919" s="24">
        <v>1.0</v>
      </c>
      <c r="G1919" s="18" t="s">
        <v>6849</v>
      </c>
      <c r="H1919" s="18"/>
      <c r="I1919" s="24">
        <v>8.5236233096E10</v>
      </c>
      <c r="J1919" s="18" t="s">
        <v>5553</v>
      </c>
      <c r="K1919" s="18"/>
      <c r="L1919" s="18" t="s">
        <v>1850</v>
      </c>
    </row>
    <row r="1920">
      <c r="A1920" s="18" t="s">
        <v>6850</v>
      </c>
      <c r="B1920" s="18" t="s">
        <v>791</v>
      </c>
      <c r="C1920" s="18" t="s">
        <v>6851</v>
      </c>
      <c r="D1920" s="18"/>
      <c r="E1920" s="24">
        <v>8.1232514421E10</v>
      </c>
      <c r="F1920" s="24">
        <v>1.0</v>
      </c>
      <c r="G1920" s="18" t="s">
        <v>6851</v>
      </c>
      <c r="H1920" s="18"/>
      <c r="I1920" s="24">
        <v>8.1232514421E10</v>
      </c>
      <c r="J1920" s="18" t="s">
        <v>6852</v>
      </c>
      <c r="K1920" s="18"/>
      <c r="L1920" s="18" t="s">
        <v>2350</v>
      </c>
    </row>
    <row r="1921">
      <c r="A1921" s="18" t="s">
        <v>6853</v>
      </c>
      <c r="B1921" s="18" t="s">
        <v>791</v>
      </c>
      <c r="C1921" s="18" t="s">
        <v>6854</v>
      </c>
      <c r="D1921" s="18"/>
      <c r="E1921" s="24">
        <v>8.1359544001E10</v>
      </c>
      <c r="F1921" s="24">
        <v>1.0</v>
      </c>
      <c r="G1921" s="18" t="s">
        <v>6854</v>
      </c>
      <c r="H1921" s="18"/>
      <c r="I1921" s="24">
        <v>8.1359544001E10</v>
      </c>
      <c r="J1921" s="18" t="s">
        <v>6855</v>
      </c>
      <c r="K1921" s="18"/>
      <c r="L1921" s="18" t="s">
        <v>2159</v>
      </c>
    </row>
    <row r="1922">
      <c r="A1922" s="18" t="s">
        <v>6857</v>
      </c>
      <c r="B1922" s="18" t="s">
        <v>791</v>
      </c>
      <c r="C1922" s="18" t="s">
        <v>6858</v>
      </c>
      <c r="D1922" s="18"/>
      <c r="E1922" s="24">
        <v>8.5235665154E10</v>
      </c>
      <c r="F1922" s="24">
        <v>1.0</v>
      </c>
      <c r="G1922" s="18" t="s">
        <v>6858</v>
      </c>
      <c r="H1922" s="18"/>
      <c r="I1922" s="24">
        <v>8.5235665154E10</v>
      </c>
      <c r="J1922" s="18" t="s">
        <v>6859</v>
      </c>
      <c r="K1922" s="18"/>
      <c r="L1922" s="18" t="s">
        <v>949</v>
      </c>
    </row>
    <row r="1923">
      <c r="A1923" s="18" t="s">
        <v>6860</v>
      </c>
      <c r="B1923" s="18" t="s">
        <v>791</v>
      </c>
      <c r="C1923" s="18" t="s">
        <v>6854</v>
      </c>
      <c r="D1923" s="18"/>
      <c r="E1923" s="24">
        <v>8.5785874146E10</v>
      </c>
      <c r="F1923" s="24">
        <v>1.0</v>
      </c>
      <c r="G1923" s="18" t="s">
        <v>6854</v>
      </c>
      <c r="H1923" s="18"/>
      <c r="I1923" s="24">
        <v>8.5785874146E10</v>
      </c>
      <c r="J1923" s="18" t="s">
        <v>6861</v>
      </c>
      <c r="K1923" s="18"/>
      <c r="L1923" s="18" t="s">
        <v>2189</v>
      </c>
    </row>
    <row r="1924">
      <c r="A1924" s="18" t="s">
        <v>6862</v>
      </c>
      <c r="B1924" s="18" t="s">
        <v>791</v>
      </c>
      <c r="C1924" s="18" t="s">
        <v>6854</v>
      </c>
      <c r="D1924" s="18"/>
      <c r="E1924" s="24">
        <v>8.1556402433E10</v>
      </c>
      <c r="F1924" s="24">
        <v>1.0</v>
      </c>
      <c r="G1924" s="18" t="s">
        <v>6854</v>
      </c>
      <c r="H1924" s="18"/>
      <c r="I1924" s="24">
        <v>8.1556402433E10</v>
      </c>
      <c r="J1924" s="18" t="s">
        <v>6863</v>
      </c>
      <c r="K1924" s="18"/>
      <c r="L1924" s="18" t="s">
        <v>2332</v>
      </c>
    </row>
    <row r="1925">
      <c r="A1925" s="18" t="s">
        <v>6864</v>
      </c>
      <c r="B1925" s="18" t="s">
        <v>791</v>
      </c>
      <c r="C1925" s="18" t="s">
        <v>6865</v>
      </c>
      <c r="D1925" s="18"/>
      <c r="E1925" s="24">
        <v>8.1360664456E10</v>
      </c>
      <c r="F1925" s="24">
        <v>1.0</v>
      </c>
      <c r="G1925" s="18" t="s">
        <v>6865</v>
      </c>
      <c r="H1925" s="18"/>
      <c r="I1925" s="24">
        <v>8.1360664456E10</v>
      </c>
      <c r="J1925" s="18" t="s">
        <v>6867</v>
      </c>
      <c r="K1925" s="18"/>
      <c r="L1925" s="18" t="s">
        <v>6868</v>
      </c>
    </row>
    <row r="1926">
      <c r="A1926" s="18" t="s">
        <v>6869</v>
      </c>
      <c r="B1926" s="18" t="s">
        <v>791</v>
      </c>
      <c r="C1926" s="18" t="s">
        <v>6870</v>
      </c>
      <c r="D1926" s="18"/>
      <c r="E1926" s="24">
        <v>8.2220003557E10</v>
      </c>
      <c r="F1926" s="24">
        <v>1.0</v>
      </c>
      <c r="G1926" s="18" t="s">
        <v>6870</v>
      </c>
      <c r="H1926" s="18"/>
      <c r="I1926" s="24">
        <v>8.2220003557E10</v>
      </c>
      <c r="J1926" s="18" t="s">
        <v>6871</v>
      </c>
      <c r="K1926" s="18"/>
      <c r="L1926" s="18" t="s">
        <v>1951</v>
      </c>
    </row>
    <row r="1927">
      <c r="A1927" s="18" t="s">
        <v>6872</v>
      </c>
      <c r="B1927" s="18" t="s">
        <v>791</v>
      </c>
      <c r="C1927" s="18" t="s">
        <v>6873</v>
      </c>
      <c r="D1927" s="18"/>
      <c r="E1927" s="24">
        <v>8.5736736376E10</v>
      </c>
      <c r="F1927" s="24">
        <v>1.0</v>
      </c>
      <c r="G1927" s="18" t="s">
        <v>6873</v>
      </c>
      <c r="H1927" s="18"/>
      <c r="I1927" s="24">
        <v>8.5736736376E10</v>
      </c>
      <c r="J1927" s="18" t="s">
        <v>6875</v>
      </c>
      <c r="K1927" s="18"/>
      <c r="L1927" s="18" t="s">
        <v>84</v>
      </c>
    </row>
    <row r="1928">
      <c r="A1928" s="18" t="s">
        <v>6876</v>
      </c>
      <c r="B1928" s="18" t="s">
        <v>791</v>
      </c>
      <c r="C1928" s="18" t="s">
        <v>6877</v>
      </c>
      <c r="D1928" s="18"/>
      <c r="E1928" s="24">
        <v>8.1335441183E10</v>
      </c>
      <c r="F1928" s="24">
        <v>1.0</v>
      </c>
      <c r="G1928" s="18" t="s">
        <v>6877</v>
      </c>
      <c r="H1928" s="18"/>
      <c r="I1928" s="24">
        <v>8.1335441183E10</v>
      </c>
      <c r="J1928" s="18" t="s">
        <v>6878</v>
      </c>
      <c r="K1928" s="18"/>
      <c r="L1928" s="18" t="s">
        <v>2146</v>
      </c>
    </row>
    <row r="1929">
      <c r="A1929" s="18" t="s">
        <v>6879</v>
      </c>
      <c r="B1929" s="18" t="s">
        <v>791</v>
      </c>
      <c r="C1929" s="18" t="s">
        <v>6877</v>
      </c>
      <c r="D1929" s="18"/>
      <c r="E1929" s="24">
        <v>8.5259568016E10</v>
      </c>
      <c r="F1929" s="24">
        <v>1.0</v>
      </c>
      <c r="G1929" s="18" t="s">
        <v>6877</v>
      </c>
      <c r="H1929" s="18"/>
      <c r="I1929" s="24">
        <v>8.5259568016E10</v>
      </c>
      <c r="J1929" s="24">
        <v>3.52107101065001E15</v>
      </c>
      <c r="K1929" s="18"/>
      <c r="L1929" s="18" t="s">
        <v>1996</v>
      </c>
    </row>
    <row r="1930">
      <c r="A1930" s="18" t="s">
        <v>6881</v>
      </c>
      <c r="B1930" s="18" t="s">
        <v>791</v>
      </c>
      <c r="C1930" s="18" t="s">
        <v>6882</v>
      </c>
      <c r="D1930" s="18"/>
      <c r="E1930" s="24">
        <v>8.1359495405E10</v>
      </c>
      <c r="F1930" s="24">
        <v>1.0</v>
      </c>
      <c r="G1930" s="18" t="s">
        <v>6882</v>
      </c>
      <c r="H1930" s="18"/>
      <c r="I1930" s="24">
        <v>8.1359495405E10</v>
      </c>
      <c r="J1930" s="18" t="s">
        <v>6883</v>
      </c>
      <c r="K1930" s="18"/>
      <c r="L1930" s="18" t="s">
        <v>2652</v>
      </c>
    </row>
    <row r="1931">
      <c r="A1931" s="18" t="s">
        <v>6885</v>
      </c>
      <c r="B1931" s="18" t="s">
        <v>791</v>
      </c>
      <c r="C1931" s="18" t="s">
        <v>6877</v>
      </c>
      <c r="D1931" s="18"/>
      <c r="E1931" s="24">
        <v>8.5234752292E10</v>
      </c>
      <c r="F1931" s="24">
        <v>1.0</v>
      </c>
      <c r="G1931" s="18" t="s">
        <v>6877</v>
      </c>
      <c r="H1931" s="18"/>
      <c r="I1931" s="24">
        <v>8.5234752292E10</v>
      </c>
      <c r="J1931" s="18" t="s">
        <v>6886</v>
      </c>
      <c r="K1931" s="18"/>
      <c r="L1931" s="18" t="s">
        <v>6887</v>
      </c>
    </row>
    <row r="1932">
      <c r="A1932" s="18" t="s">
        <v>6888</v>
      </c>
      <c r="B1932" s="18" t="s">
        <v>791</v>
      </c>
      <c r="C1932" s="18" t="s">
        <v>6889</v>
      </c>
      <c r="D1932" s="18"/>
      <c r="E1932" s="24">
        <v>8.2133499069E10</v>
      </c>
      <c r="F1932" s="24">
        <v>1.0</v>
      </c>
      <c r="G1932" s="18" t="s">
        <v>6889</v>
      </c>
      <c r="H1932" s="18"/>
      <c r="I1932" s="24">
        <v>8.2133499069E10</v>
      </c>
      <c r="J1932" s="18" t="s">
        <v>6891</v>
      </c>
      <c r="K1932" s="18"/>
      <c r="L1932" s="18" t="s">
        <v>2339</v>
      </c>
    </row>
    <row r="1933">
      <c r="A1933" s="18" t="s">
        <v>6892</v>
      </c>
      <c r="B1933" s="18" t="s">
        <v>791</v>
      </c>
      <c r="C1933" s="18" t="s">
        <v>6893</v>
      </c>
      <c r="D1933" s="18"/>
      <c r="E1933" s="24">
        <v>8.1259195659E10</v>
      </c>
      <c r="F1933" s="24">
        <v>1.0</v>
      </c>
      <c r="G1933" s="18" t="s">
        <v>6893</v>
      </c>
      <c r="H1933" s="18"/>
      <c r="I1933" s="24">
        <v>8.1259195659E10</v>
      </c>
      <c r="J1933" s="18" t="s">
        <v>6894</v>
      </c>
      <c r="K1933" s="18"/>
      <c r="L1933" s="18" t="s">
        <v>5781</v>
      </c>
    </row>
    <row r="1934">
      <c r="A1934" s="18" t="s">
        <v>6895</v>
      </c>
      <c r="B1934" s="18" t="s">
        <v>791</v>
      </c>
      <c r="C1934" s="18" t="s">
        <v>6893</v>
      </c>
      <c r="D1934" s="18"/>
      <c r="E1934" s="24">
        <v>8.2230460603E10</v>
      </c>
      <c r="F1934" s="24">
        <v>1.0</v>
      </c>
      <c r="G1934" s="18" t="s">
        <v>6893</v>
      </c>
      <c r="H1934" s="18"/>
      <c r="I1934" s="24">
        <v>8.2230460603E10</v>
      </c>
      <c r="J1934" s="18" t="s">
        <v>6896</v>
      </c>
      <c r="K1934" s="18"/>
      <c r="L1934" s="18" t="s">
        <v>6194</v>
      </c>
    </row>
    <row r="1935">
      <c r="A1935" s="18" t="s">
        <v>6898</v>
      </c>
      <c r="B1935" s="18" t="s">
        <v>791</v>
      </c>
      <c r="C1935" s="18" t="s">
        <v>6899</v>
      </c>
      <c r="D1935" s="18"/>
      <c r="E1935" s="24">
        <v>8.585245612E10</v>
      </c>
      <c r="F1935" s="24">
        <v>1.0</v>
      </c>
      <c r="G1935" s="18" t="s">
        <v>6899</v>
      </c>
      <c r="H1935" s="18"/>
      <c r="I1935" s="24">
        <v>8.585245612E10</v>
      </c>
      <c r="J1935" s="18" t="s">
        <v>6900</v>
      </c>
      <c r="K1935" s="18"/>
      <c r="L1935" s="18" t="s">
        <v>2256</v>
      </c>
    </row>
    <row r="1936">
      <c r="A1936" s="18" t="s">
        <v>6901</v>
      </c>
      <c r="B1936" s="18" t="s">
        <v>791</v>
      </c>
      <c r="C1936" s="18" t="s">
        <v>6902</v>
      </c>
      <c r="D1936" s="18"/>
      <c r="E1936" s="24">
        <v>2.0</v>
      </c>
      <c r="F1936" s="24">
        <v>1.0</v>
      </c>
      <c r="G1936" s="18" t="s">
        <v>6902</v>
      </c>
      <c r="H1936" s="18"/>
      <c r="I1936" s="24">
        <v>2.0</v>
      </c>
      <c r="J1936" s="18" t="s">
        <v>6903</v>
      </c>
      <c r="K1936" s="18"/>
      <c r="L1936" s="18" t="s">
        <v>3178</v>
      </c>
    </row>
    <row r="1937">
      <c r="A1937" s="18" t="s">
        <v>6904</v>
      </c>
      <c r="B1937" s="18" t="s">
        <v>791</v>
      </c>
      <c r="C1937" s="18" t="s">
        <v>6905</v>
      </c>
      <c r="D1937" s="18"/>
      <c r="E1937" s="24">
        <v>8.5336176123E10</v>
      </c>
      <c r="F1937" s="24">
        <v>1.0</v>
      </c>
      <c r="G1937" s="18" t="s">
        <v>6905</v>
      </c>
      <c r="H1937" s="18"/>
      <c r="I1937" s="24">
        <v>8.5336176123E10</v>
      </c>
      <c r="J1937" s="18" t="s">
        <v>6906</v>
      </c>
      <c r="K1937" s="18"/>
      <c r="L1937" s="18" t="s">
        <v>3068</v>
      </c>
    </row>
    <row r="1938">
      <c r="A1938" s="18" t="s">
        <v>6907</v>
      </c>
      <c r="B1938" s="18" t="s">
        <v>791</v>
      </c>
      <c r="C1938" s="18" t="s">
        <v>6908</v>
      </c>
      <c r="D1938" s="18"/>
      <c r="E1938" s="24">
        <v>8.1230269155E10</v>
      </c>
      <c r="F1938" s="24">
        <v>1.0</v>
      </c>
      <c r="G1938" s="18" t="s">
        <v>6908</v>
      </c>
      <c r="H1938" s="18"/>
      <c r="I1938" s="24">
        <v>8.1230269155E10</v>
      </c>
      <c r="J1938" s="24">
        <v>3.52112030158E15</v>
      </c>
      <c r="K1938" s="18"/>
      <c r="L1938" s="18" t="s">
        <v>6099</v>
      </c>
    </row>
    <row r="1939">
      <c r="A1939" s="18" t="s">
        <v>6909</v>
      </c>
      <c r="B1939" s="18" t="s">
        <v>791</v>
      </c>
      <c r="C1939" s="18" t="s">
        <v>6910</v>
      </c>
      <c r="D1939" s="18"/>
      <c r="E1939" s="24">
        <v>8.5336760229E10</v>
      </c>
      <c r="F1939" s="24">
        <v>1.0</v>
      </c>
      <c r="G1939" s="18" t="s">
        <v>6910</v>
      </c>
      <c r="H1939" s="18"/>
      <c r="I1939" s="24">
        <v>8.5336760229E10</v>
      </c>
      <c r="J1939" s="18" t="s">
        <v>6912</v>
      </c>
      <c r="K1939" s="18"/>
      <c r="L1939" s="18" t="s">
        <v>1722</v>
      </c>
    </row>
    <row r="1940">
      <c r="A1940" s="18" t="s">
        <v>6913</v>
      </c>
      <c r="B1940" s="18" t="s">
        <v>791</v>
      </c>
      <c r="C1940" s="18" t="s">
        <v>6914</v>
      </c>
      <c r="D1940" s="18"/>
      <c r="E1940" s="24">
        <v>8.5233931614E10</v>
      </c>
      <c r="F1940" s="24">
        <v>1.0</v>
      </c>
      <c r="G1940" s="18" t="s">
        <v>6914</v>
      </c>
      <c r="H1940" s="18"/>
      <c r="I1940" s="24">
        <v>8.5233931614E10</v>
      </c>
      <c r="J1940" s="18" t="s">
        <v>6916</v>
      </c>
      <c r="K1940" s="18"/>
      <c r="L1940" s="18" t="s">
        <v>5573</v>
      </c>
    </row>
    <row r="1941">
      <c r="A1941" s="18" t="s">
        <v>6917</v>
      </c>
      <c r="B1941" s="18" t="s">
        <v>791</v>
      </c>
      <c r="C1941" s="18" t="s">
        <v>6918</v>
      </c>
      <c r="D1941" s="18"/>
      <c r="E1941" s="24">
        <v>8.5235782242E10</v>
      </c>
      <c r="F1941" s="24">
        <v>1.0</v>
      </c>
      <c r="G1941" s="18" t="s">
        <v>6918</v>
      </c>
      <c r="H1941" s="18"/>
      <c r="I1941" s="24">
        <v>8.5235782242E10</v>
      </c>
      <c r="J1941" s="18" t="s">
        <v>6919</v>
      </c>
      <c r="K1941" s="18"/>
      <c r="L1941" s="18" t="s">
        <v>3286</v>
      </c>
    </row>
    <row r="1942">
      <c r="A1942" s="18" t="s">
        <v>6920</v>
      </c>
      <c r="B1942" s="18" t="s">
        <v>791</v>
      </c>
      <c r="C1942" s="18" t="s">
        <v>6921</v>
      </c>
      <c r="D1942" s="18"/>
      <c r="E1942" s="24">
        <v>8.1234364783E10</v>
      </c>
      <c r="F1942" s="24">
        <v>1.0</v>
      </c>
      <c r="G1942" s="18" t="s">
        <v>6921</v>
      </c>
      <c r="H1942" s="18"/>
      <c r="I1942" s="24">
        <v>8.1234364783E10</v>
      </c>
      <c r="J1942" s="18" t="s">
        <v>6922</v>
      </c>
      <c r="K1942" s="18"/>
      <c r="L1942" s="18" t="s">
        <v>6923</v>
      </c>
    </row>
    <row r="1943">
      <c r="A1943" s="18" t="s">
        <v>6924</v>
      </c>
      <c r="B1943" s="18" t="s">
        <v>791</v>
      </c>
      <c r="C1943" s="18" t="s">
        <v>6925</v>
      </c>
      <c r="D1943" s="18"/>
      <c r="E1943" s="24">
        <v>8.226476711E10</v>
      </c>
      <c r="F1943" s="24">
        <v>1.0</v>
      </c>
      <c r="G1943" s="18" t="s">
        <v>6925</v>
      </c>
      <c r="H1943" s="18"/>
      <c r="I1943" s="24">
        <v>8.226476711E10</v>
      </c>
      <c r="J1943" s="18" t="s">
        <v>6927</v>
      </c>
      <c r="K1943" s="18"/>
      <c r="L1943" s="18" t="s">
        <v>3367</v>
      </c>
    </row>
    <row r="1944">
      <c r="A1944" s="18" t="s">
        <v>6928</v>
      </c>
      <c r="B1944" s="18" t="s">
        <v>791</v>
      </c>
      <c r="C1944" s="18" t="s">
        <v>6929</v>
      </c>
      <c r="D1944" s="18"/>
      <c r="E1944" s="18"/>
      <c r="F1944" s="24">
        <v>1.0</v>
      </c>
      <c r="G1944" s="18" t="s">
        <v>6929</v>
      </c>
      <c r="H1944" s="18"/>
      <c r="I1944" s="18"/>
      <c r="J1944" s="18" t="s">
        <v>6930</v>
      </c>
      <c r="K1944" s="18"/>
      <c r="L1944" s="18"/>
    </row>
    <row r="1945">
      <c r="A1945" s="18" t="s">
        <v>6931</v>
      </c>
      <c r="B1945" s="18" t="s">
        <v>791</v>
      </c>
      <c r="C1945" s="18" t="s">
        <v>6932</v>
      </c>
      <c r="D1945" s="18"/>
      <c r="E1945" s="24">
        <v>8.5230422519E10</v>
      </c>
      <c r="F1945" s="24">
        <v>1.0</v>
      </c>
      <c r="G1945" s="18" t="s">
        <v>6932</v>
      </c>
      <c r="H1945" s="18"/>
      <c r="I1945" s="24">
        <v>8.5230422519E10</v>
      </c>
      <c r="J1945" s="18" t="s">
        <v>6933</v>
      </c>
      <c r="K1945" s="18"/>
      <c r="L1945" s="18" t="s">
        <v>3137</v>
      </c>
    </row>
    <row r="1946">
      <c r="A1946" s="18" t="s">
        <v>6934</v>
      </c>
      <c r="B1946" s="18" t="s">
        <v>791</v>
      </c>
      <c r="C1946" s="18" t="s">
        <v>6935</v>
      </c>
      <c r="D1946" s="18"/>
      <c r="E1946" s="24">
        <v>8.5233879638E10</v>
      </c>
      <c r="F1946" s="24">
        <v>1.0</v>
      </c>
      <c r="G1946" s="18" t="s">
        <v>6935</v>
      </c>
      <c r="H1946" s="18"/>
      <c r="I1946" s="24">
        <v>8.5233879638E10</v>
      </c>
      <c r="J1946" s="18" t="s">
        <v>4986</v>
      </c>
      <c r="K1946" s="18"/>
      <c r="L1946" s="18" t="s">
        <v>3829</v>
      </c>
    </row>
    <row r="1947">
      <c r="A1947" s="18" t="s">
        <v>6936</v>
      </c>
      <c r="B1947" s="18" t="s">
        <v>791</v>
      </c>
      <c r="C1947" s="18" t="s">
        <v>6937</v>
      </c>
      <c r="D1947" s="18"/>
      <c r="E1947" s="24">
        <v>8.2143633962E10</v>
      </c>
      <c r="F1947" s="24">
        <v>1.0</v>
      </c>
      <c r="G1947" s="18" t="s">
        <v>6937</v>
      </c>
      <c r="H1947" s="18"/>
      <c r="I1947" s="24">
        <v>8.2143633962E10</v>
      </c>
      <c r="J1947" s="18" t="s">
        <v>4242</v>
      </c>
      <c r="K1947" s="18"/>
      <c r="L1947" s="18" t="s">
        <v>6171</v>
      </c>
    </row>
    <row r="1948">
      <c r="A1948" s="18" t="s">
        <v>6938</v>
      </c>
      <c r="B1948" s="18" t="s">
        <v>791</v>
      </c>
      <c r="C1948" s="18" t="s">
        <v>6939</v>
      </c>
      <c r="D1948" s="18"/>
      <c r="E1948" s="24">
        <v>8.123447311E9</v>
      </c>
      <c r="F1948" s="24">
        <v>1.0</v>
      </c>
      <c r="G1948" s="18" t="s">
        <v>6939</v>
      </c>
      <c r="H1948" s="18"/>
      <c r="I1948" s="24">
        <v>8.123447311E9</v>
      </c>
      <c r="J1948" s="18" t="s">
        <v>6940</v>
      </c>
      <c r="K1948" s="18"/>
      <c r="L1948" s="18" t="s">
        <v>6941</v>
      </c>
    </row>
    <row r="1949">
      <c r="A1949" s="18" t="s">
        <v>6942</v>
      </c>
      <c r="B1949" s="18" t="s">
        <v>791</v>
      </c>
      <c r="C1949" s="18" t="s">
        <v>6943</v>
      </c>
      <c r="D1949" s="18"/>
      <c r="E1949" s="24">
        <v>8.5730843531E10</v>
      </c>
      <c r="F1949" s="24">
        <v>1.0</v>
      </c>
      <c r="G1949" s="18" t="s">
        <v>6943</v>
      </c>
      <c r="H1949" s="18"/>
      <c r="I1949" s="24">
        <v>8.5730843531E10</v>
      </c>
      <c r="J1949" s="18" t="s">
        <v>6944</v>
      </c>
      <c r="K1949" s="18"/>
      <c r="L1949" s="18" t="s">
        <v>2308</v>
      </c>
    </row>
    <row r="1950">
      <c r="A1950" s="18" t="s">
        <v>6945</v>
      </c>
      <c r="B1950" s="18" t="s">
        <v>791</v>
      </c>
      <c r="C1950" s="18" t="s">
        <v>6947</v>
      </c>
      <c r="D1950" s="18"/>
      <c r="E1950" s="24">
        <v>8.5141565285E10</v>
      </c>
      <c r="F1950" s="24">
        <v>1.0</v>
      </c>
      <c r="G1950" s="18" t="s">
        <v>6947</v>
      </c>
      <c r="H1950" s="18"/>
      <c r="I1950" s="24">
        <v>8.5141565285E10</v>
      </c>
      <c r="J1950" s="18" t="s">
        <v>6948</v>
      </c>
      <c r="K1950" s="18"/>
      <c r="L1950" s="18" t="s">
        <v>3188</v>
      </c>
    </row>
    <row r="1951">
      <c r="A1951" s="18" t="s">
        <v>6949</v>
      </c>
      <c r="B1951" s="18" t="s">
        <v>791</v>
      </c>
      <c r="C1951" s="18" t="s">
        <v>6950</v>
      </c>
      <c r="D1951" s="18"/>
      <c r="E1951" s="24">
        <v>8.5735883398E10</v>
      </c>
      <c r="F1951" s="24">
        <v>1.0</v>
      </c>
      <c r="G1951" s="18" t="s">
        <v>6950</v>
      </c>
      <c r="H1951" s="18"/>
      <c r="I1951" s="24">
        <v>8.5735883398E10</v>
      </c>
      <c r="J1951" s="18" t="s">
        <v>6952</v>
      </c>
      <c r="K1951" s="18"/>
      <c r="L1951" s="18" t="s">
        <v>6953</v>
      </c>
    </row>
    <row r="1952">
      <c r="A1952" s="18" t="s">
        <v>6954</v>
      </c>
      <c r="B1952" s="18" t="s">
        <v>791</v>
      </c>
      <c r="C1952" s="18" t="s">
        <v>6955</v>
      </c>
      <c r="D1952" s="18"/>
      <c r="E1952" s="24">
        <v>8.1335389595E10</v>
      </c>
      <c r="F1952" s="24">
        <v>1.0</v>
      </c>
      <c r="G1952" s="18" t="s">
        <v>6955</v>
      </c>
      <c r="H1952" s="18"/>
      <c r="I1952" s="24">
        <v>8.1335389595E10</v>
      </c>
      <c r="J1952" s="18" t="s">
        <v>6880</v>
      </c>
      <c r="K1952" s="18"/>
      <c r="L1952" s="18" t="s">
        <v>1986</v>
      </c>
    </row>
    <row r="1953">
      <c r="A1953" s="18" t="s">
        <v>6956</v>
      </c>
      <c r="B1953" s="18" t="s">
        <v>791</v>
      </c>
      <c r="C1953" s="18" t="s">
        <v>6957</v>
      </c>
      <c r="D1953" s="18"/>
      <c r="E1953" s="24">
        <v>8.2244488884E10</v>
      </c>
      <c r="F1953" s="24">
        <v>1.0</v>
      </c>
      <c r="G1953" s="18" t="s">
        <v>6957</v>
      </c>
      <c r="H1953" s="18"/>
      <c r="I1953" s="24">
        <v>8.2244488884E10</v>
      </c>
      <c r="J1953" s="18" t="s">
        <v>6958</v>
      </c>
      <c r="K1953" s="18"/>
      <c r="L1953" s="18" t="s">
        <v>3889</v>
      </c>
    </row>
    <row r="1954">
      <c r="A1954" s="18" t="s">
        <v>1143</v>
      </c>
      <c r="B1954" s="18" t="s">
        <v>791</v>
      </c>
      <c r="C1954" s="18" t="s">
        <v>1145</v>
      </c>
      <c r="D1954" s="18" t="s">
        <v>1137</v>
      </c>
      <c r="E1954" s="24">
        <v>8.1393869357E10</v>
      </c>
      <c r="F1954" s="24">
        <v>1.0</v>
      </c>
      <c r="G1954" s="18" t="s">
        <v>1145</v>
      </c>
      <c r="H1954" s="18" t="s">
        <v>1137</v>
      </c>
      <c r="I1954" s="24">
        <v>8.1393869357E10</v>
      </c>
      <c r="J1954" s="18" t="s">
        <v>1144</v>
      </c>
      <c r="K1954" s="18" t="s">
        <v>1144</v>
      </c>
      <c r="L1954" s="18" t="s">
        <v>1146</v>
      </c>
    </row>
    <row r="1955">
      <c r="A1955" s="18" t="s">
        <v>6960</v>
      </c>
      <c r="B1955" s="18" t="s">
        <v>791</v>
      </c>
      <c r="C1955" s="18" t="s">
        <v>6961</v>
      </c>
      <c r="D1955" s="18"/>
      <c r="E1955" s="24">
        <v>8.521131201E10</v>
      </c>
      <c r="F1955" s="24">
        <v>1.0</v>
      </c>
      <c r="G1955" s="18" t="s">
        <v>6961</v>
      </c>
      <c r="H1955" s="18"/>
      <c r="I1955" s="24">
        <v>8.521131201E10</v>
      </c>
      <c r="J1955" s="18" t="s">
        <v>6962</v>
      </c>
      <c r="K1955" s="18"/>
      <c r="L1955" s="18" t="s">
        <v>3115</v>
      </c>
    </row>
    <row r="1956">
      <c r="A1956" s="18" t="s">
        <v>6963</v>
      </c>
      <c r="B1956" s="18" t="s">
        <v>791</v>
      </c>
      <c r="C1956" s="18" t="s">
        <v>6964</v>
      </c>
      <c r="D1956" s="18"/>
      <c r="E1956" s="24">
        <v>8.125990493E9</v>
      </c>
      <c r="F1956" s="24">
        <v>1.0</v>
      </c>
      <c r="G1956" s="18" t="s">
        <v>6964</v>
      </c>
      <c r="H1956" s="18"/>
      <c r="I1956" s="24">
        <v>8.125990493E9</v>
      </c>
      <c r="J1956" s="18" t="s">
        <v>6965</v>
      </c>
      <c r="K1956" s="18"/>
      <c r="L1956" s="18" t="s">
        <v>27</v>
      </c>
    </row>
    <row r="1957">
      <c r="A1957" s="18" t="s">
        <v>6966</v>
      </c>
      <c r="B1957" s="18" t="s">
        <v>791</v>
      </c>
      <c r="C1957" s="18" t="s">
        <v>6964</v>
      </c>
      <c r="D1957" s="18"/>
      <c r="E1957" s="24">
        <v>8.5335370649E10</v>
      </c>
      <c r="F1957" s="24">
        <v>1.0</v>
      </c>
      <c r="G1957" s="18" t="s">
        <v>6964</v>
      </c>
      <c r="H1957" s="18"/>
      <c r="I1957" s="24">
        <v>8.5335370649E10</v>
      </c>
      <c r="J1957" s="18" t="s">
        <v>6967</v>
      </c>
      <c r="K1957" s="18"/>
      <c r="L1957" s="18" t="s">
        <v>6411</v>
      </c>
    </row>
    <row r="1958">
      <c r="A1958" s="18" t="s">
        <v>6968</v>
      </c>
      <c r="B1958" s="18" t="s">
        <v>791</v>
      </c>
      <c r="C1958" s="18" t="s">
        <v>6964</v>
      </c>
      <c r="D1958" s="18"/>
      <c r="E1958" s="24">
        <v>8.1232023457E10</v>
      </c>
      <c r="F1958" s="24">
        <v>1.0</v>
      </c>
      <c r="G1958" s="18" t="s">
        <v>6964</v>
      </c>
      <c r="H1958" s="18"/>
      <c r="I1958" s="24">
        <v>8.1232023457E10</v>
      </c>
      <c r="J1958" s="18" t="s">
        <v>6969</v>
      </c>
      <c r="K1958" s="18"/>
      <c r="L1958" s="18" t="s">
        <v>6970</v>
      </c>
    </row>
    <row r="1959">
      <c r="A1959" s="18" t="s">
        <v>6971</v>
      </c>
      <c r="B1959" s="18" t="s">
        <v>791</v>
      </c>
      <c r="C1959" s="18" t="s">
        <v>6964</v>
      </c>
      <c r="D1959" s="18"/>
      <c r="E1959" s="24">
        <v>8.233279389E10</v>
      </c>
      <c r="F1959" s="24">
        <v>1.0</v>
      </c>
      <c r="G1959" s="18" t="s">
        <v>6964</v>
      </c>
      <c r="H1959" s="18"/>
      <c r="I1959" s="24">
        <v>8.233279389E10</v>
      </c>
      <c r="J1959" s="18" t="s">
        <v>6972</v>
      </c>
      <c r="K1959" s="18"/>
      <c r="L1959" s="18" t="s">
        <v>1560</v>
      </c>
    </row>
    <row r="1960">
      <c r="A1960" s="18" t="s">
        <v>6973</v>
      </c>
      <c r="B1960" s="18" t="s">
        <v>791</v>
      </c>
      <c r="C1960" s="18" t="s">
        <v>6964</v>
      </c>
      <c r="D1960" s="18"/>
      <c r="E1960" s="24">
        <v>8.1335305737E10</v>
      </c>
      <c r="F1960" s="24">
        <v>1.0</v>
      </c>
      <c r="G1960" s="18" t="s">
        <v>6964</v>
      </c>
      <c r="H1960" s="18"/>
      <c r="I1960" s="24">
        <v>8.1335305737E10</v>
      </c>
      <c r="J1960" s="18" t="s">
        <v>6975</v>
      </c>
      <c r="K1960" s="18"/>
      <c r="L1960" s="18" t="s">
        <v>1573</v>
      </c>
    </row>
    <row r="1961">
      <c r="A1961" s="18" t="s">
        <v>6976</v>
      </c>
      <c r="B1961" s="18" t="s">
        <v>791</v>
      </c>
      <c r="C1961" s="18" t="s">
        <v>6977</v>
      </c>
      <c r="D1961" s="18"/>
      <c r="E1961" s="24">
        <v>8.1359378525E10</v>
      </c>
      <c r="F1961" s="24">
        <v>1.0</v>
      </c>
      <c r="G1961" s="18" t="s">
        <v>6977</v>
      </c>
      <c r="H1961" s="18"/>
      <c r="I1961" s="24">
        <v>8.1359378525E10</v>
      </c>
      <c r="J1961" s="18" t="s">
        <v>6979</v>
      </c>
      <c r="K1961" s="18"/>
      <c r="L1961" s="18" t="s">
        <v>129</v>
      </c>
    </row>
    <row r="1962">
      <c r="A1962" s="18" t="s">
        <v>6980</v>
      </c>
      <c r="B1962" s="18" t="s">
        <v>791</v>
      </c>
      <c r="C1962" s="18" t="s">
        <v>6981</v>
      </c>
      <c r="D1962" s="18"/>
      <c r="E1962" s="24">
        <v>8.13359905E10</v>
      </c>
      <c r="F1962" s="24">
        <v>1.0</v>
      </c>
      <c r="G1962" s="18" t="s">
        <v>6981</v>
      </c>
      <c r="H1962" s="18"/>
      <c r="I1962" s="24">
        <v>8.13359905E10</v>
      </c>
      <c r="J1962" s="18" t="s">
        <v>6982</v>
      </c>
      <c r="K1962" s="18"/>
      <c r="L1962" s="18" t="s">
        <v>1623</v>
      </c>
    </row>
    <row r="1963">
      <c r="A1963" s="18" t="s">
        <v>6983</v>
      </c>
      <c r="B1963" s="18" t="s">
        <v>791</v>
      </c>
      <c r="C1963" s="18" t="s">
        <v>6984</v>
      </c>
      <c r="D1963" s="18"/>
      <c r="E1963" s="24">
        <v>8.523362704E10</v>
      </c>
      <c r="F1963" s="24">
        <v>1.0</v>
      </c>
      <c r="G1963" s="18" t="s">
        <v>6984</v>
      </c>
      <c r="H1963" s="18"/>
      <c r="I1963" s="24">
        <v>8.523362704E10</v>
      </c>
      <c r="J1963" s="18" t="s">
        <v>6985</v>
      </c>
      <c r="K1963" s="18"/>
      <c r="L1963" s="18" t="s">
        <v>3721</v>
      </c>
    </row>
    <row r="1964">
      <c r="A1964" s="18" t="s">
        <v>6986</v>
      </c>
      <c r="B1964" s="18" t="s">
        <v>791</v>
      </c>
      <c r="C1964" s="18" t="s">
        <v>6987</v>
      </c>
      <c r="D1964" s="18"/>
      <c r="E1964" s="24">
        <v>8.2335038016E10</v>
      </c>
      <c r="F1964" s="24">
        <v>1.0</v>
      </c>
      <c r="G1964" s="18" t="s">
        <v>6987</v>
      </c>
      <c r="H1964" s="18"/>
      <c r="I1964" s="24">
        <v>8.2335038016E10</v>
      </c>
      <c r="J1964" s="18" t="s">
        <v>6989</v>
      </c>
      <c r="K1964" s="18"/>
      <c r="L1964" s="18" t="s">
        <v>5822</v>
      </c>
    </row>
    <row r="1965">
      <c r="A1965" s="18" t="s">
        <v>6990</v>
      </c>
      <c r="B1965" s="18" t="s">
        <v>791</v>
      </c>
      <c r="C1965" s="18" t="s">
        <v>6991</v>
      </c>
      <c r="D1965" s="18"/>
      <c r="E1965" s="24">
        <v>8.2302528019E10</v>
      </c>
      <c r="F1965" s="24">
        <v>1.0</v>
      </c>
      <c r="G1965" s="18" t="s">
        <v>6991</v>
      </c>
      <c r="H1965" s="18"/>
      <c r="I1965" s="24">
        <v>8.2302528019E10</v>
      </c>
      <c r="J1965" s="18" t="s">
        <v>6993</v>
      </c>
      <c r="K1965" s="18"/>
      <c r="L1965" s="18" t="s">
        <v>5573</v>
      </c>
    </row>
    <row r="1966">
      <c r="A1966" s="18" t="s">
        <v>6994</v>
      </c>
      <c r="B1966" s="18" t="s">
        <v>791</v>
      </c>
      <c r="C1966" s="18" t="s">
        <v>6995</v>
      </c>
      <c r="D1966" s="18"/>
      <c r="E1966" s="24">
        <v>8.5235094487E10</v>
      </c>
      <c r="F1966" s="24">
        <v>1.0</v>
      </c>
      <c r="G1966" s="18" t="s">
        <v>6995</v>
      </c>
      <c r="H1966" s="18"/>
      <c r="I1966" s="24">
        <v>8.5235094487E10</v>
      </c>
      <c r="J1966" s="18" t="s">
        <v>6996</v>
      </c>
      <c r="K1966" s="18"/>
      <c r="L1966" s="18" t="s">
        <v>1861</v>
      </c>
    </row>
    <row r="1967">
      <c r="A1967" s="18" t="s">
        <v>6998</v>
      </c>
      <c r="B1967" s="18" t="s">
        <v>791</v>
      </c>
      <c r="C1967" s="18" t="s">
        <v>6999</v>
      </c>
      <c r="D1967" s="18"/>
      <c r="E1967" s="24">
        <v>8.1216323954E10</v>
      </c>
      <c r="F1967" s="24">
        <v>1.0</v>
      </c>
      <c r="G1967" s="18" t="s">
        <v>6999</v>
      </c>
      <c r="H1967" s="18"/>
      <c r="I1967" s="24">
        <v>8.1216323954E10</v>
      </c>
      <c r="J1967" s="18" t="s">
        <v>7000</v>
      </c>
      <c r="K1967" s="18"/>
      <c r="L1967" s="18" t="s">
        <v>2385</v>
      </c>
    </row>
    <row r="1968">
      <c r="A1968" s="18" t="s">
        <v>7001</v>
      </c>
      <c r="B1968" s="18" t="s">
        <v>791</v>
      </c>
      <c r="C1968" s="18" t="s">
        <v>7002</v>
      </c>
      <c r="D1968" s="18"/>
      <c r="E1968" s="24">
        <v>8.1335054249E10</v>
      </c>
      <c r="F1968" s="24">
        <v>1.0</v>
      </c>
      <c r="G1968" s="18" t="s">
        <v>7002</v>
      </c>
      <c r="H1968" s="18"/>
      <c r="I1968" s="24">
        <v>8.1335054249E10</v>
      </c>
      <c r="J1968" s="18" t="s">
        <v>6755</v>
      </c>
      <c r="K1968" s="18"/>
      <c r="L1968" s="18" t="s">
        <v>7004</v>
      </c>
    </row>
    <row r="1969">
      <c r="A1969" s="18" t="s">
        <v>7005</v>
      </c>
      <c r="B1969" s="18" t="s">
        <v>791</v>
      </c>
      <c r="C1969" s="18" t="s">
        <v>7006</v>
      </c>
      <c r="D1969" s="18"/>
      <c r="E1969" s="24">
        <v>8.5856318654E10</v>
      </c>
      <c r="F1969" s="24">
        <v>1.0</v>
      </c>
      <c r="G1969" s="18" t="s">
        <v>7006</v>
      </c>
      <c r="H1969" s="18"/>
      <c r="I1969" s="24">
        <v>8.5856318654E10</v>
      </c>
      <c r="J1969" s="18" t="s">
        <v>7007</v>
      </c>
      <c r="K1969" s="18"/>
      <c r="L1969" s="18" t="s">
        <v>7008</v>
      </c>
    </row>
    <row r="1970">
      <c r="A1970" s="18" t="s">
        <v>7009</v>
      </c>
      <c r="B1970" s="18" t="s">
        <v>791</v>
      </c>
      <c r="C1970" s="18" t="s">
        <v>7010</v>
      </c>
      <c r="D1970" s="18"/>
      <c r="E1970" s="24">
        <v>8.585245612E10</v>
      </c>
      <c r="F1970" s="24">
        <v>1.0</v>
      </c>
      <c r="G1970" s="18" t="s">
        <v>7010</v>
      </c>
      <c r="H1970" s="18"/>
      <c r="I1970" s="24">
        <v>8.585245612E10</v>
      </c>
      <c r="J1970" s="18" t="s">
        <v>7011</v>
      </c>
      <c r="K1970" s="18"/>
      <c r="L1970" s="18" t="s">
        <v>2256</v>
      </c>
    </row>
    <row r="1971">
      <c r="A1971" s="18" t="s">
        <v>7012</v>
      </c>
      <c r="B1971" s="18" t="s">
        <v>791</v>
      </c>
      <c r="C1971" s="18" t="s">
        <v>7013</v>
      </c>
      <c r="D1971" s="18"/>
      <c r="E1971" s="24">
        <v>8.5235003272E10</v>
      </c>
      <c r="F1971" s="24">
        <v>1.0</v>
      </c>
      <c r="G1971" s="18" t="s">
        <v>7013</v>
      </c>
      <c r="H1971" s="18"/>
      <c r="I1971" s="24">
        <v>8.5235003272E10</v>
      </c>
      <c r="J1971" s="18" t="s">
        <v>7014</v>
      </c>
      <c r="K1971" s="18"/>
      <c r="L1971" s="18" t="s">
        <v>5442</v>
      </c>
    </row>
    <row r="1972">
      <c r="A1972" s="18" t="s">
        <v>7015</v>
      </c>
      <c r="B1972" s="18" t="s">
        <v>791</v>
      </c>
      <c r="C1972" s="18" t="s">
        <v>7010</v>
      </c>
      <c r="D1972" s="18"/>
      <c r="E1972" s="24">
        <v>8.133596015E10</v>
      </c>
      <c r="F1972" s="24">
        <v>1.0</v>
      </c>
      <c r="G1972" s="18" t="s">
        <v>7010</v>
      </c>
      <c r="H1972" s="18"/>
      <c r="I1972" s="24">
        <v>8.133596015E10</v>
      </c>
      <c r="J1972" s="18" t="s">
        <v>7016</v>
      </c>
      <c r="K1972" s="18"/>
      <c r="L1972" s="18" t="s">
        <v>1685</v>
      </c>
    </row>
    <row r="1973">
      <c r="A1973" s="18" t="s">
        <v>7017</v>
      </c>
      <c r="B1973" s="18" t="s">
        <v>791</v>
      </c>
      <c r="C1973" s="18" t="s">
        <v>1218</v>
      </c>
      <c r="D1973" s="18"/>
      <c r="E1973" s="24">
        <v>8.58126606E10</v>
      </c>
      <c r="F1973" s="24">
        <v>1.0</v>
      </c>
      <c r="G1973" s="18" t="s">
        <v>1218</v>
      </c>
      <c r="H1973" s="18"/>
      <c r="I1973" s="24">
        <v>8.58126606E10</v>
      </c>
      <c r="J1973" s="18" t="s">
        <v>7018</v>
      </c>
      <c r="K1973" s="18"/>
      <c r="L1973" s="18" t="s">
        <v>5149</v>
      </c>
    </row>
    <row r="1974">
      <c r="A1974" s="18" t="s">
        <v>7019</v>
      </c>
      <c r="B1974" s="18" t="s">
        <v>791</v>
      </c>
      <c r="C1974" s="18" t="s">
        <v>1218</v>
      </c>
      <c r="D1974" s="18"/>
      <c r="E1974" s="24">
        <v>8.585245612E10</v>
      </c>
      <c r="F1974" s="24">
        <v>1.0</v>
      </c>
      <c r="G1974" s="18" t="s">
        <v>1218</v>
      </c>
      <c r="H1974" s="18"/>
      <c r="I1974" s="24">
        <v>8.585245612E10</v>
      </c>
      <c r="J1974" s="18" t="s">
        <v>7020</v>
      </c>
      <c r="K1974" s="18"/>
      <c r="L1974" s="18" t="s">
        <v>2256</v>
      </c>
    </row>
    <row r="1975">
      <c r="A1975" s="18" t="s">
        <v>7021</v>
      </c>
      <c r="B1975" s="18" t="s">
        <v>791</v>
      </c>
      <c r="C1975" s="18" t="s">
        <v>7022</v>
      </c>
      <c r="D1975" s="18"/>
      <c r="E1975" s="24">
        <v>8.5235094487E10</v>
      </c>
      <c r="F1975" s="24">
        <v>1.0</v>
      </c>
      <c r="G1975" s="18" t="s">
        <v>7022</v>
      </c>
      <c r="H1975" s="18"/>
      <c r="I1975" s="24">
        <v>8.5235094487E10</v>
      </c>
      <c r="J1975" s="18" t="s">
        <v>7023</v>
      </c>
      <c r="K1975" s="18"/>
      <c r="L1975" s="18" t="s">
        <v>1861</v>
      </c>
    </row>
    <row r="1976">
      <c r="A1976" s="18" t="s">
        <v>7024</v>
      </c>
      <c r="B1976" s="18" t="s">
        <v>791</v>
      </c>
      <c r="C1976" s="18" t="s">
        <v>7022</v>
      </c>
      <c r="D1976" s="18"/>
      <c r="E1976" s="24">
        <v>8.1335381021E10</v>
      </c>
      <c r="F1976" s="24">
        <v>1.0</v>
      </c>
      <c r="G1976" s="18" t="s">
        <v>7022</v>
      </c>
      <c r="H1976" s="18"/>
      <c r="I1976" s="24">
        <v>8.1335381021E10</v>
      </c>
      <c r="J1976" s="18" t="s">
        <v>7027</v>
      </c>
      <c r="K1976" s="18"/>
      <c r="L1976" s="18" t="s">
        <v>5442</v>
      </c>
    </row>
    <row r="1977">
      <c r="A1977" s="18" t="s">
        <v>7029</v>
      </c>
      <c r="B1977" s="18" t="s">
        <v>791</v>
      </c>
      <c r="C1977" s="18" t="s">
        <v>1218</v>
      </c>
      <c r="D1977" s="18"/>
      <c r="E1977" s="24">
        <v>8.563483327E9</v>
      </c>
      <c r="F1977" s="24">
        <v>1.0</v>
      </c>
      <c r="G1977" s="18" t="s">
        <v>1218</v>
      </c>
      <c r="H1977" s="18"/>
      <c r="I1977" s="24">
        <v>8.563483327E9</v>
      </c>
      <c r="J1977" s="18" t="s">
        <v>7033</v>
      </c>
      <c r="K1977" s="18"/>
      <c r="L1977" s="18" t="s">
        <v>2308</v>
      </c>
    </row>
    <row r="1978">
      <c r="A1978" s="18" t="s">
        <v>7035</v>
      </c>
      <c r="B1978" s="18" t="s">
        <v>791</v>
      </c>
      <c r="C1978" s="18" t="s">
        <v>1218</v>
      </c>
      <c r="D1978" s="18"/>
      <c r="E1978" s="24">
        <v>8.515645371E10</v>
      </c>
      <c r="F1978" s="24">
        <v>1.0</v>
      </c>
      <c r="G1978" s="18" t="s">
        <v>1218</v>
      </c>
      <c r="H1978" s="18"/>
      <c r="I1978" s="24">
        <v>8.515645371E10</v>
      </c>
      <c r="J1978" s="18" t="s">
        <v>7037</v>
      </c>
      <c r="K1978" s="18"/>
      <c r="L1978" s="18" t="s">
        <v>7039</v>
      </c>
    </row>
    <row r="1979">
      <c r="A1979" s="18" t="s">
        <v>7040</v>
      </c>
      <c r="B1979" s="18" t="s">
        <v>791</v>
      </c>
      <c r="C1979" s="18" t="s">
        <v>7022</v>
      </c>
      <c r="D1979" s="18"/>
      <c r="E1979" s="24">
        <v>8.5234040176E10</v>
      </c>
      <c r="F1979" s="24">
        <v>1.0</v>
      </c>
      <c r="G1979" s="18" t="s">
        <v>7022</v>
      </c>
      <c r="H1979" s="18"/>
      <c r="I1979" s="24">
        <v>8.5234040176E10</v>
      </c>
      <c r="J1979" s="18" t="s">
        <v>5171</v>
      </c>
      <c r="K1979" s="18"/>
      <c r="L1979" s="18" t="s">
        <v>1677</v>
      </c>
    </row>
    <row r="1980">
      <c r="A1980" s="18" t="s">
        <v>1216</v>
      </c>
      <c r="B1980" s="18" t="s">
        <v>791</v>
      </c>
      <c r="C1980" s="18" t="s">
        <v>1218</v>
      </c>
      <c r="D1980" s="18"/>
      <c r="E1980" s="24">
        <v>6.28563622003E11</v>
      </c>
      <c r="F1980" s="24">
        <v>1.0</v>
      </c>
      <c r="G1980" s="18" t="s">
        <v>1218</v>
      </c>
      <c r="H1980" s="18"/>
      <c r="I1980" s="24">
        <v>6.28563622003E11</v>
      </c>
      <c r="J1980" s="18" t="s">
        <v>1217</v>
      </c>
      <c r="K1980" s="18"/>
      <c r="L1980" s="18" t="s">
        <v>1219</v>
      </c>
    </row>
    <row r="1981">
      <c r="A1981" s="18" t="s">
        <v>7041</v>
      </c>
      <c r="B1981" s="18" t="s">
        <v>791</v>
      </c>
      <c r="C1981" s="18" t="s">
        <v>1218</v>
      </c>
      <c r="D1981" s="18"/>
      <c r="E1981" s="24">
        <v>8.1282796419E10</v>
      </c>
      <c r="F1981" s="24">
        <v>1.0</v>
      </c>
      <c r="G1981" s="18" t="s">
        <v>1218</v>
      </c>
      <c r="H1981" s="18"/>
      <c r="I1981" s="24">
        <v>8.1282796419E10</v>
      </c>
      <c r="J1981" s="18" t="s">
        <v>7042</v>
      </c>
      <c r="K1981" s="18"/>
      <c r="L1981" s="18" t="s">
        <v>3958</v>
      </c>
    </row>
    <row r="1982">
      <c r="A1982" s="18" t="s">
        <v>7043</v>
      </c>
      <c r="B1982" s="18" t="s">
        <v>791</v>
      </c>
      <c r="C1982" s="18" t="s">
        <v>7022</v>
      </c>
      <c r="D1982" s="18"/>
      <c r="E1982" s="24">
        <v>8.5812797699E10</v>
      </c>
      <c r="F1982" s="24">
        <v>1.0</v>
      </c>
      <c r="G1982" s="18" t="s">
        <v>7022</v>
      </c>
      <c r="H1982" s="18"/>
      <c r="I1982" s="24">
        <v>8.5812797699E10</v>
      </c>
      <c r="J1982" s="18" t="s">
        <v>7045</v>
      </c>
      <c r="K1982" s="18"/>
      <c r="L1982" s="18" t="s">
        <v>7046</v>
      </c>
    </row>
    <row r="1983">
      <c r="A1983" s="18" t="s">
        <v>7047</v>
      </c>
      <c r="B1983" s="18" t="s">
        <v>791</v>
      </c>
      <c r="C1983" s="18" t="s">
        <v>1218</v>
      </c>
      <c r="D1983" s="18"/>
      <c r="E1983" s="24">
        <v>8.585245612E10</v>
      </c>
      <c r="F1983" s="24">
        <v>1.0</v>
      </c>
      <c r="G1983" s="18" t="s">
        <v>1218</v>
      </c>
      <c r="H1983" s="18"/>
      <c r="I1983" s="24">
        <v>8.585245612E10</v>
      </c>
      <c r="J1983" s="18" t="s">
        <v>7048</v>
      </c>
      <c r="K1983" s="18"/>
      <c r="L1983" s="18" t="s">
        <v>2256</v>
      </c>
    </row>
    <row r="1984">
      <c r="A1984" s="18" t="s">
        <v>7049</v>
      </c>
      <c r="B1984" s="18" t="s">
        <v>791</v>
      </c>
      <c r="C1984" s="18" t="s">
        <v>1218</v>
      </c>
      <c r="D1984" s="18"/>
      <c r="E1984" s="24">
        <v>8.2337029948E10</v>
      </c>
      <c r="F1984" s="24">
        <v>1.0</v>
      </c>
      <c r="G1984" s="18" t="s">
        <v>1218</v>
      </c>
      <c r="H1984" s="18"/>
      <c r="I1984" s="24">
        <v>8.2337029948E10</v>
      </c>
      <c r="J1984" s="18" t="s">
        <v>7050</v>
      </c>
      <c r="K1984" s="18"/>
      <c r="L1984" s="18" t="s">
        <v>3202</v>
      </c>
    </row>
    <row r="1985">
      <c r="A1985" s="18" t="s">
        <v>7051</v>
      </c>
      <c r="B1985" s="18" t="s">
        <v>791</v>
      </c>
      <c r="C1985" s="18" t="s">
        <v>7052</v>
      </c>
      <c r="D1985" s="18"/>
      <c r="E1985" s="24">
        <v>8.1259902972E10</v>
      </c>
      <c r="F1985" s="24">
        <v>1.0</v>
      </c>
      <c r="G1985" s="18" t="s">
        <v>7052</v>
      </c>
      <c r="H1985" s="18"/>
      <c r="I1985" s="24">
        <v>8.1259902972E10</v>
      </c>
      <c r="J1985" s="18" t="s">
        <v>7054</v>
      </c>
      <c r="K1985" s="18"/>
      <c r="L1985" s="18" t="s">
        <v>7055</v>
      </c>
    </row>
    <row r="1986">
      <c r="A1986" s="18" t="s">
        <v>7056</v>
      </c>
      <c r="B1986" s="18" t="s">
        <v>791</v>
      </c>
      <c r="C1986" s="18" t="s">
        <v>7057</v>
      </c>
      <c r="D1986" s="18" t="s">
        <v>2090</v>
      </c>
      <c r="E1986" s="24">
        <v>8.5748198583E10</v>
      </c>
      <c r="F1986" s="24">
        <v>1.0</v>
      </c>
      <c r="G1986" s="18" t="s">
        <v>7057</v>
      </c>
      <c r="H1986" s="18" t="s">
        <v>2090</v>
      </c>
      <c r="I1986" s="24">
        <v>8.5748198583E10</v>
      </c>
      <c r="J1986" s="18" t="s">
        <v>7058</v>
      </c>
      <c r="K1986" s="18" t="s">
        <v>7058</v>
      </c>
      <c r="L1986" s="18" t="s">
        <v>3141</v>
      </c>
    </row>
    <row r="1987">
      <c r="A1987" s="18" t="s">
        <v>7059</v>
      </c>
      <c r="B1987" s="18" t="s">
        <v>791</v>
      </c>
      <c r="C1987" s="18" t="s">
        <v>7060</v>
      </c>
      <c r="D1987" s="18"/>
      <c r="E1987" s="24">
        <v>8.5790863704E10</v>
      </c>
      <c r="F1987" s="24">
        <v>1.0</v>
      </c>
      <c r="G1987" s="18" t="s">
        <v>7060</v>
      </c>
      <c r="H1987" s="18"/>
      <c r="I1987" s="24">
        <v>8.5790863704E10</v>
      </c>
      <c r="J1987" s="18" t="s">
        <v>7061</v>
      </c>
      <c r="K1987" s="18"/>
      <c r="L1987" s="18" t="s">
        <v>1842</v>
      </c>
    </row>
    <row r="1988">
      <c r="A1988" s="18" t="s">
        <v>7062</v>
      </c>
      <c r="B1988" s="18" t="s">
        <v>791</v>
      </c>
      <c r="C1988" s="18" t="s">
        <v>7063</v>
      </c>
      <c r="D1988" s="18"/>
      <c r="E1988" s="24">
        <v>8.523362704E10</v>
      </c>
      <c r="F1988" s="24">
        <v>1.0</v>
      </c>
      <c r="G1988" s="18" t="s">
        <v>7063</v>
      </c>
      <c r="H1988" s="18"/>
      <c r="I1988" s="24">
        <v>8.523362704E10</v>
      </c>
      <c r="J1988" s="18" t="s">
        <v>7064</v>
      </c>
      <c r="K1988" s="18"/>
      <c r="L1988" s="18" t="s">
        <v>3721</v>
      </c>
    </row>
    <row r="1989">
      <c r="A1989" s="18" t="s">
        <v>7065</v>
      </c>
      <c r="B1989" s="18" t="s">
        <v>791</v>
      </c>
      <c r="C1989" s="18" t="s">
        <v>7066</v>
      </c>
      <c r="D1989" s="18"/>
      <c r="E1989" s="24">
        <v>8.5791475508E10</v>
      </c>
      <c r="F1989" s="24">
        <v>1.0</v>
      </c>
      <c r="G1989" s="18" t="s">
        <v>7066</v>
      </c>
      <c r="H1989" s="18"/>
      <c r="I1989" s="24">
        <v>8.5791475508E10</v>
      </c>
      <c r="J1989" s="24">
        <v>3.52118090174E15</v>
      </c>
      <c r="K1989" s="18"/>
      <c r="L1989" s="18" t="s">
        <v>7067</v>
      </c>
    </row>
    <row r="1990">
      <c r="A1990" s="18" t="s">
        <v>7068</v>
      </c>
      <c r="B1990" s="18" t="s">
        <v>791</v>
      </c>
      <c r="C1990" s="18" t="s">
        <v>7069</v>
      </c>
      <c r="D1990" s="18"/>
      <c r="E1990" s="24">
        <v>8.5649380302E10</v>
      </c>
      <c r="F1990" s="24">
        <v>1.0</v>
      </c>
      <c r="G1990" s="18" t="s">
        <v>7069</v>
      </c>
      <c r="H1990" s="18"/>
      <c r="I1990" s="24">
        <v>8.5649380302E10</v>
      </c>
      <c r="J1990" s="18" t="s">
        <v>7070</v>
      </c>
      <c r="K1990" s="18"/>
      <c r="L1990" s="18" t="s">
        <v>4559</v>
      </c>
    </row>
    <row r="1991">
      <c r="A1991" s="18" t="s">
        <v>7071</v>
      </c>
      <c r="B1991" s="18" t="s">
        <v>791</v>
      </c>
      <c r="C1991" s="18" t="s">
        <v>7072</v>
      </c>
      <c r="D1991" s="18"/>
      <c r="E1991" s="24">
        <v>8.12592628E9</v>
      </c>
      <c r="F1991" s="24">
        <v>1.0</v>
      </c>
      <c r="G1991" s="18" t="s">
        <v>7072</v>
      </c>
      <c r="H1991" s="18"/>
      <c r="I1991" s="24">
        <v>8.12592628E9</v>
      </c>
      <c r="J1991" s="18" t="s">
        <v>7073</v>
      </c>
      <c r="K1991" s="18"/>
      <c r="L1991" s="18" t="s">
        <v>4866</v>
      </c>
    </row>
    <row r="1992">
      <c r="A1992" s="18" t="s">
        <v>7075</v>
      </c>
      <c r="B1992" s="18" t="s">
        <v>791</v>
      </c>
      <c r="C1992" s="18" t="s">
        <v>7076</v>
      </c>
      <c r="D1992" s="18"/>
      <c r="E1992" s="24">
        <v>8.1335388765E10</v>
      </c>
      <c r="F1992" s="24">
        <v>1.0</v>
      </c>
      <c r="G1992" s="18" t="s">
        <v>7076</v>
      </c>
      <c r="H1992" s="18"/>
      <c r="I1992" s="24">
        <v>8.1335388765E10</v>
      </c>
      <c r="J1992" s="24">
        <v>3.52101010679E15</v>
      </c>
      <c r="K1992" s="18"/>
      <c r="L1992" s="18" t="s">
        <v>7077</v>
      </c>
    </row>
    <row r="1993">
      <c r="A1993" s="18" t="s">
        <v>7079</v>
      </c>
      <c r="B1993" s="18" t="s">
        <v>791</v>
      </c>
      <c r="C1993" s="18" t="s">
        <v>7080</v>
      </c>
      <c r="D1993" s="18"/>
      <c r="E1993" s="24">
        <v>8.133527466E10</v>
      </c>
      <c r="F1993" s="24">
        <v>1.0</v>
      </c>
      <c r="G1993" s="18" t="s">
        <v>7080</v>
      </c>
      <c r="H1993" s="18"/>
      <c r="I1993" s="24">
        <v>8.133527466E10</v>
      </c>
      <c r="J1993" s="18" t="s">
        <v>7081</v>
      </c>
      <c r="K1993" s="18"/>
      <c r="L1993" s="18" t="s">
        <v>1777</v>
      </c>
    </row>
    <row r="1994">
      <c r="A1994" s="18" t="s">
        <v>7082</v>
      </c>
      <c r="B1994" s="18" t="s">
        <v>791</v>
      </c>
      <c r="C1994" s="18" t="s">
        <v>7083</v>
      </c>
      <c r="D1994" s="18"/>
      <c r="E1994" s="24">
        <v>8.5790777738E10</v>
      </c>
      <c r="F1994" s="24">
        <v>1.0</v>
      </c>
      <c r="G1994" s="18" t="s">
        <v>7083</v>
      </c>
      <c r="H1994" s="18"/>
      <c r="I1994" s="24">
        <v>8.5790777738E10</v>
      </c>
      <c r="J1994" s="18" t="s">
        <v>7084</v>
      </c>
      <c r="K1994" s="18"/>
      <c r="L1994" s="18" t="s">
        <v>7085</v>
      </c>
    </row>
    <row r="1995">
      <c r="A1995" s="18" t="s">
        <v>7086</v>
      </c>
      <c r="B1995" s="18" t="s">
        <v>791</v>
      </c>
      <c r="C1995" s="18" t="s">
        <v>7083</v>
      </c>
      <c r="D1995" s="18"/>
      <c r="E1995" s="24">
        <v>8.233446856E10</v>
      </c>
      <c r="F1995" s="24">
        <v>1.0</v>
      </c>
      <c r="G1995" s="18" t="s">
        <v>7083</v>
      </c>
      <c r="H1995" s="18"/>
      <c r="I1995" s="24">
        <v>8.233446856E10</v>
      </c>
      <c r="J1995" s="18" t="s">
        <v>7087</v>
      </c>
      <c r="K1995" s="18"/>
      <c r="L1995" s="18" t="s">
        <v>1503</v>
      </c>
    </row>
    <row r="1996">
      <c r="A1996" s="18" t="s">
        <v>7088</v>
      </c>
      <c r="B1996" s="18" t="s">
        <v>791</v>
      </c>
      <c r="C1996" s="18" t="s">
        <v>7083</v>
      </c>
      <c r="D1996" s="18"/>
      <c r="E1996" s="24">
        <v>8.5259755878E10</v>
      </c>
      <c r="F1996" s="24">
        <v>1.0</v>
      </c>
      <c r="G1996" s="18" t="s">
        <v>7083</v>
      </c>
      <c r="H1996" s="18"/>
      <c r="I1996" s="24">
        <v>8.5259755878E10</v>
      </c>
      <c r="J1996" s="24">
        <v>3.52111080862E15</v>
      </c>
      <c r="K1996" s="18"/>
      <c r="L1996" s="18" t="s">
        <v>3154</v>
      </c>
    </row>
    <row r="1997">
      <c r="A1997" s="18" t="s">
        <v>7089</v>
      </c>
      <c r="B1997" s="18" t="s">
        <v>791</v>
      </c>
      <c r="C1997" s="18" t="s">
        <v>7083</v>
      </c>
      <c r="D1997" s="18"/>
      <c r="E1997" s="24">
        <v>8.5233685156E10</v>
      </c>
      <c r="F1997" s="24">
        <v>1.0</v>
      </c>
      <c r="G1997" s="18" t="s">
        <v>7083</v>
      </c>
      <c r="H1997" s="18"/>
      <c r="I1997" s="24">
        <v>8.5233685156E10</v>
      </c>
      <c r="J1997" s="18" t="s">
        <v>7090</v>
      </c>
      <c r="K1997" s="18"/>
      <c r="L1997" s="18" t="s">
        <v>4776</v>
      </c>
    </row>
    <row r="1998">
      <c r="A1998" s="18" t="s">
        <v>1090</v>
      </c>
      <c r="B1998" s="18" t="s">
        <v>791</v>
      </c>
      <c r="C1998" s="18" t="s">
        <v>1092</v>
      </c>
      <c r="D1998" s="18" t="s">
        <v>1088</v>
      </c>
      <c r="E1998" s="24">
        <v>8.123427222E9</v>
      </c>
      <c r="F1998" s="24">
        <v>1.0</v>
      </c>
      <c r="G1998" s="18" t="s">
        <v>1092</v>
      </c>
      <c r="H1998" s="18" t="s">
        <v>1088</v>
      </c>
      <c r="I1998" s="24">
        <v>8.123427222E9</v>
      </c>
      <c r="J1998" s="18" t="s">
        <v>1091</v>
      </c>
      <c r="K1998" s="18" t="s">
        <v>1091</v>
      </c>
      <c r="L1998" s="18" t="s">
        <v>1089</v>
      </c>
    </row>
    <row r="1999">
      <c r="A1999" s="18" t="s">
        <v>7092</v>
      </c>
      <c r="B1999" s="18" t="s">
        <v>791</v>
      </c>
      <c r="C1999" s="18" t="s">
        <v>7093</v>
      </c>
      <c r="D1999" s="18"/>
      <c r="E1999" s="24">
        <v>8.580684218E10</v>
      </c>
      <c r="F1999" s="24">
        <v>1.0</v>
      </c>
      <c r="G1999" s="18" t="s">
        <v>7093</v>
      </c>
      <c r="H1999" s="18"/>
      <c r="I1999" s="24">
        <v>8.580684218E10</v>
      </c>
      <c r="J1999" s="18" t="s">
        <v>5179</v>
      </c>
      <c r="K1999" s="18"/>
      <c r="L1999" s="18" t="s">
        <v>1850</v>
      </c>
    </row>
    <row r="2000">
      <c r="A2000" s="18" t="s">
        <v>7094</v>
      </c>
      <c r="B2000" s="18" t="s">
        <v>791</v>
      </c>
      <c r="C2000" s="18" t="s">
        <v>7093</v>
      </c>
      <c r="D2000" s="18"/>
      <c r="E2000" s="24">
        <v>8.1335712041E10</v>
      </c>
      <c r="F2000" s="24">
        <v>1.0</v>
      </c>
      <c r="G2000" s="18" t="s">
        <v>7093</v>
      </c>
      <c r="H2000" s="18"/>
      <c r="I2000" s="24">
        <v>8.1335712041E10</v>
      </c>
      <c r="J2000" s="18" t="s">
        <v>7095</v>
      </c>
      <c r="K2000" s="18"/>
      <c r="L2000" s="18" t="s">
        <v>4484</v>
      </c>
    </row>
    <row r="2001">
      <c r="A2001" s="18" t="s">
        <v>7096</v>
      </c>
      <c r="B2001" s="18" t="s">
        <v>791</v>
      </c>
      <c r="C2001" s="18" t="s">
        <v>7097</v>
      </c>
      <c r="D2001" s="18"/>
      <c r="E2001" s="24">
        <v>8.2141315373E10</v>
      </c>
      <c r="F2001" s="24">
        <v>1.0</v>
      </c>
      <c r="G2001" s="18" t="s">
        <v>7097</v>
      </c>
      <c r="H2001" s="18"/>
      <c r="I2001" s="24">
        <v>8.2141315373E10</v>
      </c>
      <c r="J2001" s="18" t="s">
        <v>4686</v>
      </c>
      <c r="K2001" s="18"/>
      <c r="L2001" s="18" t="s">
        <v>2260</v>
      </c>
    </row>
    <row r="2002">
      <c r="A2002" s="18" t="s">
        <v>7098</v>
      </c>
      <c r="B2002" s="18" t="s">
        <v>791</v>
      </c>
      <c r="C2002" s="18" t="s">
        <v>7097</v>
      </c>
      <c r="D2002" s="18"/>
      <c r="E2002" s="24">
        <v>8.1335596408E10</v>
      </c>
      <c r="F2002" s="24">
        <v>1.0</v>
      </c>
      <c r="G2002" s="18" t="s">
        <v>7097</v>
      </c>
      <c r="H2002" s="18"/>
      <c r="I2002" s="24">
        <v>8.1335596408E10</v>
      </c>
      <c r="J2002" s="18" t="s">
        <v>7100</v>
      </c>
      <c r="K2002" s="18"/>
      <c r="L2002" s="18" t="s">
        <v>1677</v>
      </c>
    </row>
    <row r="2003">
      <c r="A2003" s="18" t="s">
        <v>7101</v>
      </c>
      <c r="B2003" s="18" t="s">
        <v>791</v>
      </c>
      <c r="C2003" s="18" t="s">
        <v>7102</v>
      </c>
      <c r="D2003" s="18"/>
      <c r="E2003" s="24">
        <v>8.5212635896E10</v>
      </c>
      <c r="F2003" s="24">
        <v>1.0</v>
      </c>
      <c r="G2003" s="18" t="s">
        <v>7102</v>
      </c>
      <c r="H2003" s="18"/>
      <c r="I2003" s="24">
        <v>8.5212635896E10</v>
      </c>
      <c r="J2003" s="18" t="s">
        <v>7103</v>
      </c>
      <c r="K2003" s="18"/>
      <c r="L2003" s="18" t="s">
        <v>2365</v>
      </c>
    </row>
    <row r="2004">
      <c r="A2004" s="18" t="s">
        <v>7104</v>
      </c>
      <c r="B2004" s="18" t="s">
        <v>791</v>
      </c>
      <c r="C2004" s="18" t="s">
        <v>7105</v>
      </c>
      <c r="D2004" s="18"/>
      <c r="E2004" s="24">
        <v>8.573580306E10</v>
      </c>
      <c r="F2004" s="24">
        <v>1.0</v>
      </c>
      <c r="G2004" s="18" t="s">
        <v>7105</v>
      </c>
      <c r="H2004" s="18"/>
      <c r="I2004" s="24">
        <v>8.573580306E10</v>
      </c>
      <c r="J2004" s="18" t="s">
        <v>7106</v>
      </c>
      <c r="K2004" s="18"/>
      <c r="L2004" s="18" t="s">
        <v>5638</v>
      </c>
    </row>
    <row r="2005">
      <c r="A2005" s="18" t="s">
        <v>7107</v>
      </c>
      <c r="B2005" s="18" t="s">
        <v>791</v>
      </c>
      <c r="C2005" s="18" t="s">
        <v>7108</v>
      </c>
      <c r="D2005" s="18"/>
      <c r="E2005" s="24">
        <v>8.1293009692E10</v>
      </c>
      <c r="F2005" s="24">
        <v>1.0</v>
      </c>
      <c r="G2005" s="18" t="s">
        <v>7108</v>
      </c>
      <c r="H2005" s="18"/>
      <c r="I2005" s="24">
        <v>8.1293009692E10</v>
      </c>
      <c r="J2005" s="18" t="s">
        <v>7110</v>
      </c>
      <c r="K2005" s="18"/>
      <c r="L2005" s="18" t="s">
        <v>2098</v>
      </c>
    </row>
    <row r="2006">
      <c r="A2006" s="18" t="s">
        <v>7111</v>
      </c>
      <c r="B2006" s="18" t="s">
        <v>791</v>
      </c>
      <c r="C2006" s="18" t="s">
        <v>7112</v>
      </c>
      <c r="D2006" s="18"/>
      <c r="E2006" s="24">
        <v>8.5103373232E10</v>
      </c>
      <c r="F2006" s="24">
        <v>1.0</v>
      </c>
      <c r="G2006" s="18" t="s">
        <v>7112</v>
      </c>
      <c r="H2006" s="18"/>
      <c r="I2006" s="24">
        <v>8.5103373232E10</v>
      </c>
      <c r="J2006" s="18" t="s">
        <v>7113</v>
      </c>
      <c r="K2006" s="18"/>
      <c r="L2006" s="18" t="s">
        <v>1519</v>
      </c>
    </row>
    <row r="2007">
      <c r="A2007" s="18" t="s">
        <v>7114</v>
      </c>
      <c r="B2007" s="18" t="s">
        <v>791</v>
      </c>
      <c r="C2007" s="18" t="s">
        <v>7115</v>
      </c>
      <c r="D2007" s="18"/>
      <c r="E2007" s="18"/>
      <c r="F2007" s="24">
        <v>1.0</v>
      </c>
      <c r="G2007" s="18" t="s">
        <v>7115</v>
      </c>
      <c r="H2007" s="18"/>
      <c r="I2007" s="18"/>
      <c r="J2007" s="18" t="s">
        <v>5453</v>
      </c>
      <c r="K2007" s="18"/>
      <c r="L2007" s="18"/>
    </row>
    <row r="2008">
      <c r="A2008" s="18" t="s">
        <v>7116</v>
      </c>
      <c r="B2008" s="18" t="s">
        <v>791</v>
      </c>
      <c r="C2008" s="18" t="s">
        <v>7117</v>
      </c>
      <c r="D2008" s="18"/>
      <c r="E2008" s="24">
        <v>8.1249163754E10</v>
      </c>
      <c r="F2008" s="24">
        <v>1.0</v>
      </c>
      <c r="G2008" s="18" t="s">
        <v>7117</v>
      </c>
      <c r="H2008" s="18"/>
      <c r="I2008" s="24">
        <v>8.1249163754E10</v>
      </c>
      <c r="J2008" s="18" t="s">
        <v>7118</v>
      </c>
      <c r="K2008" s="18"/>
      <c r="L2008" s="18" t="s">
        <v>6405</v>
      </c>
    </row>
    <row r="2009">
      <c r="A2009" s="18" t="s">
        <v>7119</v>
      </c>
      <c r="B2009" s="18" t="s">
        <v>791</v>
      </c>
      <c r="C2009" s="18" t="s">
        <v>7112</v>
      </c>
      <c r="D2009" s="18"/>
      <c r="E2009" s="24">
        <v>8.5646256243E10</v>
      </c>
      <c r="F2009" s="24">
        <v>1.0</v>
      </c>
      <c r="G2009" s="18" t="s">
        <v>7112</v>
      </c>
      <c r="H2009" s="18"/>
      <c r="I2009" s="24">
        <v>8.5646256243E10</v>
      </c>
      <c r="J2009" s="18" t="s">
        <v>4790</v>
      </c>
      <c r="K2009" s="18"/>
      <c r="L2009" s="18" t="s">
        <v>7120</v>
      </c>
    </row>
    <row r="2010">
      <c r="A2010" s="18" t="s">
        <v>7121</v>
      </c>
      <c r="B2010" s="18" t="s">
        <v>791</v>
      </c>
      <c r="C2010" s="18" t="s">
        <v>7112</v>
      </c>
      <c r="D2010" s="18"/>
      <c r="E2010" s="24">
        <v>8.5649006418E10</v>
      </c>
      <c r="F2010" s="24">
        <v>1.0</v>
      </c>
      <c r="G2010" s="18" t="s">
        <v>7112</v>
      </c>
      <c r="H2010" s="18"/>
      <c r="I2010" s="24">
        <v>8.5649006418E10</v>
      </c>
      <c r="J2010" s="18" t="s">
        <v>7122</v>
      </c>
      <c r="K2010" s="18"/>
      <c r="L2010" s="18" t="s">
        <v>6201</v>
      </c>
    </row>
    <row r="2011">
      <c r="A2011" s="18" t="s">
        <v>7123</v>
      </c>
      <c r="B2011" s="18" t="s">
        <v>791</v>
      </c>
      <c r="C2011" s="18" t="s">
        <v>7117</v>
      </c>
      <c r="D2011" s="18"/>
      <c r="E2011" s="24">
        <v>8.1381098857E10</v>
      </c>
      <c r="F2011" s="24">
        <v>1.0</v>
      </c>
      <c r="G2011" s="18" t="s">
        <v>7117</v>
      </c>
      <c r="H2011" s="18"/>
      <c r="I2011" s="24">
        <v>8.1381098857E10</v>
      </c>
      <c r="J2011" s="18" t="s">
        <v>7124</v>
      </c>
      <c r="K2011" s="18"/>
      <c r="L2011" s="18" t="s">
        <v>1186</v>
      </c>
    </row>
    <row r="2012">
      <c r="A2012" s="18" t="s">
        <v>7125</v>
      </c>
      <c r="B2012" s="18" t="s">
        <v>791</v>
      </c>
      <c r="C2012" s="18" t="s">
        <v>7112</v>
      </c>
      <c r="D2012" s="18"/>
      <c r="E2012" s="24">
        <v>8.2302359405E10</v>
      </c>
      <c r="F2012" s="24">
        <v>1.0</v>
      </c>
      <c r="G2012" s="18" t="s">
        <v>7112</v>
      </c>
      <c r="H2012" s="18"/>
      <c r="I2012" s="24">
        <v>8.2302359405E10</v>
      </c>
      <c r="J2012" s="18" t="s">
        <v>7127</v>
      </c>
      <c r="K2012" s="18"/>
      <c r="L2012" s="18" t="s">
        <v>6015</v>
      </c>
    </row>
    <row r="2013">
      <c r="A2013" s="18" t="s">
        <v>7128</v>
      </c>
      <c r="B2013" s="18" t="s">
        <v>791</v>
      </c>
      <c r="C2013" s="18" t="s">
        <v>7129</v>
      </c>
      <c r="D2013" s="18"/>
      <c r="E2013" s="24">
        <v>8.57790604445E11</v>
      </c>
      <c r="F2013" s="24">
        <v>1.0</v>
      </c>
      <c r="G2013" s="18" t="s">
        <v>7129</v>
      </c>
      <c r="H2013" s="18"/>
      <c r="I2013" s="24">
        <v>8.57790604445E11</v>
      </c>
      <c r="J2013" s="18" t="s">
        <v>7130</v>
      </c>
      <c r="K2013" s="18"/>
      <c r="L2013" s="18" t="s">
        <v>5919</v>
      </c>
    </row>
    <row r="2014">
      <c r="A2014" s="18" t="s">
        <v>7132</v>
      </c>
      <c r="B2014" s="18" t="s">
        <v>791</v>
      </c>
      <c r="C2014" s="18" t="s">
        <v>7133</v>
      </c>
      <c r="D2014" s="18"/>
      <c r="E2014" s="24">
        <v>8.5231216124E10</v>
      </c>
      <c r="F2014" s="24">
        <v>1.0</v>
      </c>
      <c r="G2014" s="18" t="s">
        <v>7133</v>
      </c>
      <c r="H2014" s="18"/>
      <c r="I2014" s="24">
        <v>8.5231216124E10</v>
      </c>
      <c r="J2014" s="24">
        <v>3.52101240978E15</v>
      </c>
      <c r="K2014" s="18"/>
      <c r="L2014" s="18" t="s">
        <v>7138</v>
      </c>
    </row>
    <row r="2015">
      <c r="A2015" s="18" t="s">
        <v>7139</v>
      </c>
      <c r="B2015" s="18" t="s">
        <v>791</v>
      </c>
      <c r="C2015" s="18" t="s">
        <v>7133</v>
      </c>
      <c r="D2015" s="18"/>
      <c r="E2015" s="24">
        <v>8.5233596263E10</v>
      </c>
      <c r="F2015" s="24">
        <v>1.0</v>
      </c>
      <c r="G2015" s="18" t="s">
        <v>7133</v>
      </c>
      <c r="H2015" s="18"/>
      <c r="I2015" s="24">
        <v>8.5233596263E10</v>
      </c>
      <c r="J2015" s="18" t="s">
        <v>7141</v>
      </c>
      <c r="K2015" s="18"/>
      <c r="L2015" s="18" t="s">
        <v>2385</v>
      </c>
    </row>
    <row r="2016">
      <c r="A2016" s="18" t="s">
        <v>7142</v>
      </c>
      <c r="B2016" s="18" t="s">
        <v>791</v>
      </c>
      <c r="C2016" s="18" t="s">
        <v>7145</v>
      </c>
      <c r="D2016" s="18"/>
      <c r="E2016" s="24">
        <v>8.155545449E10</v>
      </c>
      <c r="F2016" s="24">
        <v>1.0</v>
      </c>
      <c r="G2016" s="18" t="s">
        <v>7145</v>
      </c>
      <c r="H2016" s="18"/>
      <c r="I2016" s="24">
        <v>8.155545449E10</v>
      </c>
      <c r="J2016" s="18" t="s">
        <v>6897</v>
      </c>
      <c r="K2016" s="18"/>
      <c r="L2016" s="18" t="s">
        <v>5614</v>
      </c>
    </row>
    <row r="2017">
      <c r="A2017" s="18" t="s">
        <v>7147</v>
      </c>
      <c r="B2017" s="18" t="s">
        <v>791</v>
      </c>
      <c r="C2017" s="18" t="s">
        <v>7148</v>
      </c>
      <c r="D2017" s="18"/>
      <c r="E2017" s="24">
        <v>8.5336838268E10</v>
      </c>
      <c r="F2017" s="24">
        <v>1.0</v>
      </c>
      <c r="G2017" s="18" t="s">
        <v>7148</v>
      </c>
      <c r="H2017" s="18"/>
      <c r="I2017" s="24">
        <v>8.5336838268E10</v>
      </c>
      <c r="J2017" s="18" t="s">
        <v>7149</v>
      </c>
      <c r="K2017" s="18"/>
      <c r="L2017" s="18" t="s">
        <v>2125</v>
      </c>
    </row>
    <row r="2018">
      <c r="A2018" s="18" t="s">
        <v>7150</v>
      </c>
      <c r="B2018" s="18" t="s">
        <v>791</v>
      </c>
      <c r="C2018" s="18" t="s">
        <v>7151</v>
      </c>
      <c r="D2018" s="18"/>
      <c r="E2018" s="24">
        <v>8.2257791825E10</v>
      </c>
      <c r="F2018" s="24">
        <v>1.0</v>
      </c>
      <c r="G2018" s="18" t="s">
        <v>7151</v>
      </c>
      <c r="H2018" s="18"/>
      <c r="I2018" s="24">
        <v>8.2257791825E10</v>
      </c>
      <c r="J2018" s="18" t="s">
        <v>7153</v>
      </c>
      <c r="K2018" s="18"/>
      <c r="L2018" s="18" t="s">
        <v>7154</v>
      </c>
    </row>
    <row r="2019">
      <c r="A2019" s="18" t="s">
        <v>7155</v>
      </c>
      <c r="B2019" s="18" t="s">
        <v>791</v>
      </c>
      <c r="C2019" s="18" t="s">
        <v>7159</v>
      </c>
      <c r="D2019" s="18"/>
      <c r="E2019" s="24">
        <v>8.1359495405E10</v>
      </c>
      <c r="F2019" s="24">
        <v>1.0</v>
      </c>
      <c r="G2019" s="18" t="s">
        <v>7159</v>
      </c>
      <c r="H2019" s="18"/>
      <c r="I2019" s="24">
        <v>8.1359495405E10</v>
      </c>
      <c r="J2019" s="18" t="s">
        <v>7161</v>
      </c>
      <c r="K2019" s="18"/>
      <c r="L2019" s="18" t="s">
        <v>2652</v>
      </c>
    </row>
    <row r="2020">
      <c r="A2020" s="18" t="s">
        <v>7162</v>
      </c>
      <c r="B2020" s="18" t="s">
        <v>791</v>
      </c>
      <c r="C2020" s="18" t="s">
        <v>7164</v>
      </c>
      <c r="D2020" s="18"/>
      <c r="E2020" s="24">
        <v>8.2331081919E10</v>
      </c>
      <c r="F2020" s="24">
        <v>1.0</v>
      </c>
      <c r="G2020" s="18" t="s">
        <v>7164</v>
      </c>
      <c r="H2020" s="18"/>
      <c r="I2020" s="24">
        <v>8.2331081919E10</v>
      </c>
      <c r="J2020" s="18" t="s">
        <v>7166</v>
      </c>
      <c r="K2020" s="18"/>
      <c r="L2020" s="18" t="s">
        <v>2451</v>
      </c>
    </row>
    <row r="2021">
      <c r="A2021" s="18" t="s">
        <v>7167</v>
      </c>
      <c r="B2021" s="18" t="s">
        <v>791</v>
      </c>
      <c r="C2021" s="18" t="s">
        <v>7028</v>
      </c>
      <c r="D2021" s="18"/>
      <c r="E2021" s="24">
        <v>8.233733496E10</v>
      </c>
      <c r="F2021" s="24">
        <v>1.0</v>
      </c>
      <c r="G2021" s="18" t="s">
        <v>7028</v>
      </c>
      <c r="H2021" s="18"/>
      <c r="I2021" s="24">
        <v>8.233733496E10</v>
      </c>
      <c r="J2021" s="18" t="s">
        <v>7168</v>
      </c>
      <c r="K2021" s="18"/>
      <c r="L2021" s="18" t="s">
        <v>6306</v>
      </c>
    </row>
    <row r="2022">
      <c r="A2022" s="18" t="s">
        <v>7025</v>
      </c>
      <c r="B2022" s="18" t="s">
        <v>791</v>
      </c>
      <c r="C2022" s="18" t="s">
        <v>7028</v>
      </c>
      <c r="D2022" s="18" t="s">
        <v>1579</v>
      </c>
      <c r="E2022" s="24">
        <v>0.0</v>
      </c>
      <c r="F2022" s="24">
        <v>1.0</v>
      </c>
      <c r="G2022" s="18" t="s">
        <v>7028</v>
      </c>
      <c r="H2022" s="18" t="s">
        <v>1579</v>
      </c>
      <c r="I2022" s="24">
        <v>0.0</v>
      </c>
      <c r="J2022" s="18" t="s">
        <v>7030</v>
      </c>
      <c r="K2022" s="18" t="s">
        <v>7030</v>
      </c>
      <c r="L2022" s="18" t="s">
        <v>7031</v>
      </c>
    </row>
    <row r="2023">
      <c r="A2023" s="18" t="s">
        <v>7169</v>
      </c>
      <c r="B2023" s="18" t="s">
        <v>791</v>
      </c>
      <c r="C2023" s="18" t="s">
        <v>7170</v>
      </c>
      <c r="D2023" s="18"/>
      <c r="E2023" s="24">
        <v>8.5607138956E10</v>
      </c>
      <c r="F2023" s="24">
        <v>1.0</v>
      </c>
      <c r="G2023" s="18" t="s">
        <v>7170</v>
      </c>
      <c r="H2023" s="18"/>
      <c r="I2023" s="24">
        <v>8.5607138956E10</v>
      </c>
      <c r="J2023" s="18" t="s">
        <v>7053</v>
      </c>
      <c r="K2023" s="18"/>
      <c r="L2023" s="18" t="s">
        <v>6051</v>
      </c>
    </row>
    <row r="2024">
      <c r="A2024" s="18" t="s">
        <v>7177</v>
      </c>
      <c r="B2024" s="18" t="s">
        <v>791</v>
      </c>
      <c r="C2024" s="18" t="s">
        <v>7170</v>
      </c>
      <c r="D2024" s="18"/>
      <c r="E2024" s="24">
        <v>8.5259554414E10</v>
      </c>
      <c r="F2024" s="24">
        <v>1.0</v>
      </c>
      <c r="G2024" s="18" t="s">
        <v>7170</v>
      </c>
      <c r="H2024" s="18"/>
      <c r="I2024" s="24">
        <v>8.5259554414E10</v>
      </c>
      <c r="J2024" s="18" t="s">
        <v>7180</v>
      </c>
      <c r="K2024" s="18"/>
      <c r="L2024" s="18" t="s">
        <v>3178</v>
      </c>
    </row>
    <row r="2025">
      <c r="A2025" s="18" t="s">
        <v>7182</v>
      </c>
      <c r="B2025" s="18" t="s">
        <v>791</v>
      </c>
      <c r="C2025" s="18" t="s">
        <v>7028</v>
      </c>
      <c r="D2025" s="18"/>
      <c r="E2025" s="24">
        <v>8.222995865E10</v>
      </c>
      <c r="F2025" s="24">
        <v>1.0</v>
      </c>
      <c r="G2025" s="18" t="s">
        <v>7028</v>
      </c>
      <c r="H2025" s="18"/>
      <c r="I2025" s="24">
        <v>8.222995865E10</v>
      </c>
      <c r="J2025" s="18" t="s">
        <v>7185</v>
      </c>
      <c r="K2025" s="18"/>
      <c r="L2025" s="18" t="s">
        <v>1186</v>
      </c>
    </row>
    <row r="2026">
      <c r="A2026" s="18" t="s">
        <v>7186</v>
      </c>
      <c r="B2026" s="18" t="s">
        <v>791</v>
      </c>
      <c r="C2026" s="18" t="s">
        <v>7028</v>
      </c>
      <c r="D2026" s="18"/>
      <c r="E2026" s="24">
        <v>8.5204389777E10</v>
      </c>
      <c r="F2026" s="24">
        <v>1.0</v>
      </c>
      <c r="G2026" s="18" t="s">
        <v>7028</v>
      </c>
      <c r="H2026" s="18"/>
      <c r="I2026" s="24">
        <v>8.5204389777E10</v>
      </c>
      <c r="J2026" s="18" t="s">
        <v>7187</v>
      </c>
      <c r="K2026" s="18"/>
      <c r="L2026" s="18" t="s">
        <v>3825</v>
      </c>
    </row>
    <row r="2027">
      <c r="A2027" s="18" t="s">
        <v>7188</v>
      </c>
      <c r="B2027" s="18" t="s">
        <v>791</v>
      </c>
      <c r="C2027" s="18" t="s">
        <v>7170</v>
      </c>
      <c r="D2027" s="18"/>
      <c r="E2027" s="24">
        <v>8.5331979982E10</v>
      </c>
      <c r="F2027" s="24">
        <v>1.0</v>
      </c>
      <c r="G2027" s="18" t="s">
        <v>7170</v>
      </c>
      <c r="H2027" s="18"/>
      <c r="I2027" s="24">
        <v>8.5331979982E10</v>
      </c>
      <c r="J2027" s="18" t="s">
        <v>7189</v>
      </c>
      <c r="K2027" s="18"/>
      <c r="L2027" s="18" t="s">
        <v>1466</v>
      </c>
    </row>
    <row r="2028">
      <c r="A2028" s="18" t="s">
        <v>7190</v>
      </c>
      <c r="B2028" s="18" t="s">
        <v>791</v>
      </c>
      <c r="C2028" s="18" t="s">
        <v>7170</v>
      </c>
      <c r="D2028" s="18"/>
      <c r="E2028" s="24">
        <v>8.2132796977E10</v>
      </c>
      <c r="F2028" s="24">
        <v>1.0</v>
      </c>
      <c r="G2028" s="18" t="s">
        <v>7170</v>
      </c>
      <c r="H2028" s="18"/>
      <c r="I2028" s="24">
        <v>8.2132796977E10</v>
      </c>
      <c r="J2028" s="18" t="s">
        <v>7191</v>
      </c>
      <c r="K2028" s="18"/>
      <c r="L2028" s="18" t="s">
        <v>2013</v>
      </c>
    </row>
    <row r="2029">
      <c r="A2029" s="18" t="s">
        <v>7193</v>
      </c>
      <c r="B2029" s="18" t="s">
        <v>791</v>
      </c>
      <c r="C2029" s="18" t="s">
        <v>7170</v>
      </c>
      <c r="D2029" s="18"/>
      <c r="E2029" s="24">
        <v>8.2333458612E10</v>
      </c>
      <c r="F2029" s="24">
        <v>1.0</v>
      </c>
      <c r="G2029" s="18" t="s">
        <v>7170</v>
      </c>
      <c r="H2029" s="18"/>
      <c r="I2029" s="24">
        <v>8.2333458612E10</v>
      </c>
      <c r="J2029" s="18" t="s">
        <v>7195</v>
      </c>
      <c r="K2029" s="18"/>
      <c r="L2029" s="18" t="s">
        <v>2332</v>
      </c>
    </row>
    <row r="2030">
      <c r="A2030" s="18" t="s">
        <v>7197</v>
      </c>
      <c r="B2030" s="18" t="s">
        <v>791</v>
      </c>
      <c r="C2030" s="18" t="s">
        <v>7170</v>
      </c>
      <c r="D2030" s="18"/>
      <c r="E2030" s="24">
        <v>8.5731174176E10</v>
      </c>
      <c r="F2030" s="24">
        <v>1.0</v>
      </c>
      <c r="G2030" s="18" t="s">
        <v>7170</v>
      </c>
      <c r="H2030" s="18"/>
      <c r="I2030" s="24">
        <v>8.5731174176E10</v>
      </c>
      <c r="J2030" s="18" t="s">
        <v>7198</v>
      </c>
      <c r="K2030" s="18"/>
      <c r="L2030" s="18" t="s">
        <v>2451</v>
      </c>
    </row>
    <row r="2031">
      <c r="A2031" s="18" t="s">
        <v>7199</v>
      </c>
      <c r="B2031" s="18" t="s">
        <v>791</v>
      </c>
      <c r="C2031" s="18" t="s">
        <v>7028</v>
      </c>
      <c r="D2031" s="18"/>
      <c r="E2031" s="24">
        <v>8.2335355254E10</v>
      </c>
      <c r="F2031" s="24">
        <v>1.0</v>
      </c>
      <c r="G2031" s="18" t="s">
        <v>7028</v>
      </c>
      <c r="H2031" s="18"/>
      <c r="I2031" s="24">
        <v>8.2335355254E10</v>
      </c>
      <c r="J2031" s="18" t="s">
        <v>7200</v>
      </c>
      <c r="K2031" s="18"/>
      <c r="L2031" s="18" t="s">
        <v>2022</v>
      </c>
    </row>
    <row r="2032">
      <c r="A2032" s="18" t="s">
        <v>7201</v>
      </c>
      <c r="B2032" s="18" t="s">
        <v>791</v>
      </c>
      <c r="C2032" s="18" t="s">
        <v>7170</v>
      </c>
      <c r="D2032" s="18"/>
      <c r="E2032" s="24">
        <v>8.523455327E10</v>
      </c>
      <c r="F2032" s="24">
        <v>1.0</v>
      </c>
      <c r="G2032" s="18" t="s">
        <v>7170</v>
      </c>
      <c r="H2032" s="18"/>
      <c r="I2032" s="24">
        <v>8.523455327E10</v>
      </c>
      <c r="J2032" s="18" t="s">
        <v>4842</v>
      </c>
      <c r="K2032" s="18"/>
      <c r="L2032" s="18" t="s">
        <v>7202</v>
      </c>
    </row>
    <row r="2033">
      <c r="A2033" s="18" t="s">
        <v>7203</v>
      </c>
      <c r="B2033" s="18" t="s">
        <v>791</v>
      </c>
      <c r="C2033" s="18" t="s">
        <v>7204</v>
      </c>
      <c r="D2033" s="18"/>
      <c r="E2033" s="24">
        <v>8.5735745996E10</v>
      </c>
      <c r="F2033" s="24">
        <v>1.0</v>
      </c>
      <c r="G2033" s="18" t="s">
        <v>7204</v>
      </c>
      <c r="H2033" s="18"/>
      <c r="I2033" s="24">
        <v>8.5735745996E10</v>
      </c>
      <c r="J2033" s="18" t="s">
        <v>7205</v>
      </c>
      <c r="K2033" s="18"/>
      <c r="L2033" s="18" t="s">
        <v>5919</v>
      </c>
    </row>
    <row r="2034">
      <c r="A2034" s="18" t="s">
        <v>7206</v>
      </c>
      <c r="B2034" s="18" t="s">
        <v>791</v>
      </c>
      <c r="C2034" s="18" t="s">
        <v>7207</v>
      </c>
      <c r="D2034" s="18"/>
      <c r="E2034" s="24">
        <v>8.1357319689E10</v>
      </c>
      <c r="F2034" s="24">
        <v>1.0</v>
      </c>
      <c r="G2034" s="18" t="s">
        <v>7207</v>
      </c>
      <c r="H2034" s="18"/>
      <c r="I2034" s="24">
        <v>8.1357319689E10</v>
      </c>
      <c r="J2034" s="18" t="s">
        <v>7208</v>
      </c>
      <c r="K2034" s="18"/>
      <c r="L2034" s="18" t="s">
        <v>4811</v>
      </c>
    </row>
    <row r="2035">
      <c r="A2035" s="18" t="s">
        <v>7209</v>
      </c>
      <c r="B2035" s="18" t="s">
        <v>791</v>
      </c>
      <c r="C2035" s="18" t="s">
        <v>7210</v>
      </c>
      <c r="D2035" s="18"/>
      <c r="E2035" s="24">
        <v>8.2248828548E10</v>
      </c>
      <c r="F2035" s="24">
        <v>1.0</v>
      </c>
      <c r="G2035" s="18" t="s">
        <v>7210</v>
      </c>
      <c r="H2035" s="18"/>
      <c r="I2035" s="24">
        <v>8.2248828548E10</v>
      </c>
      <c r="J2035" s="18" t="s">
        <v>7211</v>
      </c>
      <c r="K2035" s="18"/>
      <c r="L2035" s="18" t="s">
        <v>5573</v>
      </c>
    </row>
    <row r="2036">
      <c r="A2036" s="18" t="s">
        <v>7212</v>
      </c>
      <c r="B2036" s="18" t="s">
        <v>791</v>
      </c>
      <c r="C2036" s="18" t="s">
        <v>7213</v>
      </c>
      <c r="D2036" s="18"/>
      <c r="E2036" s="24">
        <v>8.5735616988E10</v>
      </c>
      <c r="F2036" s="24">
        <v>1.0</v>
      </c>
      <c r="G2036" s="18" t="s">
        <v>7213</v>
      </c>
      <c r="H2036" s="18"/>
      <c r="I2036" s="24">
        <v>8.5735616988E10</v>
      </c>
      <c r="J2036" s="18" t="s">
        <v>7214</v>
      </c>
      <c r="K2036" s="18"/>
      <c r="L2036" s="18" t="s">
        <v>6835</v>
      </c>
    </row>
    <row r="2037">
      <c r="A2037" s="18" t="s">
        <v>7215</v>
      </c>
      <c r="B2037" s="18" t="s">
        <v>791</v>
      </c>
      <c r="C2037" s="18" t="s">
        <v>7216</v>
      </c>
      <c r="D2037" s="18"/>
      <c r="E2037" s="24">
        <v>8.5240033855E10</v>
      </c>
      <c r="F2037" s="24">
        <v>1.0</v>
      </c>
      <c r="G2037" s="18" t="s">
        <v>7216</v>
      </c>
      <c r="H2037" s="18"/>
      <c r="I2037" s="24">
        <v>8.5240033855E10</v>
      </c>
      <c r="J2037" s="18" t="s">
        <v>7217</v>
      </c>
      <c r="K2037" s="18"/>
      <c r="L2037" s="18" t="s">
        <v>7218</v>
      </c>
    </row>
    <row r="2038">
      <c r="A2038" s="18" t="s">
        <v>7219</v>
      </c>
      <c r="B2038" s="18" t="s">
        <v>791</v>
      </c>
      <c r="C2038" s="18" t="s">
        <v>7220</v>
      </c>
      <c r="D2038" s="18"/>
      <c r="E2038" s="24">
        <v>8.5103373232E10</v>
      </c>
      <c r="F2038" s="24">
        <v>1.0</v>
      </c>
      <c r="G2038" s="18" t="s">
        <v>7220</v>
      </c>
      <c r="H2038" s="18"/>
      <c r="I2038" s="24">
        <v>8.5103373232E10</v>
      </c>
      <c r="J2038" s="18" t="s">
        <v>7221</v>
      </c>
      <c r="K2038" s="18"/>
      <c r="L2038" s="18" t="s">
        <v>1519</v>
      </c>
    </row>
    <row r="2039">
      <c r="A2039" s="18" t="s">
        <v>7222</v>
      </c>
      <c r="B2039" s="18" t="s">
        <v>791</v>
      </c>
      <c r="C2039" s="18" t="s">
        <v>7223</v>
      </c>
      <c r="D2039" s="18"/>
      <c r="E2039" s="24">
        <v>8.5141565285E10</v>
      </c>
      <c r="F2039" s="24">
        <v>1.0</v>
      </c>
      <c r="G2039" s="18" t="s">
        <v>7223</v>
      </c>
      <c r="H2039" s="18"/>
      <c r="I2039" s="24">
        <v>8.5141565285E10</v>
      </c>
      <c r="J2039" s="18" t="s">
        <v>7224</v>
      </c>
      <c r="K2039" s="18"/>
      <c r="L2039" s="18" t="s">
        <v>3188</v>
      </c>
    </row>
    <row r="2040">
      <c r="A2040" s="18" t="s">
        <v>7228</v>
      </c>
      <c r="B2040" s="18" t="s">
        <v>791</v>
      </c>
      <c r="C2040" s="18" t="s">
        <v>7220</v>
      </c>
      <c r="D2040" s="18"/>
      <c r="E2040" s="24">
        <v>8.2337029948E10</v>
      </c>
      <c r="F2040" s="24">
        <v>1.0</v>
      </c>
      <c r="G2040" s="18" t="s">
        <v>7220</v>
      </c>
      <c r="H2040" s="18"/>
      <c r="I2040" s="24">
        <v>8.2337029948E10</v>
      </c>
      <c r="J2040" s="18" t="s">
        <v>7230</v>
      </c>
      <c r="K2040" s="18"/>
      <c r="L2040" s="18" t="s">
        <v>3202</v>
      </c>
    </row>
    <row r="2041">
      <c r="A2041" s="18" t="s">
        <v>7231</v>
      </c>
      <c r="B2041" s="18" t="s">
        <v>791</v>
      </c>
      <c r="C2041" s="18" t="s">
        <v>7220</v>
      </c>
      <c r="D2041" s="18"/>
      <c r="E2041" s="18"/>
      <c r="F2041" s="24">
        <v>1.0</v>
      </c>
      <c r="G2041" s="18" t="s">
        <v>7220</v>
      </c>
      <c r="H2041" s="18"/>
      <c r="I2041" s="18"/>
      <c r="J2041" s="18" t="s">
        <v>6843</v>
      </c>
      <c r="K2041" s="18"/>
      <c r="L2041" s="18"/>
    </row>
    <row r="2042">
      <c r="A2042" s="18" t="s">
        <v>7232</v>
      </c>
      <c r="B2042" s="18" t="s">
        <v>791</v>
      </c>
      <c r="C2042" s="18" t="s">
        <v>7234</v>
      </c>
      <c r="D2042" s="18"/>
      <c r="E2042" s="24">
        <v>8.3114350463E10</v>
      </c>
      <c r="F2042" s="24">
        <v>1.0</v>
      </c>
      <c r="G2042" s="18" t="s">
        <v>7234</v>
      </c>
      <c r="H2042" s="18"/>
      <c r="I2042" s="24">
        <v>8.3114350463E10</v>
      </c>
      <c r="J2042" s="18" t="s">
        <v>7235</v>
      </c>
      <c r="K2042" s="18"/>
      <c r="L2042" s="18" t="s">
        <v>7236</v>
      </c>
    </row>
    <row r="2043">
      <c r="A2043" s="18" t="s">
        <v>7237</v>
      </c>
      <c r="B2043" s="18" t="s">
        <v>791</v>
      </c>
      <c r="C2043" s="18" t="s">
        <v>7234</v>
      </c>
      <c r="D2043" s="18"/>
      <c r="E2043" s="24">
        <v>8.5741292508E10</v>
      </c>
      <c r="F2043" s="24">
        <v>1.0</v>
      </c>
      <c r="G2043" s="18" t="s">
        <v>7234</v>
      </c>
      <c r="H2043" s="18"/>
      <c r="I2043" s="24">
        <v>8.5741292508E10</v>
      </c>
      <c r="J2043" s="18" t="s">
        <v>7238</v>
      </c>
      <c r="K2043" s="18"/>
      <c r="L2043" s="18" t="s">
        <v>2339</v>
      </c>
    </row>
    <row r="2044">
      <c r="A2044" s="18" t="s">
        <v>7239</v>
      </c>
      <c r="B2044" s="18" t="s">
        <v>791</v>
      </c>
      <c r="C2044" s="18" t="s">
        <v>7240</v>
      </c>
      <c r="D2044" s="18"/>
      <c r="E2044" s="24">
        <v>8.5330549744E10</v>
      </c>
      <c r="F2044" s="24">
        <v>1.0</v>
      </c>
      <c r="G2044" s="18" t="s">
        <v>7240</v>
      </c>
      <c r="H2044" s="18"/>
      <c r="I2044" s="24">
        <v>8.5330549744E10</v>
      </c>
      <c r="J2044" s="18" t="s">
        <v>7241</v>
      </c>
      <c r="K2044" s="18"/>
      <c r="L2044" s="18" t="s">
        <v>3125</v>
      </c>
    </row>
    <row r="2045">
      <c r="A2045" s="18" t="s">
        <v>7242</v>
      </c>
      <c r="B2045" s="18" t="s">
        <v>791</v>
      </c>
      <c r="C2045" s="18" t="s">
        <v>7234</v>
      </c>
      <c r="D2045" s="18"/>
      <c r="E2045" s="24">
        <v>8.5791861365E10</v>
      </c>
      <c r="F2045" s="24">
        <v>1.0</v>
      </c>
      <c r="G2045" s="18" t="s">
        <v>7234</v>
      </c>
      <c r="H2045" s="18"/>
      <c r="I2045" s="24">
        <v>8.5791861365E10</v>
      </c>
      <c r="J2045" s="18" t="s">
        <v>6890</v>
      </c>
      <c r="K2045" s="18"/>
      <c r="L2045" s="18" t="s">
        <v>7243</v>
      </c>
    </row>
    <row r="2046">
      <c r="A2046" s="18" t="s">
        <v>7244</v>
      </c>
      <c r="B2046" s="18" t="s">
        <v>791</v>
      </c>
      <c r="C2046" s="18" t="s">
        <v>7245</v>
      </c>
      <c r="D2046" s="18"/>
      <c r="E2046" s="24">
        <v>8.1359267063E10</v>
      </c>
      <c r="F2046" s="24">
        <v>1.0</v>
      </c>
      <c r="G2046" s="18" t="s">
        <v>7245</v>
      </c>
      <c r="H2046" s="18"/>
      <c r="I2046" s="24">
        <v>8.1359267063E10</v>
      </c>
      <c r="J2046" s="18" t="s">
        <v>7246</v>
      </c>
      <c r="K2046" s="18"/>
      <c r="L2046" s="18" t="s">
        <v>5399</v>
      </c>
    </row>
    <row r="2047">
      <c r="A2047" s="18" t="s">
        <v>7247</v>
      </c>
      <c r="B2047" s="18" t="s">
        <v>791</v>
      </c>
      <c r="C2047" s="18" t="s">
        <v>7248</v>
      </c>
      <c r="D2047" s="18"/>
      <c r="E2047" s="24">
        <v>8.5790863704E10</v>
      </c>
      <c r="F2047" s="24">
        <v>1.0</v>
      </c>
      <c r="G2047" s="18" t="s">
        <v>7248</v>
      </c>
      <c r="H2047" s="18"/>
      <c r="I2047" s="24">
        <v>8.5790863704E10</v>
      </c>
      <c r="J2047" s="18" t="s">
        <v>7249</v>
      </c>
      <c r="K2047" s="18"/>
      <c r="L2047" s="18" t="s">
        <v>1842</v>
      </c>
    </row>
    <row r="2048">
      <c r="A2048" s="18" t="s">
        <v>7250</v>
      </c>
      <c r="B2048" s="18" t="s">
        <v>791</v>
      </c>
      <c r="C2048" s="18" t="s">
        <v>7251</v>
      </c>
      <c r="D2048" s="18"/>
      <c r="E2048" s="24">
        <v>8.1245223531E10</v>
      </c>
      <c r="F2048" s="24">
        <v>1.0</v>
      </c>
      <c r="G2048" s="18" t="s">
        <v>7251</v>
      </c>
      <c r="H2048" s="18"/>
      <c r="I2048" s="24">
        <v>8.1245223531E10</v>
      </c>
      <c r="J2048" s="24">
        <v>3.52112080962022E15</v>
      </c>
      <c r="K2048" s="18"/>
      <c r="L2048" s="18" t="s">
        <v>1651</v>
      </c>
    </row>
    <row r="2049">
      <c r="A2049" s="18" t="s">
        <v>7252</v>
      </c>
      <c r="B2049" s="18" t="s">
        <v>791</v>
      </c>
      <c r="C2049" s="18" t="s">
        <v>7248</v>
      </c>
      <c r="D2049" s="18"/>
      <c r="E2049" s="24">
        <v>8.5335045232E10</v>
      </c>
      <c r="F2049" s="24">
        <v>1.0</v>
      </c>
      <c r="G2049" s="18" t="s">
        <v>7248</v>
      </c>
      <c r="H2049" s="18"/>
      <c r="I2049" s="24">
        <v>8.5335045232E10</v>
      </c>
      <c r="J2049" s="18" t="s">
        <v>7253</v>
      </c>
      <c r="K2049" s="18"/>
      <c r="L2049" s="18" t="s">
        <v>5456</v>
      </c>
    </row>
    <row r="2050">
      <c r="A2050" s="18" t="s">
        <v>7254</v>
      </c>
      <c r="B2050" s="18" t="s">
        <v>791</v>
      </c>
      <c r="C2050" s="18" t="s">
        <v>7245</v>
      </c>
      <c r="D2050" s="18"/>
      <c r="E2050" s="24">
        <v>8.21428581E10</v>
      </c>
      <c r="F2050" s="24">
        <v>1.0</v>
      </c>
      <c r="G2050" s="18" t="s">
        <v>7245</v>
      </c>
      <c r="H2050" s="18"/>
      <c r="I2050" s="24">
        <v>8.21428581E10</v>
      </c>
      <c r="J2050" s="18" t="s">
        <v>7229</v>
      </c>
      <c r="K2050" s="18"/>
      <c r="L2050" s="18" t="s">
        <v>1466</v>
      </c>
    </row>
    <row r="2051">
      <c r="A2051" s="18" t="s">
        <v>7255</v>
      </c>
      <c r="B2051" s="18" t="s">
        <v>791</v>
      </c>
      <c r="C2051" s="18" t="s">
        <v>7256</v>
      </c>
      <c r="D2051" s="18"/>
      <c r="E2051" s="24">
        <v>8.1359267063E10</v>
      </c>
      <c r="F2051" s="24">
        <v>1.0</v>
      </c>
      <c r="G2051" s="18" t="s">
        <v>7256</v>
      </c>
      <c r="H2051" s="18"/>
      <c r="I2051" s="24">
        <v>8.1359267063E10</v>
      </c>
      <c r="J2051" s="18" t="s">
        <v>7257</v>
      </c>
      <c r="K2051" s="18"/>
      <c r="L2051" s="18" t="s">
        <v>5399</v>
      </c>
    </row>
    <row r="2052">
      <c r="A2052" s="18" t="s">
        <v>7258</v>
      </c>
      <c r="B2052" s="18" t="s">
        <v>791</v>
      </c>
      <c r="C2052" s="18" t="s">
        <v>7259</v>
      </c>
      <c r="D2052" s="18"/>
      <c r="E2052" s="24">
        <v>8.5105845585E10</v>
      </c>
      <c r="F2052" s="24">
        <v>1.0</v>
      </c>
      <c r="G2052" s="18" t="s">
        <v>7259</v>
      </c>
      <c r="H2052" s="18"/>
      <c r="I2052" s="24">
        <v>8.5105845585E10</v>
      </c>
      <c r="J2052" s="18" t="s">
        <v>7260</v>
      </c>
      <c r="K2052" s="18"/>
      <c r="L2052" s="18" t="s">
        <v>7261</v>
      </c>
    </row>
    <row r="2053">
      <c r="A2053" s="18" t="s">
        <v>7263</v>
      </c>
      <c r="B2053" s="18" t="s">
        <v>791</v>
      </c>
      <c r="C2053" s="18" t="s">
        <v>7264</v>
      </c>
      <c r="D2053" s="18"/>
      <c r="E2053" s="24">
        <v>8.2132782503E10</v>
      </c>
      <c r="F2053" s="24">
        <v>1.0</v>
      </c>
      <c r="G2053" s="18" t="s">
        <v>7264</v>
      </c>
      <c r="H2053" s="18"/>
      <c r="I2053" s="24">
        <v>8.2132782503E10</v>
      </c>
      <c r="J2053" s="18" t="s">
        <v>7265</v>
      </c>
      <c r="K2053" s="18"/>
      <c r="L2053" s="18" t="s">
        <v>2118</v>
      </c>
    </row>
    <row r="2054">
      <c r="A2054" s="18" t="s">
        <v>7266</v>
      </c>
      <c r="B2054" s="18" t="s">
        <v>791</v>
      </c>
      <c r="C2054" s="18" t="s">
        <v>7264</v>
      </c>
      <c r="D2054" s="18"/>
      <c r="E2054" s="24">
        <v>8.5872294308E10</v>
      </c>
      <c r="F2054" s="24">
        <v>1.0</v>
      </c>
      <c r="G2054" s="18" t="s">
        <v>7264</v>
      </c>
      <c r="H2054" s="18"/>
      <c r="I2054" s="24">
        <v>8.5872294308E10</v>
      </c>
      <c r="J2054" s="18" t="s">
        <v>7267</v>
      </c>
      <c r="K2054" s="18"/>
      <c r="L2054" s="18" t="s">
        <v>2132</v>
      </c>
    </row>
    <row r="2055">
      <c r="A2055" s="18" t="s">
        <v>7268</v>
      </c>
      <c r="B2055" s="18" t="s">
        <v>791</v>
      </c>
      <c r="C2055" s="18" t="s">
        <v>7269</v>
      </c>
      <c r="D2055" s="18"/>
      <c r="E2055" s="24">
        <v>8.1213992421E10</v>
      </c>
      <c r="F2055" s="24">
        <v>1.0</v>
      </c>
      <c r="G2055" s="18" t="s">
        <v>7269</v>
      </c>
      <c r="H2055" s="18"/>
      <c r="I2055" s="24">
        <v>8.1213992421E10</v>
      </c>
      <c r="J2055" s="18" t="s">
        <v>7270</v>
      </c>
      <c r="K2055" s="18"/>
      <c r="L2055" s="18" t="s">
        <v>7271</v>
      </c>
    </row>
    <row r="2056">
      <c r="A2056" s="18" t="s">
        <v>7272</v>
      </c>
      <c r="B2056" s="18" t="s">
        <v>791</v>
      </c>
      <c r="C2056" s="18" t="s">
        <v>7269</v>
      </c>
      <c r="D2056" s="18"/>
      <c r="E2056" s="24">
        <v>8.5141565285E10</v>
      </c>
      <c r="F2056" s="24">
        <v>1.0</v>
      </c>
      <c r="G2056" s="18" t="s">
        <v>7269</v>
      </c>
      <c r="H2056" s="18"/>
      <c r="I2056" s="24">
        <v>8.5141565285E10</v>
      </c>
      <c r="J2056" s="24">
        <v>3.52111300558E15</v>
      </c>
      <c r="K2056" s="18"/>
      <c r="L2056" s="18" t="s">
        <v>3188</v>
      </c>
    </row>
    <row r="2057">
      <c r="A2057" s="18" t="s">
        <v>7273</v>
      </c>
      <c r="B2057" s="18" t="s">
        <v>791</v>
      </c>
      <c r="C2057" s="18" t="s">
        <v>7269</v>
      </c>
      <c r="D2057" s="18"/>
      <c r="E2057" s="24">
        <v>8.123051535E9</v>
      </c>
      <c r="F2057" s="24">
        <v>1.0</v>
      </c>
      <c r="G2057" s="18" t="s">
        <v>7269</v>
      </c>
      <c r="H2057" s="18"/>
      <c r="I2057" s="24">
        <v>8.123051535E9</v>
      </c>
      <c r="J2057" s="18" t="s">
        <v>7274</v>
      </c>
      <c r="K2057" s="18"/>
      <c r="L2057" s="18" t="s">
        <v>7275</v>
      </c>
    </row>
    <row r="2058">
      <c r="A2058" s="18" t="s">
        <v>7276</v>
      </c>
      <c r="B2058" s="18" t="s">
        <v>791</v>
      </c>
      <c r="C2058" s="18" t="s">
        <v>7277</v>
      </c>
      <c r="D2058" s="18"/>
      <c r="E2058" s="24">
        <v>8.5326632177E10</v>
      </c>
      <c r="F2058" s="24">
        <v>1.0</v>
      </c>
      <c r="G2058" s="18" t="s">
        <v>7277</v>
      </c>
      <c r="H2058" s="18"/>
      <c r="I2058" s="24">
        <v>8.5326632177E10</v>
      </c>
      <c r="J2058" s="18" t="s">
        <v>7279</v>
      </c>
      <c r="K2058" s="18"/>
      <c r="L2058" s="18" t="s">
        <v>4776</v>
      </c>
    </row>
    <row r="2059">
      <c r="A2059" s="18" t="s">
        <v>7280</v>
      </c>
      <c r="B2059" s="18" t="s">
        <v>791</v>
      </c>
      <c r="C2059" s="18" t="s">
        <v>7277</v>
      </c>
      <c r="D2059" s="18"/>
      <c r="E2059" s="24">
        <v>8.5736929887E10</v>
      </c>
      <c r="F2059" s="24">
        <v>1.0</v>
      </c>
      <c r="G2059" s="18" t="s">
        <v>7277</v>
      </c>
      <c r="H2059" s="18"/>
      <c r="I2059" s="24">
        <v>8.5736929887E10</v>
      </c>
      <c r="J2059" s="18" t="s">
        <v>7281</v>
      </c>
      <c r="K2059" s="18"/>
      <c r="L2059" s="18" t="s">
        <v>7282</v>
      </c>
    </row>
    <row r="2060">
      <c r="A2060" s="18" t="s">
        <v>7283</v>
      </c>
      <c r="B2060" s="18" t="s">
        <v>791</v>
      </c>
      <c r="C2060" s="18" t="s">
        <v>7269</v>
      </c>
      <c r="D2060" s="18"/>
      <c r="E2060" s="24">
        <v>8.2142127421E10</v>
      </c>
      <c r="F2060" s="24">
        <v>1.0</v>
      </c>
      <c r="G2060" s="18" t="s">
        <v>7269</v>
      </c>
      <c r="H2060" s="18"/>
      <c r="I2060" s="24">
        <v>8.2142127421E10</v>
      </c>
      <c r="J2060" s="18" t="s">
        <v>7284</v>
      </c>
      <c r="K2060" s="18"/>
      <c r="L2060" s="18" t="s">
        <v>5271</v>
      </c>
    </row>
    <row r="2061">
      <c r="A2061" s="18" t="s">
        <v>7285</v>
      </c>
      <c r="B2061" s="18" t="s">
        <v>791</v>
      </c>
      <c r="C2061" s="18" t="s">
        <v>7277</v>
      </c>
      <c r="D2061" s="18"/>
      <c r="E2061" s="24">
        <v>8.1231732393E10</v>
      </c>
      <c r="F2061" s="24">
        <v>1.0</v>
      </c>
      <c r="G2061" s="18" t="s">
        <v>7277</v>
      </c>
      <c r="H2061" s="18"/>
      <c r="I2061" s="24">
        <v>8.1231732393E10</v>
      </c>
      <c r="J2061" s="18" t="s">
        <v>7109</v>
      </c>
      <c r="K2061" s="18"/>
      <c r="L2061" s="18" t="s">
        <v>5598</v>
      </c>
    </row>
    <row r="2062">
      <c r="A2062" s="18" t="s">
        <v>7287</v>
      </c>
      <c r="B2062" s="18" t="s">
        <v>791</v>
      </c>
      <c r="C2062" s="18" t="s">
        <v>7269</v>
      </c>
      <c r="D2062" s="18"/>
      <c r="E2062" s="24">
        <v>8.1357054653E10</v>
      </c>
      <c r="F2062" s="24">
        <v>1.0</v>
      </c>
      <c r="G2062" s="18" t="s">
        <v>7269</v>
      </c>
      <c r="H2062" s="18"/>
      <c r="I2062" s="24">
        <v>8.1357054653E10</v>
      </c>
      <c r="J2062" s="18" t="s">
        <v>7288</v>
      </c>
      <c r="K2062" s="18"/>
      <c r="L2062" s="18" t="s">
        <v>3115</v>
      </c>
    </row>
    <row r="2063">
      <c r="A2063" s="18" t="s">
        <v>7289</v>
      </c>
      <c r="B2063" s="18" t="s">
        <v>791</v>
      </c>
      <c r="C2063" s="18" t="s">
        <v>7277</v>
      </c>
      <c r="D2063" s="18"/>
      <c r="E2063" s="24">
        <v>8.5646810812E10</v>
      </c>
      <c r="F2063" s="24">
        <v>1.0</v>
      </c>
      <c r="G2063" s="18" t="s">
        <v>7277</v>
      </c>
      <c r="H2063" s="18"/>
      <c r="I2063" s="24">
        <v>8.5646810812E10</v>
      </c>
      <c r="J2063" s="18" t="s">
        <v>7156</v>
      </c>
      <c r="K2063" s="18"/>
      <c r="L2063" s="18" t="s">
        <v>6786</v>
      </c>
    </row>
    <row r="2064">
      <c r="A2064" s="18" t="s">
        <v>7290</v>
      </c>
      <c r="B2064" s="18" t="s">
        <v>791</v>
      </c>
      <c r="C2064" s="18" t="s">
        <v>7277</v>
      </c>
      <c r="D2064" s="18"/>
      <c r="E2064" s="24">
        <v>8.5233685156E10</v>
      </c>
      <c r="F2064" s="24">
        <v>1.0</v>
      </c>
      <c r="G2064" s="18" t="s">
        <v>7277</v>
      </c>
      <c r="H2064" s="18"/>
      <c r="I2064" s="24">
        <v>8.5233685156E10</v>
      </c>
      <c r="J2064" s="18" t="s">
        <v>7292</v>
      </c>
      <c r="K2064" s="18"/>
      <c r="L2064" s="18" t="s">
        <v>7293</v>
      </c>
    </row>
    <row r="2065">
      <c r="A2065" s="18" t="s">
        <v>7294</v>
      </c>
      <c r="B2065" s="18" t="s">
        <v>791</v>
      </c>
      <c r="C2065" s="18" t="s">
        <v>7277</v>
      </c>
      <c r="D2065" s="18"/>
      <c r="E2065" s="24">
        <v>8.5784210898E10</v>
      </c>
      <c r="F2065" s="24">
        <v>1.0</v>
      </c>
      <c r="G2065" s="18" t="s">
        <v>7277</v>
      </c>
      <c r="H2065" s="18"/>
      <c r="I2065" s="24">
        <v>8.5784210898E10</v>
      </c>
      <c r="J2065" s="18" t="s">
        <v>7296</v>
      </c>
      <c r="K2065" s="18"/>
      <c r="L2065" s="18" t="s">
        <v>1482</v>
      </c>
    </row>
    <row r="2066">
      <c r="A2066" s="18" t="s">
        <v>7297</v>
      </c>
      <c r="B2066" s="18" t="s">
        <v>791</v>
      </c>
      <c r="C2066" s="18" t="s">
        <v>7298</v>
      </c>
      <c r="D2066" s="18"/>
      <c r="E2066" s="24">
        <v>8.1231683907E10</v>
      </c>
      <c r="F2066" s="24">
        <v>1.0</v>
      </c>
      <c r="G2066" s="18" t="s">
        <v>7298</v>
      </c>
      <c r="H2066" s="18"/>
      <c r="I2066" s="24">
        <v>8.1231683907E10</v>
      </c>
      <c r="J2066" s="18" t="s">
        <v>7299</v>
      </c>
      <c r="K2066" s="18"/>
      <c r="L2066" s="18" t="s">
        <v>1515</v>
      </c>
    </row>
    <row r="2067">
      <c r="A2067" s="18" t="s">
        <v>7300</v>
      </c>
      <c r="B2067" s="18" t="s">
        <v>791</v>
      </c>
      <c r="C2067" s="18" t="s">
        <v>7301</v>
      </c>
      <c r="D2067" s="18"/>
      <c r="E2067" s="24">
        <v>8.5648822053E10</v>
      </c>
      <c r="F2067" s="24">
        <v>1.0</v>
      </c>
      <c r="G2067" s="18" t="s">
        <v>7301</v>
      </c>
      <c r="H2067" s="18"/>
      <c r="I2067" s="24">
        <v>8.5648822053E10</v>
      </c>
      <c r="J2067" s="18" t="s">
        <v>6884</v>
      </c>
      <c r="K2067" s="18"/>
      <c r="L2067" s="18" t="s">
        <v>7302</v>
      </c>
    </row>
    <row r="2068">
      <c r="A2068" s="18" t="s">
        <v>7303</v>
      </c>
      <c r="B2068" s="18" t="s">
        <v>791</v>
      </c>
      <c r="C2068" s="18" t="s">
        <v>7304</v>
      </c>
      <c r="D2068" s="18"/>
      <c r="E2068" s="24">
        <v>8.1319283688E10</v>
      </c>
      <c r="F2068" s="24">
        <v>1.0</v>
      </c>
      <c r="G2068" s="18" t="s">
        <v>7304</v>
      </c>
      <c r="H2068" s="18"/>
      <c r="I2068" s="24">
        <v>8.1319283688E10</v>
      </c>
      <c r="J2068" s="18" t="s">
        <v>7305</v>
      </c>
      <c r="K2068" s="18"/>
      <c r="L2068" s="18" t="s">
        <v>2827</v>
      </c>
    </row>
    <row r="2069">
      <c r="A2069" s="18" t="s">
        <v>7306</v>
      </c>
      <c r="B2069" s="18" t="s">
        <v>791</v>
      </c>
      <c r="C2069" s="18" t="s">
        <v>7307</v>
      </c>
      <c r="D2069" s="18"/>
      <c r="E2069" s="24">
        <v>8.5236233096E10</v>
      </c>
      <c r="F2069" s="24">
        <v>1.0</v>
      </c>
      <c r="G2069" s="18" t="s">
        <v>7307</v>
      </c>
      <c r="H2069" s="18"/>
      <c r="I2069" s="24">
        <v>8.5236233096E10</v>
      </c>
      <c r="J2069" s="18" t="s">
        <v>6372</v>
      </c>
      <c r="K2069" s="18"/>
      <c r="L2069" s="18" t="s">
        <v>1850</v>
      </c>
    </row>
    <row r="2070">
      <c r="A2070" s="18" t="s">
        <v>7308</v>
      </c>
      <c r="B2070" s="18" t="s">
        <v>791</v>
      </c>
      <c r="C2070" s="18" t="s">
        <v>1339</v>
      </c>
      <c r="D2070" s="18"/>
      <c r="E2070" s="24">
        <v>8.1556715577E10</v>
      </c>
      <c r="F2070" s="24">
        <v>1.0</v>
      </c>
      <c r="G2070" s="18" t="s">
        <v>1339</v>
      </c>
      <c r="H2070" s="18"/>
      <c r="I2070" s="24">
        <v>8.1556715577E10</v>
      </c>
      <c r="J2070" s="18" t="s">
        <v>7309</v>
      </c>
      <c r="K2070" s="18"/>
      <c r="L2070" s="18" t="s">
        <v>5271</v>
      </c>
    </row>
    <row r="2071">
      <c r="A2071" s="18" t="s">
        <v>1337</v>
      </c>
      <c r="B2071" s="18" t="s">
        <v>791</v>
      </c>
      <c r="C2071" s="18" t="s">
        <v>1339</v>
      </c>
      <c r="D2071" s="18"/>
      <c r="E2071" s="24">
        <v>8.5784809735E10</v>
      </c>
      <c r="F2071" s="24">
        <v>1.0</v>
      </c>
      <c r="G2071" s="18" t="s">
        <v>1339</v>
      </c>
      <c r="H2071" s="18"/>
      <c r="I2071" s="24">
        <v>8.5784809735E10</v>
      </c>
      <c r="J2071" s="18" t="s">
        <v>1338</v>
      </c>
      <c r="K2071" s="18"/>
      <c r="L2071" s="18" t="s">
        <v>1340</v>
      </c>
    </row>
    <row r="2072">
      <c r="A2072" s="18" t="s">
        <v>7310</v>
      </c>
      <c r="B2072" s="18" t="s">
        <v>791</v>
      </c>
      <c r="C2072" s="18" t="s">
        <v>1339</v>
      </c>
      <c r="D2072" s="18"/>
      <c r="E2072" s="24">
        <v>8.2228297125E10</v>
      </c>
      <c r="F2072" s="24">
        <v>1.0</v>
      </c>
      <c r="G2072" s="18" t="s">
        <v>1339</v>
      </c>
      <c r="H2072" s="18"/>
      <c r="I2072" s="24">
        <v>8.2228297125E10</v>
      </c>
      <c r="J2072" s="18" t="s">
        <v>7311</v>
      </c>
      <c r="K2072" s="18"/>
      <c r="L2072" s="18" t="s">
        <v>2312</v>
      </c>
    </row>
    <row r="2073">
      <c r="A2073" s="18" t="s">
        <v>7313</v>
      </c>
      <c r="B2073" s="18" t="s">
        <v>791</v>
      </c>
      <c r="C2073" s="18" t="s">
        <v>1339</v>
      </c>
      <c r="D2073" s="18"/>
      <c r="E2073" s="24">
        <v>8.5735616987E10</v>
      </c>
      <c r="F2073" s="24">
        <v>1.0</v>
      </c>
      <c r="G2073" s="18" t="s">
        <v>1339</v>
      </c>
      <c r="H2073" s="18"/>
      <c r="I2073" s="24">
        <v>8.5735616987E10</v>
      </c>
      <c r="J2073" s="18" t="s">
        <v>7314</v>
      </c>
      <c r="K2073" s="18"/>
      <c r="L2073" s="18" t="s">
        <v>6835</v>
      </c>
    </row>
    <row r="2074">
      <c r="A2074" s="18" t="s">
        <v>7315</v>
      </c>
      <c r="B2074" s="18" t="s">
        <v>791</v>
      </c>
      <c r="C2074" s="18" t="s">
        <v>7316</v>
      </c>
      <c r="D2074" s="18"/>
      <c r="E2074" s="24">
        <v>8.5103373232E10</v>
      </c>
      <c r="F2074" s="24">
        <v>1.0</v>
      </c>
      <c r="G2074" s="18" t="s">
        <v>7316</v>
      </c>
      <c r="H2074" s="18"/>
      <c r="I2074" s="24">
        <v>8.5103373232E10</v>
      </c>
      <c r="J2074" s="18" t="s">
        <v>7317</v>
      </c>
      <c r="K2074" s="18"/>
      <c r="L2074" s="18" t="s">
        <v>1519</v>
      </c>
    </row>
    <row r="2075">
      <c r="A2075" s="18" t="s">
        <v>7318</v>
      </c>
      <c r="B2075" s="18" t="s">
        <v>791</v>
      </c>
      <c r="C2075" s="18" t="s">
        <v>1343</v>
      </c>
      <c r="D2075" s="18"/>
      <c r="E2075" s="24">
        <v>8.233279389E10</v>
      </c>
      <c r="F2075" s="24">
        <v>1.0</v>
      </c>
      <c r="G2075" s="18" t="s">
        <v>1343</v>
      </c>
      <c r="H2075" s="18"/>
      <c r="I2075" s="24">
        <v>8.233279389E10</v>
      </c>
      <c r="J2075" s="18" t="s">
        <v>7319</v>
      </c>
      <c r="K2075" s="18"/>
      <c r="L2075" s="18" t="s">
        <v>1560</v>
      </c>
    </row>
    <row r="2076">
      <c r="A2076" s="18" t="s">
        <v>1341</v>
      </c>
      <c r="B2076" s="18" t="s">
        <v>791</v>
      </c>
      <c r="C2076" s="18" t="s">
        <v>1343</v>
      </c>
      <c r="D2076" s="18"/>
      <c r="E2076" s="24">
        <v>8.5784809735E10</v>
      </c>
      <c r="F2076" s="24">
        <v>1.0</v>
      </c>
      <c r="G2076" s="18" t="s">
        <v>1343</v>
      </c>
      <c r="H2076" s="18"/>
      <c r="I2076" s="24">
        <v>8.5784809735E10</v>
      </c>
      <c r="J2076" s="18" t="s">
        <v>1342</v>
      </c>
      <c r="K2076" s="18"/>
      <c r="L2076" s="18" t="s">
        <v>1340</v>
      </c>
    </row>
    <row r="2077">
      <c r="A2077" s="18" t="s">
        <v>7176</v>
      </c>
      <c r="B2077" s="18" t="s">
        <v>791</v>
      </c>
      <c r="C2077" s="18" t="s">
        <v>1343</v>
      </c>
      <c r="D2077" s="18"/>
      <c r="E2077" s="24">
        <v>8.125990493E9</v>
      </c>
      <c r="F2077" s="24">
        <v>1.0</v>
      </c>
      <c r="G2077" s="18" t="s">
        <v>1343</v>
      </c>
      <c r="H2077" s="18"/>
      <c r="I2077" s="24">
        <v>8.125990493E9</v>
      </c>
      <c r="J2077" s="18" t="s">
        <v>7178</v>
      </c>
      <c r="K2077" s="18"/>
      <c r="L2077" s="18" t="s">
        <v>27</v>
      </c>
    </row>
    <row r="2078">
      <c r="A2078" s="18" t="s">
        <v>7321</v>
      </c>
      <c r="B2078" s="18" t="s">
        <v>791</v>
      </c>
      <c r="C2078" s="18" t="s">
        <v>7316</v>
      </c>
      <c r="D2078" s="18"/>
      <c r="E2078" s="24">
        <v>8.1319283688E10</v>
      </c>
      <c r="F2078" s="24">
        <v>1.0</v>
      </c>
      <c r="G2078" s="18" t="s">
        <v>7316</v>
      </c>
      <c r="H2078" s="18"/>
      <c r="I2078" s="24">
        <v>8.1319283688E10</v>
      </c>
      <c r="J2078" s="18" t="s">
        <v>4346</v>
      </c>
      <c r="K2078" s="18"/>
      <c r="L2078" s="18" t="s">
        <v>2827</v>
      </c>
    </row>
    <row r="2079">
      <c r="A2079" s="18" t="s">
        <v>7143</v>
      </c>
      <c r="B2079" s="18" t="s">
        <v>791</v>
      </c>
      <c r="C2079" s="18" t="s">
        <v>7144</v>
      </c>
      <c r="D2079" s="18"/>
      <c r="E2079" s="24">
        <v>8.123427222E9</v>
      </c>
      <c r="F2079" s="24">
        <v>1.0</v>
      </c>
      <c r="G2079" s="18" t="s">
        <v>7144</v>
      </c>
      <c r="H2079" s="18"/>
      <c r="I2079" s="24">
        <v>8.123427222E9</v>
      </c>
      <c r="J2079" s="18" t="s">
        <v>7146</v>
      </c>
      <c r="K2079" s="18"/>
      <c r="L2079" s="18" t="s">
        <v>3792</v>
      </c>
    </row>
    <row r="2080">
      <c r="A2080" s="18" t="s">
        <v>7322</v>
      </c>
      <c r="B2080" s="18" t="s">
        <v>791</v>
      </c>
      <c r="C2080" s="18" t="s">
        <v>7323</v>
      </c>
      <c r="D2080" s="18"/>
      <c r="E2080" s="24">
        <v>8.5215504501E10</v>
      </c>
      <c r="F2080" s="24">
        <v>1.0</v>
      </c>
      <c r="G2080" s="18" t="s">
        <v>7323</v>
      </c>
      <c r="H2080" s="18"/>
      <c r="I2080" s="24">
        <v>8.5215504501E10</v>
      </c>
      <c r="J2080" s="18" t="s">
        <v>7325</v>
      </c>
      <c r="K2080" s="18"/>
      <c r="L2080" s="18" t="s">
        <v>5456</v>
      </c>
    </row>
    <row r="2081">
      <c r="A2081" s="18" t="s">
        <v>7326</v>
      </c>
      <c r="B2081" s="18" t="s">
        <v>791</v>
      </c>
      <c r="C2081" s="18" t="s">
        <v>1468</v>
      </c>
      <c r="D2081" s="18"/>
      <c r="E2081" s="24">
        <v>8.3115201841E10</v>
      </c>
      <c r="F2081" s="24">
        <v>1.0</v>
      </c>
      <c r="G2081" s="18" t="s">
        <v>1468</v>
      </c>
      <c r="H2081" s="18"/>
      <c r="I2081" s="24">
        <v>8.3115201841E10</v>
      </c>
      <c r="J2081" s="18" t="s">
        <v>7026</v>
      </c>
      <c r="K2081" s="18"/>
      <c r="L2081" s="18" t="s">
        <v>7327</v>
      </c>
    </row>
    <row r="2082">
      <c r="A2082" s="18" t="s">
        <v>7328</v>
      </c>
      <c r="B2082" s="18" t="s">
        <v>791</v>
      </c>
      <c r="C2082" s="18" t="s">
        <v>7323</v>
      </c>
      <c r="D2082" s="18"/>
      <c r="E2082" s="24">
        <v>8.127535007E10</v>
      </c>
      <c r="F2082" s="24">
        <v>1.0</v>
      </c>
      <c r="G2082" s="18" t="s">
        <v>7323</v>
      </c>
      <c r="H2082" s="18"/>
      <c r="I2082" s="24">
        <v>8.127535007E10</v>
      </c>
      <c r="J2082" s="18" t="s">
        <v>7329</v>
      </c>
      <c r="K2082" s="18"/>
      <c r="L2082" s="18" t="s">
        <v>2711</v>
      </c>
    </row>
    <row r="2083">
      <c r="A2083" s="18" t="s">
        <v>7330</v>
      </c>
      <c r="B2083" s="18" t="s">
        <v>791</v>
      </c>
      <c r="C2083" s="18" t="s">
        <v>7323</v>
      </c>
      <c r="D2083" s="18"/>
      <c r="E2083" s="24">
        <v>8.5335472474E10</v>
      </c>
      <c r="F2083" s="24">
        <v>1.0</v>
      </c>
      <c r="G2083" s="18" t="s">
        <v>7323</v>
      </c>
      <c r="H2083" s="18"/>
      <c r="I2083" s="24">
        <v>8.5335472474E10</v>
      </c>
      <c r="J2083" s="18" t="s">
        <v>7331</v>
      </c>
      <c r="K2083" s="18"/>
      <c r="L2083" s="18" t="s">
        <v>7332</v>
      </c>
    </row>
    <row r="2084">
      <c r="A2084" s="18" t="s">
        <v>7333</v>
      </c>
      <c r="B2084" s="18" t="s">
        <v>791</v>
      </c>
      <c r="C2084" s="18" t="s">
        <v>7334</v>
      </c>
      <c r="D2084" s="18"/>
      <c r="E2084" s="24">
        <v>8.5735530538E10</v>
      </c>
      <c r="F2084" s="24">
        <v>1.0</v>
      </c>
      <c r="G2084" s="18" t="s">
        <v>7334</v>
      </c>
      <c r="H2084" s="18"/>
      <c r="I2084" s="24">
        <v>8.5735530538E10</v>
      </c>
      <c r="J2084" s="18" t="s">
        <v>6742</v>
      </c>
      <c r="K2084" s="18"/>
      <c r="L2084" s="18" t="s">
        <v>7335</v>
      </c>
    </row>
    <row r="2085">
      <c r="A2085" s="18" t="s">
        <v>7336</v>
      </c>
      <c r="B2085" s="18" t="s">
        <v>791</v>
      </c>
      <c r="C2085" s="18" t="s">
        <v>7337</v>
      </c>
      <c r="D2085" s="18"/>
      <c r="E2085" s="24">
        <v>8.5231572312E10</v>
      </c>
      <c r="F2085" s="24">
        <v>1.0</v>
      </c>
      <c r="G2085" s="18" t="s">
        <v>7337</v>
      </c>
      <c r="H2085" s="18"/>
      <c r="I2085" s="24">
        <v>8.5231572312E10</v>
      </c>
      <c r="J2085" s="18" t="s">
        <v>7291</v>
      </c>
      <c r="K2085" s="18"/>
      <c r="L2085" s="18" t="s">
        <v>1515</v>
      </c>
    </row>
    <row r="2086">
      <c r="A2086" s="18" t="s">
        <v>7338</v>
      </c>
      <c r="B2086" s="18" t="s">
        <v>791</v>
      </c>
      <c r="C2086" s="18" t="s">
        <v>7334</v>
      </c>
      <c r="D2086" s="18"/>
      <c r="E2086" s="24">
        <v>8.5749394927E10</v>
      </c>
      <c r="F2086" s="24">
        <v>1.0</v>
      </c>
      <c r="G2086" s="18" t="s">
        <v>7334</v>
      </c>
      <c r="H2086" s="18"/>
      <c r="I2086" s="24">
        <v>8.5749394927E10</v>
      </c>
      <c r="J2086" s="18" t="s">
        <v>7339</v>
      </c>
      <c r="K2086" s="18"/>
      <c r="L2086" s="18" t="s">
        <v>2003</v>
      </c>
    </row>
    <row r="2087">
      <c r="A2087" s="18" t="s">
        <v>7340</v>
      </c>
      <c r="B2087" s="18" t="s">
        <v>791</v>
      </c>
      <c r="C2087" s="18" t="s">
        <v>7337</v>
      </c>
      <c r="D2087" s="18"/>
      <c r="E2087" s="24">
        <v>8.5235040123E10</v>
      </c>
      <c r="F2087" s="24">
        <v>1.0</v>
      </c>
      <c r="G2087" s="18" t="s">
        <v>7337</v>
      </c>
      <c r="H2087" s="18"/>
      <c r="I2087" s="24">
        <v>8.5235040123E10</v>
      </c>
      <c r="J2087" s="18" t="s">
        <v>7341</v>
      </c>
      <c r="K2087" s="18"/>
      <c r="L2087" s="18" t="s">
        <v>4472</v>
      </c>
    </row>
    <row r="2088">
      <c r="A2088" s="18" t="s">
        <v>7342</v>
      </c>
      <c r="B2088" s="18" t="s">
        <v>791</v>
      </c>
      <c r="C2088" s="18" t="s">
        <v>7334</v>
      </c>
      <c r="D2088" s="18"/>
      <c r="E2088" s="24">
        <v>8.5856361187E10</v>
      </c>
      <c r="F2088" s="24">
        <v>1.0</v>
      </c>
      <c r="G2088" s="18" t="s">
        <v>7334</v>
      </c>
      <c r="H2088" s="18"/>
      <c r="I2088" s="24">
        <v>8.5856361187E10</v>
      </c>
      <c r="J2088" s="18" t="s">
        <v>7343</v>
      </c>
      <c r="K2088" s="18"/>
      <c r="L2088" s="18" t="s">
        <v>3115</v>
      </c>
    </row>
    <row r="2089">
      <c r="A2089" s="18" t="s">
        <v>7344</v>
      </c>
      <c r="B2089" s="18" t="s">
        <v>791</v>
      </c>
      <c r="C2089" s="18" t="s">
        <v>7345</v>
      </c>
      <c r="D2089" s="18"/>
      <c r="E2089" s="24">
        <v>8.5735464172E10</v>
      </c>
      <c r="F2089" s="24">
        <v>1.0</v>
      </c>
      <c r="G2089" s="18" t="s">
        <v>7345</v>
      </c>
      <c r="H2089" s="18"/>
      <c r="I2089" s="24">
        <v>8.5735464172E10</v>
      </c>
      <c r="J2089" s="18" t="s">
        <v>7346</v>
      </c>
      <c r="K2089" s="18"/>
      <c r="L2089" s="18" t="s">
        <v>5505</v>
      </c>
    </row>
    <row r="2090">
      <c r="A2090" s="18" t="s">
        <v>7347</v>
      </c>
      <c r="B2090" s="18" t="s">
        <v>791</v>
      </c>
      <c r="C2090" s="18" t="s">
        <v>7348</v>
      </c>
      <c r="D2090" s="18"/>
      <c r="E2090" s="24">
        <v>8.5790224449E10</v>
      </c>
      <c r="F2090" s="24">
        <v>1.0</v>
      </c>
      <c r="G2090" s="18" t="s">
        <v>7348</v>
      </c>
      <c r="H2090" s="18"/>
      <c r="I2090" s="24">
        <v>8.5790224449E10</v>
      </c>
      <c r="J2090" s="18" t="s">
        <v>6992</v>
      </c>
      <c r="K2090" s="18"/>
      <c r="L2090" s="18" t="s">
        <v>2451</v>
      </c>
    </row>
    <row r="2091">
      <c r="A2091" s="18" t="s">
        <v>7349</v>
      </c>
      <c r="B2091" s="18" t="s">
        <v>791</v>
      </c>
      <c r="C2091" s="18" t="s">
        <v>7350</v>
      </c>
      <c r="D2091" s="18"/>
      <c r="E2091" s="24">
        <v>8.5335383546E10</v>
      </c>
      <c r="F2091" s="24">
        <v>1.0</v>
      </c>
      <c r="G2091" s="18" t="s">
        <v>7350</v>
      </c>
      <c r="H2091" s="18"/>
      <c r="I2091" s="24">
        <v>8.5335383546E10</v>
      </c>
      <c r="J2091" s="18" t="s">
        <v>7351</v>
      </c>
      <c r="K2091" s="18"/>
      <c r="L2091" s="18" t="s">
        <v>3367</v>
      </c>
    </row>
    <row r="2092">
      <c r="A2092" s="18" t="s">
        <v>7352</v>
      </c>
      <c r="B2092" s="18" t="s">
        <v>791</v>
      </c>
      <c r="C2092" s="18" t="s">
        <v>7350</v>
      </c>
      <c r="D2092" s="18"/>
      <c r="E2092" s="24">
        <v>8.2228297125E10</v>
      </c>
      <c r="F2092" s="24">
        <v>1.0</v>
      </c>
      <c r="G2092" s="18" t="s">
        <v>7350</v>
      </c>
      <c r="H2092" s="18"/>
      <c r="I2092" s="24">
        <v>8.2228297125E10</v>
      </c>
      <c r="J2092" s="18" t="s">
        <v>7353</v>
      </c>
      <c r="K2092" s="18"/>
      <c r="L2092" s="18" t="s">
        <v>2312</v>
      </c>
    </row>
    <row r="2093">
      <c r="A2093" s="18" t="s">
        <v>7354</v>
      </c>
      <c r="B2093" s="18" t="s">
        <v>791</v>
      </c>
      <c r="C2093" s="18" t="s">
        <v>7355</v>
      </c>
      <c r="D2093" s="18"/>
      <c r="E2093" s="24">
        <v>8.5233685156E10</v>
      </c>
      <c r="F2093" s="24">
        <v>1.0</v>
      </c>
      <c r="G2093" s="18" t="s">
        <v>7355</v>
      </c>
      <c r="H2093" s="18"/>
      <c r="I2093" s="24">
        <v>8.5233685156E10</v>
      </c>
      <c r="J2093" s="18" t="s">
        <v>7225</v>
      </c>
      <c r="K2093" s="18"/>
      <c r="L2093" s="18" t="s">
        <v>7357</v>
      </c>
    </row>
    <row r="2094">
      <c r="A2094" s="18" t="s">
        <v>7358</v>
      </c>
      <c r="B2094" s="18" t="s">
        <v>791</v>
      </c>
      <c r="C2094" s="18" t="s">
        <v>7359</v>
      </c>
      <c r="D2094" s="18"/>
      <c r="E2094" s="24">
        <v>8.5735098691E10</v>
      </c>
      <c r="F2094" s="24">
        <v>1.0</v>
      </c>
      <c r="G2094" s="18" t="s">
        <v>7359</v>
      </c>
      <c r="H2094" s="18"/>
      <c r="I2094" s="24">
        <v>8.5735098691E10</v>
      </c>
      <c r="J2094" s="18" t="s">
        <v>7360</v>
      </c>
      <c r="K2094" s="18"/>
      <c r="L2094" s="18" t="s">
        <v>2132</v>
      </c>
    </row>
    <row r="2095">
      <c r="A2095" s="18" t="s">
        <v>7361</v>
      </c>
      <c r="B2095" s="18" t="s">
        <v>791</v>
      </c>
      <c r="C2095" s="18" t="s">
        <v>7362</v>
      </c>
      <c r="D2095" s="18"/>
      <c r="E2095" s="24">
        <v>8.2336403701E10</v>
      </c>
      <c r="F2095" s="24">
        <v>1.0</v>
      </c>
      <c r="G2095" s="18" t="s">
        <v>7362</v>
      </c>
      <c r="H2095" s="18"/>
      <c r="I2095" s="24">
        <v>8.2336403701E10</v>
      </c>
      <c r="J2095" s="18" t="s">
        <v>7363</v>
      </c>
      <c r="K2095" s="18"/>
      <c r="L2095" s="18" t="s">
        <v>7364</v>
      </c>
    </row>
    <row r="2096">
      <c r="A2096" s="18" t="s">
        <v>7365</v>
      </c>
      <c r="B2096" s="18" t="s">
        <v>791</v>
      </c>
      <c r="C2096" s="18" t="s">
        <v>7366</v>
      </c>
      <c r="D2096" s="18"/>
      <c r="E2096" s="24">
        <v>8.2140181921E10</v>
      </c>
      <c r="F2096" s="24">
        <v>1.0</v>
      </c>
      <c r="G2096" s="18" t="s">
        <v>7366</v>
      </c>
      <c r="H2096" s="18"/>
      <c r="I2096" s="24">
        <v>8.2140181921E10</v>
      </c>
      <c r="J2096" s="18" t="s">
        <v>7367</v>
      </c>
      <c r="K2096" s="18"/>
      <c r="L2096" s="18" t="s">
        <v>7368</v>
      </c>
    </row>
    <row r="2097">
      <c r="A2097" s="18" t="s">
        <v>7369</v>
      </c>
      <c r="B2097" s="18" t="s">
        <v>791</v>
      </c>
      <c r="C2097" s="18" t="s">
        <v>7366</v>
      </c>
      <c r="D2097" s="18"/>
      <c r="E2097" s="24">
        <v>8.1234203007E10</v>
      </c>
      <c r="F2097" s="24">
        <v>1.0</v>
      </c>
      <c r="G2097" s="18" t="s">
        <v>7366</v>
      </c>
      <c r="H2097" s="18"/>
      <c r="I2097" s="24">
        <v>8.1234203007E10</v>
      </c>
      <c r="J2097" s="18" t="s">
        <v>7370</v>
      </c>
      <c r="K2097" s="18"/>
      <c r="L2097" s="18" t="s">
        <v>2098</v>
      </c>
    </row>
    <row r="2098">
      <c r="A2098" s="18" t="s">
        <v>7371</v>
      </c>
      <c r="B2098" s="18" t="s">
        <v>791</v>
      </c>
      <c r="C2098" s="18" t="s">
        <v>7372</v>
      </c>
      <c r="D2098" s="18"/>
      <c r="E2098" s="24">
        <v>8.13359905E10</v>
      </c>
      <c r="F2098" s="24">
        <v>1.0</v>
      </c>
      <c r="G2098" s="18" t="s">
        <v>7372</v>
      </c>
      <c r="H2098" s="18"/>
      <c r="I2098" s="24">
        <v>8.13359905E10</v>
      </c>
      <c r="J2098" s="18" t="s">
        <v>7373</v>
      </c>
      <c r="K2098" s="18"/>
      <c r="L2098" s="18" t="s">
        <v>1623</v>
      </c>
    </row>
    <row r="2099">
      <c r="A2099" s="18" t="s">
        <v>1344</v>
      </c>
      <c r="B2099" s="18" t="s">
        <v>791</v>
      </c>
      <c r="C2099" s="18" t="s">
        <v>1346</v>
      </c>
      <c r="D2099" s="18"/>
      <c r="E2099" s="24">
        <v>8.5784809735E10</v>
      </c>
      <c r="F2099" s="24">
        <v>1.0</v>
      </c>
      <c r="G2099" s="18" t="s">
        <v>1346</v>
      </c>
      <c r="H2099" s="18"/>
      <c r="I2099" s="24">
        <v>8.5784809735E10</v>
      </c>
      <c r="J2099" s="18" t="s">
        <v>1345</v>
      </c>
      <c r="K2099" s="18"/>
      <c r="L2099" s="18" t="s">
        <v>1347</v>
      </c>
    </row>
    <row r="2100">
      <c r="A2100" s="18" t="s">
        <v>7374</v>
      </c>
      <c r="B2100" s="18" t="s">
        <v>791</v>
      </c>
      <c r="C2100" s="18" t="s">
        <v>7372</v>
      </c>
      <c r="D2100" s="18"/>
      <c r="E2100" s="24">
        <v>8.5785764268E10</v>
      </c>
      <c r="F2100" s="24">
        <v>1.0</v>
      </c>
      <c r="G2100" s="18" t="s">
        <v>7372</v>
      </c>
      <c r="H2100" s="18"/>
      <c r="I2100" s="24">
        <v>8.5785764268E10</v>
      </c>
      <c r="J2100" s="18" t="s">
        <v>7375</v>
      </c>
      <c r="K2100" s="18"/>
      <c r="L2100" s="18" t="s">
        <v>7376</v>
      </c>
    </row>
    <row r="2101">
      <c r="A2101" s="18" t="s">
        <v>7377</v>
      </c>
      <c r="B2101" s="18" t="s">
        <v>791</v>
      </c>
      <c r="C2101" s="18" t="s">
        <v>7378</v>
      </c>
      <c r="D2101" s="18"/>
      <c r="E2101" s="24">
        <v>8.585245612E10</v>
      </c>
      <c r="F2101" s="24">
        <v>1.0</v>
      </c>
      <c r="G2101" s="18" t="s">
        <v>7378</v>
      </c>
      <c r="H2101" s="18"/>
      <c r="I2101" s="24">
        <v>8.585245612E10</v>
      </c>
      <c r="J2101" s="18" t="s">
        <v>7379</v>
      </c>
      <c r="K2101" s="18"/>
      <c r="L2101" s="18" t="s">
        <v>2256</v>
      </c>
    </row>
    <row r="2102">
      <c r="A2102" s="18" t="s">
        <v>7380</v>
      </c>
      <c r="B2102" s="18" t="s">
        <v>791</v>
      </c>
      <c r="C2102" s="18" t="s">
        <v>7381</v>
      </c>
      <c r="D2102" s="18"/>
      <c r="E2102" s="24">
        <v>8.5234449814E10</v>
      </c>
      <c r="F2102" s="24">
        <v>1.0</v>
      </c>
      <c r="G2102" s="18" t="s">
        <v>7381</v>
      </c>
      <c r="H2102" s="18"/>
      <c r="I2102" s="24">
        <v>8.5234449814E10</v>
      </c>
      <c r="J2102" s="18" t="s">
        <v>4972</v>
      </c>
      <c r="K2102" s="18"/>
      <c r="L2102" s="18" t="s">
        <v>2876</v>
      </c>
    </row>
    <row r="2103">
      <c r="A2103" s="18" t="s">
        <v>7382</v>
      </c>
      <c r="B2103" s="18" t="s">
        <v>791</v>
      </c>
      <c r="C2103" s="18" t="s">
        <v>7381</v>
      </c>
      <c r="D2103" s="18"/>
      <c r="E2103" s="24">
        <v>8.155545449E10</v>
      </c>
      <c r="F2103" s="24">
        <v>1.0</v>
      </c>
      <c r="G2103" s="18" t="s">
        <v>7381</v>
      </c>
      <c r="H2103" s="18"/>
      <c r="I2103" s="24">
        <v>8.155545449E10</v>
      </c>
      <c r="J2103" s="18" t="s">
        <v>6911</v>
      </c>
      <c r="K2103" s="18"/>
      <c r="L2103" s="18" t="s">
        <v>5614</v>
      </c>
    </row>
    <row r="2104">
      <c r="A2104" s="18" t="s">
        <v>7383</v>
      </c>
      <c r="B2104" s="18" t="s">
        <v>791</v>
      </c>
      <c r="C2104" s="18" t="s">
        <v>7381</v>
      </c>
      <c r="D2104" s="18"/>
      <c r="E2104" s="24">
        <v>8.5708158708E10</v>
      </c>
      <c r="F2104" s="24">
        <v>1.0</v>
      </c>
      <c r="G2104" s="18" t="s">
        <v>7381</v>
      </c>
      <c r="H2104" s="18"/>
      <c r="I2104" s="24">
        <v>8.5708158708E10</v>
      </c>
      <c r="J2104" s="18" t="s">
        <v>7384</v>
      </c>
      <c r="K2104" s="18"/>
      <c r="L2104" s="18" t="s">
        <v>1971</v>
      </c>
    </row>
    <row r="2105">
      <c r="A2105" s="18" t="s">
        <v>7385</v>
      </c>
      <c r="B2105" s="18" t="s">
        <v>791</v>
      </c>
      <c r="C2105" s="18" t="s">
        <v>7386</v>
      </c>
      <c r="D2105" s="18"/>
      <c r="E2105" s="24">
        <v>8.580684218E10</v>
      </c>
      <c r="F2105" s="24">
        <v>1.0</v>
      </c>
      <c r="G2105" s="18" t="s">
        <v>7386</v>
      </c>
      <c r="H2105" s="18"/>
      <c r="I2105" s="24">
        <v>8.580684218E10</v>
      </c>
      <c r="J2105" s="18" t="s">
        <v>5787</v>
      </c>
      <c r="K2105" s="18"/>
      <c r="L2105" s="18" t="s">
        <v>1850</v>
      </c>
    </row>
    <row r="2106">
      <c r="A2106" s="18" t="s">
        <v>7387</v>
      </c>
      <c r="B2106" s="18" t="s">
        <v>791</v>
      </c>
      <c r="C2106" s="18" t="s">
        <v>7388</v>
      </c>
      <c r="D2106" s="18"/>
      <c r="E2106" s="24">
        <v>8.5101350059E10</v>
      </c>
      <c r="F2106" s="24">
        <v>1.0</v>
      </c>
      <c r="G2106" s="18" t="s">
        <v>7388</v>
      </c>
      <c r="H2106" s="18"/>
      <c r="I2106" s="24">
        <v>8.5101350059E10</v>
      </c>
      <c r="J2106" s="18" t="s">
        <v>7389</v>
      </c>
      <c r="K2106" s="18"/>
      <c r="L2106" s="18" t="s">
        <v>6493</v>
      </c>
    </row>
    <row r="2107">
      <c r="A2107" s="18" t="s">
        <v>7390</v>
      </c>
      <c r="B2107" s="18" t="s">
        <v>791</v>
      </c>
      <c r="C2107" s="18" t="s">
        <v>7391</v>
      </c>
      <c r="D2107" s="18"/>
      <c r="E2107" s="24">
        <v>8.233596015E10</v>
      </c>
      <c r="F2107" s="24">
        <v>1.0</v>
      </c>
      <c r="G2107" s="18" t="s">
        <v>7391</v>
      </c>
      <c r="H2107" s="18"/>
      <c r="I2107" s="24">
        <v>8.233596015E10</v>
      </c>
      <c r="J2107" s="18" t="s">
        <v>7392</v>
      </c>
      <c r="K2107" s="18"/>
      <c r="L2107" s="18" t="s">
        <v>2642</v>
      </c>
    </row>
    <row r="2108">
      <c r="A2108" s="18" t="s">
        <v>7393</v>
      </c>
      <c r="B2108" s="18" t="s">
        <v>791</v>
      </c>
      <c r="C2108" s="18" t="s">
        <v>7394</v>
      </c>
      <c r="D2108" s="18" t="s">
        <v>2096</v>
      </c>
      <c r="E2108" s="24">
        <v>8.5853840551E10</v>
      </c>
      <c r="F2108" s="24">
        <v>1.0</v>
      </c>
      <c r="G2108" s="18" t="s">
        <v>7394</v>
      </c>
      <c r="H2108" s="18" t="s">
        <v>2096</v>
      </c>
      <c r="I2108" s="24">
        <v>8.5853840551E10</v>
      </c>
      <c r="J2108" s="18" t="s">
        <v>7396</v>
      </c>
      <c r="K2108" s="18" t="s">
        <v>7396</v>
      </c>
      <c r="L2108" s="18" t="s">
        <v>7397</v>
      </c>
    </row>
    <row r="2109">
      <c r="A2109" s="18" t="s">
        <v>7398</v>
      </c>
      <c r="B2109" s="18" t="s">
        <v>791</v>
      </c>
      <c r="C2109" s="18" t="s">
        <v>7391</v>
      </c>
      <c r="D2109" s="18"/>
      <c r="E2109" s="24">
        <v>8.1359544001E10</v>
      </c>
      <c r="F2109" s="24">
        <v>1.0</v>
      </c>
      <c r="G2109" s="18" t="s">
        <v>7391</v>
      </c>
      <c r="H2109" s="18"/>
      <c r="I2109" s="24">
        <v>8.1359544001E10</v>
      </c>
      <c r="J2109" s="18" t="s">
        <v>7399</v>
      </c>
      <c r="K2109" s="18"/>
      <c r="L2109" s="18" t="s">
        <v>2159</v>
      </c>
    </row>
    <row r="2110">
      <c r="A2110" s="18" t="s">
        <v>7401</v>
      </c>
      <c r="B2110" s="18" t="s">
        <v>791</v>
      </c>
      <c r="C2110" s="18" t="s">
        <v>7402</v>
      </c>
      <c r="D2110" s="18"/>
      <c r="E2110" s="24">
        <v>8.5791863533E10</v>
      </c>
      <c r="F2110" s="24">
        <v>1.0</v>
      </c>
      <c r="G2110" s="18" t="s">
        <v>7402</v>
      </c>
      <c r="H2110" s="18"/>
      <c r="I2110" s="24">
        <v>8.5791863533E10</v>
      </c>
      <c r="J2110" s="18" t="s">
        <v>7403</v>
      </c>
      <c r="K2110" s="18"/>
      <c r="L2110" s="18" t="s">
        <v>2332</v>
      </c>
    </row>
    <row r="2111">
      <c r="A2111" s="18" t="s">
        <v>7404</v>
      </c>
      <c r="B2111" s="18" t="s">
        <v>791</v>
      </c>
      <c r="C2111" s="18" t="s">
        <v>7405</v>
      </c>
      <c r="D2111" s="18"/>
      <c r="E2111" s="24">
        <v>8.5234446671E10</v>
      </c>
      <c r="F2111" s="24">
        <v>1.0</v>
      </c>
      <c r="G2111" s="18" t="s">
        <v>7405</v>
      </c>
      <c r="H2111" s="18"/>
      <c r="I2111" s="24">
        <v>8.5234446671E10</v>
      </c>
      <c r="J2111" s="18" t="s">
        <v>7406</v>
      </c>
      <c r="K2111" s="18"/>
      <c r="L2111" s="18" t="s">
        <v>1609</v>
      </c>
    </row>
    <row r="2112">
      <c r="A2112" s="18" t="s">
        <v>7408</v>
      </c>
      <c r="B2112" s="18" t="s">
        <v>791</v>
      </c>
      <c r="C2112" s="18" t="s">
        <v>7402</v>
      </c>
      <c r="D2112" s="18" t="s">
        <v>2101</v>
      </c>
      <c r="E2112" s="24">
        <v>8.5706544769E10</v>
      </c>
      <c r="F2112" s="24">
        <v>1.0</v>
      </c>
      <c r="G2112" s="18" t="s">
        <v>7402</v>
      </c>
      <c r="H2112" s="18" t="s">
        <v>2101</v>
      </c>
      <c r="I2112" s="24">
        <v>8.5706544769E10</v>
      </c>
      <c r="J2112" s="18" t="s">
        <v>7173</v>
      </c>
      <c r="K2112" s="18" t="s">
        <v>7173</v>
      </c>
      <c r="L2112" s="18" t="s">
        <v>7409</v>
      </c>
    </row>
    <row r="2113">
      <c r="A2113" s="18" t="s">
        <v>7410</v>
      </c>
      <c r="B2113" s="18" t="s">
        <v>791</v>
      </c>
      <c r="C2113" s="18" t="s">
        <v>7402</v>
      </c>
      <c r="D2113" s="18"/>
      <c r="E2113" s="24">
        <v>8.2335475404E10</v>
      </c>
      <c r="F2113" s="24">
        <v>1.0</v>
      </c>
      <c r="G2113" s="18" t="s">
        <v>7402</v>
      </c>
      <c r="H2113" s="18"/>
      <c r="I2113" s="24">
        <v>8.2335475404E10</v>
      </c>
      <c r="J2113" s="18" t="s">
        <v>7356</v>
      </c>
      <c r="K2113" s="18"/>
      <c r="L2113" s="18" t="s">
        <v>3178</v>
      </c>
    </row>
    <row r="2114">
      <c r="A2114" s="18" t="s">
        <v>7411</v>
      </c>
      <c r="B2114" s="18" t="s">
        <v>791</v>
      </c>
      <c r="C2114" s="18" t="s">
        <v>7402</v>
      </c>
      <c r="D2114" s="18"/>
      <c r="E2114" s="24">
        <v>8.2331695666E10</v>
      </c>
      <c r="F2114" s="24">
        <v>1.0</v>
      </c>
      <c r="G2114" s="18" t="s">
        <v>7402</v>
      </c>
      <c r="H2114" s="18"/>
      <c r="I2114" s="24">
        <v>8.2331695666E10</v>
      </c>
      <c r="J2114" s="18" t="s">
        <v>7412</v>
      </c>
      <c r="K2114" s="18"/>
      <c r="L2114" s="18" t="s">
        <v>1958</v>
      </c>
    </row>
    <row r="2115">
      <c r="A2115" s="18" t="s">
        <v>7413</v>
      </c>
      <c r="B2115" s="18" t="s">
        <v>791</v>
      </c>
      <c r="C2115" s="18" t="s">
        <v>7405</v>
      </c>
      <c r="D2115" s="18"/>
      <c r="E2115" s="18"/>
      <c r="F2115" s="24">
        <v>1.0</v>
      </c>
      <c r="G2115" s="18" t="s">
        <v>7405</v>
      </c>
      <c r="H2115" s="18"/>
      <c r="I2115" s="18"/>
      <c r="J2115" s="18" t="s">
        <v>6724</v>
      </c>
      <c r="K2115" s="18"/>
      <c r="L2115" s="18"/>
    </row>
    <row r="2116">
      <c r="A2116" s="18" t="s">
        <v>7414</v>
      </c>
      <c r="B2116" s="18" t="s">
        <v>791</v>
      </c>
      <c r="C2116" s="18" t="s">
        <v>7402</v>
      </c>
      <c r="D2116" s="18"/>
      <c r="E2116" s="24">
        <v>8.5233879638E10</v>
      </c>
      <c r="F2116" s="24">
        <v>1.0</v>
      </c>
      <c r="G2116" s="18" t="s">
        <v>7402</v>
      </c>
      <c r="H2116" s="18"/>
      <c r="I2116" s="24">
        <v>8.5233879638E10</v>
      </c>
      <c r="J2116" s="18" t="s">
        <v>4976</v>
      </c>
      <c r="K2116" s="18"/>
      <c r="L2116" s="18" t="s">
        <v>3829</v>
      </c>
    </row>
    <row r="2117">
      <c r="A2117" s="18" t="s">
        <v>7415</v>
      </c>
      <c r="B2117" s="18" t="s">
        <v>791</v>
      </c>
      <c r="C2117" s="18" t="s">
        <v>7405</v>
      </c>
      <c r="D2117" s="18"/>
      <c r="E2117" s="24">
        <v>8.1232514422E10</v>
      </c>
      <c r="F2117" s="24">
        <v>1.0</v>
      </c>
      <c r="G2117" s="18" t="s">
        <v>7405</v>
      </c>
      <c r="H2117" s="18"/>
      <c r="I2117" s="24">
        <v>8.1232514422E10</v>
      </c>
      <c r="J2117" s="18" t="s">
        <v>7416</v>
      </c>
      <c r="K2117" s="18"/>
      <c r="L2117" s="18" t="s">
        <v>2350</v>
      </c>
    </row>
    <row r="2118">
      <c r="A2118" s="18" t="s">
        <v>7417</v>
      </c>
      <c r="B2118" s="18" t="s">
        <v>791</v>
      </c>
      <c r="C2118" s="18" t="s">
        <v>7418</v>
      </c>
      <c r="D2118" s="18"/>
      <c r="E2118" s="24">
        <v>8.5233742066E10</v>
      </c>
      <c r="F2118" s="24">
        <v>1.0</v>
      </c>
      <c r="G2118" s="18" t="s">
        <v>7418</v>
      </c>
      <c r="H2118" s="18"/>
      <c r="I2118" s="24">
        <v>8.5233742066E10</v>
      </c>
      <c r="J2118" s="18" t="s">
        <v>7419</v>
      </c>
      <c r="K2118" s="18"/>
      <c r="L2118" s="18" t="s">
        <v>7420</v>
      </c>
    </row>
    <row r="2119">
      <c r="A2119" s="18" t="s">
        <v>7421</v>
      </c>
      <c r="B2119" s="18" t="s">
        <v>791</v>
      </c>
      <c r="C2119" s="18" t="s">
        <v>7422</v>
      </c>
      <c r="D2119" s="18"/>
      <c r="E2119" s="24">
        <v>8.5708666077E10</v>
      </c>
      <c r="F2119" s="24">
        <v>1.0</v>
      </c>
      <c r="G2119" s="18" t="s">
        <v>7422</v>
      </c>
      <c r="H2119" s="18"/>
      <c r="I2119" s="24">
        <v>8.5708666077E10</v>
      </c>
      <c r="J2119" s="18" t="s">
        <v>7423</v>
      </c>
      <c r="K2119" s="18"/>
      <c r="L2119" s="18" t="s">
        <v>7424</v>
      </c>
    </row>
    <row r="2120">
      <c r="A2120" s="18" t="s">
        <v>7425</v>
      </c>
      <c r="B2120" s="18" t="s">
        <v>791</v>
      </c>
      <c r="C2120" s="18" t="s">
        <v>7426</v>
      </c>
      <c r="D2120" s="18"/>
      <c r="E2120" s="24">
        <v>8.1216023265E10</v>
      </c>
      <c r="F2120" s="24">
        <v>1.0</v>
      </c>
      <c r="G2120" s="18" t="s">
        <v>7426</v>
      </c>
      <c r="H2120" s="18"/>
      <c r="I2120" s="24">
        <v>8.1216023265E10</v>
      </c>
      <c r="J2120" s="18" t="s">
        <v>7427</v>
      </c>
      <c r="K2120" s="18"/>
      <c r="L2120" s="18" t="s">
        <v>7428</v>
      </c>
    </row>
    <row r="2121">
      <c r="A2121" s="18" t="s">
        <v>7429</v>
      </c>
      <c r="B2121" s="18" t="s">
        <v>791</v>
      </c>
      <c r="C2121" s="18" t="s">
        <v>7426</v>
      </c>
      <c r="D2121" s="18"/>
      <c r="E2121" s="24">
        <v>8.1335671489E10</v>
      </c>
      <c r="F2121" s="24">
        <v>1.0</v>
      </c>
      <c r="G2121" s="18" t="s">
        <v>7426</v>
      </c>
      <c r="H2121" s="18"/>
      <c r="I2121" s="24">
        <v>8.1335671489E10</v>
      </c>
      <c r="J2121" s="18" t="s">
        <v>7430</v>
      </c>
      <c r="K2121" s="18"/>
      <c r="L2121" s="18" t="s">
        <v>3137</v>
      </c>
    </row>
    <row r="2122">
      <c r="A2122" s="18" t="s">
        <v>7431</v>
      </c>
      <c r="B2122" s="18" t="s">
        <v>791</v>
      </c>
      <c r="C2122" s="18" t="s">
        <v>7432</v>
      </c>
      <c r="D2122" s="18"/>
      <c r="E2122" s="24">
        <v>8.5234439091E10</v>
      </c>
      <c r="F2122" s="24">
        <v>1.0</v>
      </c>
      <c r="G2122" s="18" t="s">
        <v>7432</v>
      </c>
      <c r="H2122" s="18"/>
      <c r="I2122" s="24">
        <v>8.5234439091E10</v>
      </c>
      <c r="J2122" s="18" t="s">
        <v>7175</v>
      </c>
      <c r="K2122" s="18"/>
      <c r="L2122" s="18" t="s">
        <v>7433</v>
      </c>
    </row>
    <row r="2123">
      <c r="A2123" s="18" t="s">
        <v>7434</v>
      </c>
      <c r="B2123" s="18" t="s">
        <v>791</v>
      </c>
      <c r="C2123" s="18" t="s">
        <v>7436</v>
      </c>
      <c r="D2123" s="18"/>
      <c r="E2123" s="24">
        <v>8.1359012432E10</v>
      </c>
      <c r="F2123" s="24">
        <v>1.0</v>
      </c>
      <c r="G2123" s="18" t="s">
        <v>7436</v>
      </c>
      <c r="H2123" s="18"/>
      <c r="I2123" s="24">
        <v>8.1359012432E10</v>
      </c>
      <c r="J2123" s="18" t="s">
        <v>7437</v>
      </c>
      <c r="K2123" s="18"/>
      <c r="L2123" s="18" t="s">
        <v>2652</v>
      </c>
    </row>
    <row r="2124">
      <c r="A2124" s="18" t="s">
        <v>7438</v>
      </c>
      <c r="B2124" s="18" t="s">
        <v>791</v>
      </c>
      <c r="C2124" s="18" t="s">
        <v>7439</v>
      </c>
      <c r="D2124" s="18"/>
      <c r="E2124" s="24">
        <v>8.5233879638E10</v>
      </c>
      <c r="F2124" s="24">
        <v>1.0</v>
      </c>
      <c r="G2124" s="18" t="s">
        <v>7439</v>
      </c>
      <c r="H2124" s="18"/>
      <c r="I2124" s="24">
        <v>8.5233879638E10</v>
      </c>
      <c r="J2124" s="18" t="s">
        <v>5064</v>
      </c>
      <c r="K2124" s="18"/>
      <c r="L2124" s="18" t="s">
        <v>3829</v>
      </c>
    </row>
    <row r="2125">
      <c r="A2125" s="18" t="s">
        <v>7440</v>
      </c>
      <c r="B2125" s="18" t="s">
        <v>791</v>
      </c>
      <c r="C2125" s="18" t="s">
        <v>7441</v>
      </c>
      <c r="D2125" s="18"/>
      <c r="E2125" s="24">
        <v>8.5233879638E10</v>
      </c>
      <c r="F2125" s="24">
        <v>1.0</v>
      </c>
      <c r="G2125" s="18" t="s">
        <v>7441</v>
      </c>
      <c r="H2125" s="18"/>
      <c r="I2125" s="24">
        <v>8.5233879638E10</v>
      </c>
      <c r="J2125" s="18" t="s">
        <v>5070</v>
      </c>
      <c r="K2125" s="18"/>
      <c r="L2125" s="18" t="s">
        <v>3829</v>
      </c>
    </row>
    <row r="2126">
      <c r="A2126" s="18" t="s">
        <v>7443</v>
      </c>
      <c r="B2126" s="18" t="s">
        <v>791</v>
      </c>
      <c r="C2126" s="18" t="s">
        <v>7444</v>
      </c>
      <c r="D2126" s="18"/>
      <c r="E2126" s="24">
        <v>8.2264109061E10</v>
      </c>
      <c r="F2126" s="24">
        <v>1.0</v>
      </c>
      <c r="G2126" s="18" t="s">
        <v>7444</v>
      </c>
      <c r="H2126" s="18"/>
      <c r="I2126" s="24">
        <v>8.2264109061E10</v>
      </c>
      <c r="J2126" s="18" t="s">
        <v>7445</v>
      </c>
      <c r="K2126" s="18"/>
      <c r="L2126" s="18" t="s">
        <v>2584</v>
      </c>
    </row>
    <row r="2127">
      <c r="A2127" s="18" t="s">
        <v>7446</v>
      </c>
      <c r="B2127" s="18" t="s">
        <v>791</v>
      </c>
      <c r="C2127" s="18" t="s">
        <v>7447</v>
      </c>
      <c r="D2127" s="18"/>
      <c r="E2127" s="24">
        <v>8.570857555E10</v>
      </c>
      <c r="F2127" s="24">
        <v>1.0</v>
      </c>
      <c r="G2127" s="18" t="s">
        <v>7447</v>
      </c>
      <c r="H2127" s="18"/>
      <c r="I2127" s="24">
        <v>8.570857555E10</v>
      </c>
      <c r="J2127" s="18" t="s">
        <v>5255</v>
      </c>
      <c r="K2127" s="18"/>
      <c r="L2127" s="18" t="s">
        <v>4504</v>
      </c>
    </row>
    <row r="2128">
      <c r="A2128" s="18" t="s">
        <v>7448</v>
      </c>
      <c r="B2128" s="18" t="s">
        <v>791</v>
      </c>
      <c r="C2128" s="18" t="s">
        <v>7447</v>
      </c>
      <c r="D2128" s="18"/>
      <c r="E2128" s="24">
        <v>8.1234251884E10</v>
      </c>
      <c r="F2128" s="24">
        <v>1.0</v>
      </c>
      <c r="G2128" s="18" t="s">
        <v>7447</v>
      </c>
      <c r="H2128" s="18"/>
      <c r="I2128" s="24">
        <v>8.1234251884E10</v>
      </c>
      <c r="J2128" s="18" t="s">
        <v>7449</v>
      </c>
      <c r="K2128" s="18"/>
      <c r="L2128" s="18" t="s">
        <v>5046</v>
      </c>
    </row>
    <row r="2129">
      <c r="A2129" s="18" t="s">
        <v>7450</v>
      </c>
      <c r="B2129" s="18" t="s">
        <v>791</v>
      </c>
      <c r="C2129" s="18" t="s">
        <v>7451</v>
      </c>
      <c r="D2129" s="18"/>
      <c r="E2129" s="24">
        <v>8.5736634945E10</v>
      </c>
      <c r="F2129" s="24">
        <v>1.0</v>
      </c>
      <c r="G2129" s="18" t="s">
        <v>7451</v>
      </c>
      <c r="H2129" s="18"/>
      <c r="I2129" s="24">
        <v>8.5736634945E10</v>
      </c>
      <c r="J2129" s="18" t="s">
        <v>7165</v>
      </c>
      <c r="K2129" s="18"/>
      <c r="L2129" s="18" t="s">
        <v>3263</v>
      </c>
    </row>
    <row r="2130">
      <c r="A2130" s="18" t="s">
        <v>7452</v>
      </c>
      <c r="B2130" s="18" t="s">
        <v>791</v>
      </c>
      <c r="C2130" s="18" t="s">
        <v>7453</v>
      </c>
      <c r="D2130" s="18"/>
      <c r="E2130" s="24">
        <v>8.5792219598E10</v>
      </c>
      <c r="F2130" s="24">
        <v>1.0</v>
      </c>
      <c r="G2130" s="18" t="s">
        <v>7453</v>
      </c>
      <c r="H2130" s="18"/>
      <c r="I2130" s="24">
        <v>8.5792219598E10</v>
      </c>
      <c r="J2130" s="24">
        <v>3.52101220677E15</v>
      </c>
      <c r="K2130" s="18"/>
      <c r="L2130" s="18" t="s">
        <v>7454</v>
      </c>
    </row>
    <row r="2131">
      <c r="A2131" s="18" t="s">
        <v>7455</v>
      </c>
      <c r="B2131" s="18" t="s">
        <v>791</v>
      </c>
      <c r="C2131" s="18" t="s">
        <v>7456</v>
      </c>
      <c r="D2131" s="18"/>
      <c r="E2131" s="24">
        <v>8.5790364718E10</v>
      </c>
      <c r="F2131" s="24">
        <v>1.0</v>
      </c>
      <c r="G2131" s="18" t="s">
        <v>7456</v>
      </c>
      <c r="H2131" s="18"/>
      <c r="I2131" s="24">
        <v>8.5790364718E10</v>
      </c>
      <c r="J2131" s="18" t="s">
        <v>7457</v>
      </c>
      <c r="K2131" s="18"/>
      <c r="L2131" s="18" t="s">
        <v>3993</v>
      </c>
    </row>
    <row r="2132">
      <c r="A2132" s="18" t="s">
        <v>7458</v>
      </c>
      <c r="B2132" s="18" t="s">
        <v>791</v>
      </c>
      <c r="C2132" s="18" t="s">
        <v>7453</v>
      </c>
      <c r="D2132" s="18"/>
      <c r="E2132" s="24">
        <v>8.5736454699E10</v>
      </c>
      <c r="F2132" s="24">
        <v>1.0</v>
      </c>
      <c r="G2132" s="18" t="s">
        <v>7453</v>
      </c>
      <c r="H2132" s="18"/>
      <c r="I2132" s="24">
        <v>8.5736454699E10</v>
      </c>
      <c r="J2132" s="18" t="s">
        <v>7459</v>
      </c>
      <c r="K2132" s="18"/>
      <c r="L2132" s="18" t="s">
        <v>2189</v>
      </c>
    </row>
    <row r="2133">
      <c r="A2133" s="18" t="s">
        <v>7460</v>
      </c>
      <c r="B2133" s="18" t="s">
        <v>791</v>
      </c>
      <c r="C2133" s="18" t="s">
        <v>7456</v>
      </c>
      <c r="D2133" s="18"/>
      <c r="E2133" s="24">
        <v>8.5790752436E10</v>
      </c>
      <c r="F2133" s="24">
        <v>1.0</v>
      </c>
      <c r="G2133" s="18" t="s">
        <v>7456</v>
      </c>
      <c r="H2133" s="18"/>
      <c r="I2133" s="24">
        <v>8.5790752436E10</v>
      </c>
      <c r="J2133" s="18" t="s">
        <v>7461</v>
      </c>
      <c r="K2133" s="18"/>
      <c r="L2133" s="18" t="s">
        <v>3452</v>
      </c>
    </row>
    <row r="2134">
      <c r="A2134" s="18" t="s">
        <v>7462</v>
      </c>
      <c r="B2134" s="18" t="s">
        <v>791</v>
      </c>
      <c r="C2134" s="18" t="s">
        <v>7464</v>
      </c>
      <c r="D2134" s="18"/>
      <c r="E2134" s="24">
        <v>8.5217801919E10</v>
      </c>
      <c r="F2134" s="24">
        <v>1.0</v>
      </c>
      <c r="G2134" s="18" t="s">
        <v>7464</v>
      </c>
      <c r="H2134" s="18"/>
      <c r="I2134" s="24">
        <v>8.5217801919E10</v>
      </c>
      <c r="J2134" s="18" t="s">
        <v>5804</v>
      </c>
      <c r="K2134" s="18"/>
      <c r="L2134" s="18" t="s">
        <v>1681</v>
      </c>
    </row>
    <row r="2135">
      <c r="A2135" s="18" t="s">
        <v>7465</v>
      </c>
      <c r="B2135" s="18" t="s">
        <v>791</v>
      </c>
      <c r="C2135" s="18" t="s">
        <v>1236</v>
      </c>
      <c r="D2135" s="18"/>
      <c r="E2135" s="24">
        <v>8.1229666655E10</v>
      </c>
      <c r="F2135" s="24">
        <v>1.0</v>
      </c>
      <c r="G2135" s="18" t="s">
        <v>1236</v>
      </c>
      <c r="H2135" s="18"/>
      <c r="I2135" s="24">
        <v>8.1229666655E10</v>
      </c>
      <c r="J2135" s="18" t="s">
        <v>7466</v>
      </c>
      <c r="K2135" s="18"/>
      <c r="L2135" s="18" t="s">
        <v>4548</v>
      </c>
    </row>
    <row r="2136">
      <c r="A2136" s="18" t="s">
        <v>7467</v>
      </c>
      <c r="B2136" s="18" t="s">
        <v>791</v>
      </c>
      <c r="C2136" s="18" t="s">
        <v>1236</v>
      </c>
      <c r="D2136" s="18"/>
      <c r="E2136" s="24">
        <v>8.1234326506E10</v>
      </c>
      <c r="F2136" s="24">
        <v>1.0</v>
      </c>
      <c r="G2136" s="18" t="s">
        <v>1236</v>
      </c>
      <c r="H2136" s="18"/>
      <c r="I2136" s="24">
        <v>8.1234326506E10</v>
      </c>
      <c r="J2136" s="18" t="s">
        <v>7468</v>
      </c>
      <c r="K2136" s="18"/>
      <c r="L2136" s="18" t="s">
        <v>6658</v>
      </c>
    </row>
    <row r="2137">
      <c r="A2137" s="18" t="s">
        <v>7469</v>
      </c>
      <c r="B2137" s="18" t="s">
        <v>791</v>
      </c>
      <c r="C2137" s="18" t="s">
        <v>1236</v>
      </c>
      <c r="D2137" s="18"/>
      <c r="E2137" s="24">
        <v>8.1234139591E10</v>
      </c>
      <c r="F2137" s="24">
        <v>1.0</v>
      </c>
      <c r="G2137" s="18" t="s">
        <v>1236</v>
      </c>
      <c r="H2137" s="18"/>
      <c r="I2137" s="24">
        <v>8.1234139591E10</v>
      </c>
      <c r="J2137" s="18" t="s">
        <v>7470</v>
      </c>
      <c r="K2137" s="18"/>
      <c r="L2137" s="18" t="s">
        <v>4848</v>
      </c>
    </row>
    <row r="2138">
      <c r="A2138" s="18" t="s">
        <v>1234</v>
      </c>
      <c r="B2138" s="18" t="s">
        <v>791</v>
      </c>
      <c r="C2138" s="18" t="s">
        <v>1236</v>
      </c>
      <c r="D2138" s="18"/>
      <c r="E2138" s="24">
        <v>8.5233915366E10</v>
      </c>
      <c r="F2138" s="24">
        <v>1.0</v>
      </c>
      <c r="G2138" s="18" t="s">
        <v>1236</v>
      </c>
      <c r="H2138" s="18"/>
      <c r="I2138" s="24">
        <v>8.5233915366E10</v>
      </c>
      <c r="J2138" s="18" t="s">
        <v>1235</v>
      </c>
      <c r="K2138" s="18"/>
      <c r="L2138" s="18" t="s">
        <v>1233</v>
      </c>
    </row>
    <row r="2139">
      <c r="A2139" s="18" t="s">
        <v>7471</v>
      </c>
      <c r="B2139" s="18" t="s">
        <v>791</v>
      </c>
      <c r="C2139" s="18" t="s">
        <v>7472</v>
      </c>
      <c r="D2139" s="18"/>
      <c r="E2139" s="24">
        <v>8.1335671489E10</v>
      </c>
      <c r="F2139" s="24">
        <v>1.0</v>
      </c>
      <c r="G2139" s="18" t="s">
        <v>7472</v>
      </c>
      <c r="H2139" s="18"/>
      <c r="I2139" s="24">
        <v>8.1335671489E10</v>
      </c>
      <c r="J2139" s="18" t="s">
        <v>7473</v>
      </c>
      <c r="K2139" s="18"/>
      <c r="L2139" s="18" t="s">
        <v>3137</v>
      </c>
    </row>
    <row r="2140">
      <c r="A2140" s="18" t="s">
        <v>7474</v>
      </c>
      <c r="B2140" s="18" t="s">
        <v>791</v>
      </c>
      <c r="C2140" s="18" t="s">
        <v>7475</v>
      </c>
      <c r="D2140" s="18"/>
      <c r="E2140" s="24">
        <v>8.2139518425E10</v>
      </c>
      <c r="F2140" s="24">
        <v>1.0</v>
      </c>
      <c r="G2140" s="18" t="s">
        <v>7475</v>
      </c>
      <c r="H2140" s="18"/>
      <c r="I2140" s="24">
        <v>8.2139518425E10</v>
      </c>
      <c r="J2140" s="18" t="s">
        <v>7324</v>
      </c>
      <c r="K2140" s="18"/>
      <c r="L2140" s="18" t="s">
        <v>1515</v>
      </c>
    </row>
    <row r="2141">
      <c r="A2141" s="18" t="s">
        <v>7476</v>
      </c>
      <c r="B2141" s="18" t="s">
        <v>791</v>
      </c>
      <c r="C2141" s="18" t="s">
        <v>7477</v>
      </c>
      <c r="D2141" s="18"/>
      <c r="E2141" s="24">
        <v>8.1359023919E10</v>
      </c>
      <c r="F2141" s="24">
        <v>1.0</v>
      </c>
      <c r="G2141" s="18" t="s">
        <v>7477</v>
      </c>
      <c r="H2141" s="18"/>
      <c r="I2141" s="24">
        <v>8.1359023919E10</v>
      </c>
      <c r="J2141" s="18" t="s">
        <v>7478</v>
      </c>
      <c r="K2141" s="18"/>
      <c r="L2141" s="18" t="s">
        <v>2412</v>
      </c>
    </row>
    <row r="2142">
      <c r="A2142" s="18" t="s">
        <v>7479</v>
      </c>
      <c r="B2142" s="18" t="s">
        <v>791</v>
      </c>
      <c r="C2142" s="18" t="s">
        <v>7477</v>
      </c>
      <c r="D2142" s="18"/>
      <c r="E2142" s="24">
        <v>8.5217801919E10</v>
      </c>
      <c r="F2142" s="24">
        <v>1.0</v>
      </c>
      <c r="G2142" s="18" t="s">
        <v>7477</v>
      </c>
      <c r="H2142" s="18"/>
      <c r="I2142" s="24">
        <v>8.5217801919E10</v>
      </c>
      <c r="J2142" s="18" t="s">
        <v>6492</v>
      </c>
      <c r="K2142" s="18"/>
      <c r="L2142" s="18" t="s">
        <v>1681</v>
      </c>
    </row>
    <row r="2143">
      <c r="A2143" s="18" t="s">
        <v>7480</v>
      </c>
      <c r="B2143" s="18" t="s">
        <v>791</v>
      </c>
      <c r="C2143" s="18" t="s">
        <v>7481</v>
      </c>
      <c r="D2143" s="18"/>
      <c r="E2143" s="24">
        <v>8.5217801919E10</v>
      </c>
      <c r="F2143" s="24">
        <v>1.0</v>
      </c>
      <c r="G2143" s="18" t="s">
        <v>7481</v>
      </c>
      <c r="H2143" s="18"/>
      <c r="I2143" s="24">
        <v>8.5217801919E10</v>
      </c>
      <c r="J2143" s="18" t="s">
        <v>6512</v>
      </c>
      <c r="K2143" s="18"/>
      <c r="L2143" s="18" t="s">
        <v>1681</v>
      </c>
    </row>
    <row r="2144">
      <c r="A2144" s="18" t="s">
        <v>7482</v>
      </c>
      <c r="B2144" s="18" t="s">
        <v>791</v>
      </c>
      <c r="C2144" s="18" t="s">
        <v>7483</v>
      </c>
      <c r="D2144" s="18"/>
      <c r="E2144" s="24">
        <v>8.5708158708E10</v>
      </c>
      <c r="F2144" s="24">
        <v>1.0</v>
      </c>
      <c r="G2144" s="18" t="s">
        <v>7483</v>
      </c>
      <c r="H2144" s="18"/>
      <c r="I2144" s="24">
        <v>8.5708158708E10</v>
      </c>
      <c r="J2144" s="18" t="s">
        <v>7484</v>
      </c>
      <c r="K2144" s="18"/>
      <c r="L2144" s="18" t="s">
        <v>1971</v>
      </c>
    </row>
    <row r="2145">
      <c r="A2145" s="18" t="s">
        <v>7486</v>
      </c>
      <c r="B2145" s="18" t="s">
        <v>791</v>
      </c>
      <c r="C2145" s="18" t="s">
        <v>7487</v>
      </c>
      <c r="D2145" s="18"/>
      <c r="E2145" s="24">
        <v>8.2334849979E10</v>
      </c>
      <c r="F2145" s="24">
        <v>1.0</v>
      </c>
      <c r="G2145" s="18" t="s">
        <v>7487</v>
      </c>
      <c r="H2145" s="18"/>
      <c r="I2145" s="24">
        <v>8.2334849979E10</v>
      </c>
      <c r="J2145" s="18" t="s">
        <v>7233</v>
      </c>
      <c r="K2145" s="18"/>
      <c r="L2145" s="18" t="s">
        <v>1489</v>
      </c>
    </row>
    <row r="2146">
      <c r="A2146" s="18" t="s">
        <v>7488</v>
      </c>
      <c r="B2146" s="18" t="s">
        <v>791</v>
      </c>
      <c r="C2146" s="18" t="s">
        <v>7489</v>
      </c>
      <c r="D2146" s="18"/>
      <c r="E2146" s="24">
        <v>8.5217801919E10</v>
      </c>
      <c r="F2146" s="24">
        <v>1.0</v>
      </c>
      <c r="G2146" s="18" t="s">
        <v>7489</v>
      </c>
      <c r="H2146" s="18"/>
      <c r="I2146" s="24">
        <v>8.5217801919E10</v>
      </c>
      <c r="J2146" s="18" t="s">
        <v>5329</v>
      </c>
      <c r="K2146" s="18"/>
      <c r="L2146" s="18" t="s">
        <v>1681</v>
      </c>
    </row>
    <row r="2147">
      <c r="A2147" s="18" t="s">
        <v>7490</v>
      </c>
      <c r="B2147" s="18" t="s">
        <v>791</v>
      </c>
      <c r="C2147" s="18" t="s">
        <v>7489</v>
      </c>
      <c r="D2147" s="18"/>
      <c r="E2147" s="18"/>
      <c r="F2147" s="24">
        <v>1.0</v>
      </c>
      <c r="G2147" s="18" t="s">
        <v>7489</v>
      </c>
      <c r="H2147" s="18"/>
      <c r="I2147" s="18"/>
      <c r="J2147" s="18" t="s">
        <v>6664</v>
      </c>
      <c r="K2147" s="18"/>
      <c r="L2147" s="18"/>
    </row>
    <row r="2148">
      <c r="A2148" s="18" t="s">
        <v>7492</v>
      </c>
      <c r="B2148" s="18" t="s">
        <v>791</v>
      </c>
      <c r="C2148" s="18" t="s">
        <v>7489</v>
      </c>
      <c r="D2148" s="18"/>
      <c r="E2148" s="24">
        <v>8.5217801919E10</v>
      </c>
      <c r="F2148" s="24">
        <v>1.0</v>
      </c>
      <c r="G2148" s="18" t="s">
        <v>7489</v>
      </c>
      <c r="H2148" s="18"/>
      <c r="I2148" s="24">
        <v>8.5217801919E10</v>
      </c>
      <c r="J2148" s="18" t="s">
        <v>5375</v>
      </c>
      <c r="K2148" s="18"/>
      <c r="L2148" s="18" t="s">
        <v>1681</v>
      </c>
    </row>
    <row r="2149">
      <c r="A2149" s="18" t="s">
        <v>7493</v>
      </c>
      <c r="B2149" s="18" t="s">
        <v>791</v>
      </c>
      <c r="C2149" s="18" t="s">
        <v>7494</v>
      </c>
      <c r="D2149" s="18"/>
      <c r="E2149" s="24">
        <v>8.5235782242E10</v>
      </c>
      <c r="F2149" s="24">
        <v>1.0</v>
      </c>
      <c r="G2149" s="18" t="s">
        <v>7494</v>
      </c>
      <c r="H2149" s="18"/>
      <c r="I2149" s="24">
        <v>8.5235782242E10</v>
      </c>
      <c r="J2149" s="18" t="s">
        <v>7495</v>
      </c>
      <c r="K2149" s="18"/>
      <c r="L2149" s="18" t="s">
        <v>3286</v>
      </c>
    </row>
    <row r="2150">
      <c r="A2150" s="18" t="s">
        <v>7496</v>
      </c>
      <c r="B2150" s="18" t="s">
        <v>791</v>
      </c>
      <c r="C2150" s="18" t="s">
        <v>7497</v>
      </c>
      <c r="D2150" s="18"/>
      <c r="E2150" s="24">
        <v>8.5234059005E10</v>
      </c>
      <c r="F2150" s="24">
        <v>1.0</v>
      </c>
      <c r="G2150" s="18" t="s">
        <v>7497</v>
      </c>
      <c r="H2150" s="18"/>
      <c r="I2150" s="24">
        <v>8.5234059005E10</v>
      </c>
      <c r="J2150" s="18" t="s">
        <v>7498</v>
      </c>
      <c r="K2150" s="18"/>
      <c r="L2150" s="18" t="s">
        <v>7499</v>
      </c>
    </row>
    <row r="2151">
      <c r="A2151" s="18" t="s">
        <v>7500</v>
      </c>
      <c r="B2151" s="18" t="s">
        <v>791</v>
      </c>
      <c r="C2151" s="18" t="s">
        <v>7501</v>
      </c>
      <c r="D2151" s="18"/>
      <c r="E2151" s="18"/>
      <c r="F2151" s="24">
        <v>1.0</v>
      </c>
      <c r="G2151" s="18" t="s">
        <v>7501</v>
      </c>
      <c r="H2151" s="18"/>
      <c r="I2151" s="18"/>
      <c r="J2151" s="18" t="s">
        <v>7503</v>
      </c>
      <c r="K2151" s="18"/>
      <c r="L2151" s="18"/>
    </row>
    <row r="2152">
      <c r="A2152" s="18" t="s">
        <v>7504</v>
      </c>
      <c r="B2152" s="18" t="s">
        <v>791</v>
      </c>
      <c r="C2152" s="18" t="s">
        <v>7505</v>
      </c>
      <c r="D2152" s="18"/>
      <c r="E2152" s="24">
        <v>8.1357678999E10</v>
      </c>
      <c r="F2152" s="24">
        <v>1.0</v>
      </c>
      <c r="G2152" s="18" t="s">
        <v>7505</v>
      </c>
      <c r="H2152" s="18"/>
      <c r="I2152" s="24">
        <v>8.1357678999E10</v>
      </c>
      <c r="J2152" s="18" t="s">
        <v>7506</v>
      </c>
      <c r="K2152" s="18"/>
      <c r="L2152" s="18" t="s">
        <v>3825</v>
      </c>
    </row>
    <row r="2153">
      <c r="A2153" s="18" t="s">
        <v>7507</v>
      </c>
      <c r="B2153" s="18" t="s">
        <v>791</v>
      </c>
      <c r="C2153" s="18" t="s">
        <v>7508</v>
      </c>
      <c r="D2153" s="18"/>
      <c r="E2153" s="24">
        <v>8.5607767265E10</v>
      </c>
      <c r="F2153" s="24">
        <v>1.0</v>
      </c>
      <c r="G2153" s="18" t="s">
        <v>7508</v>
      </c>
      <c r="H2153" s="18"/>
      <c r="I2153" s="24">
        <v>8.5607767265E10</v>
      </c>
      <c r="J2153" s="18" t="s">
        <v>7003</v>
      </c>
      <c r="K2153" s="18"/>
      <c r="L2153" s="18" t="s">
        <v>5598</v>
      </c>
    </row>
    <row r="2154">
      <c r="A2154" s="18" t="s">
        <v>7509</v>
      </c>
      <c r="B2154" s="18" t="s">
        <v>791</v>
      </c>
      <c r="C2154" s="18" t="s">
        <v>1149</v>
      </c>
      <c r="D2154" s="18"/>
      <c r="E2154" s="24">
        <v>8.1232023457E10</v>
      </c>
      <c r="F2154" s="24">
        <v>1.0</v>
      </c>
      <c r="G2154" s="18" t="s">
        <v>1149</v>
      </c>
      <c r="H2154" s="18"/>
      <c r="I2154" s="24">
        <v>8.1232023457E10</v>
      </c>
      <c r="J2154" s="18" t="s">
        <v>7510</v>
      </c>
      <c r="K2154" s="18"/>
      <c r="L2154" s="18" t="s">
        <v>6970</v>
      </c>
    </row>
    <row r="2155">
      <c r="A2155" s="18" t="s">
        <v>7511</v>
      </c>
      <c r="B2155" s="18" t="s">
        <v>791</v>
      </c>
      <c r="C2155" s="18" t="s">
        <v>1245</v>
      </c>
      <c r="D2155" s="18"/>
      <c r="E2155" s="24">
        <v>8.1359267063E10</v>
      </c>
      <c r="F2155" s="24">
        <v>1.0</v>
      </c>
      <c r="G2155" s="18" t="s">
        <v>1245</v>
      </c>
      <c r="H2155" s="18"/>
      <c r="I2155" s="24">
        <v>8.1359267063E10</v>
      </c>
      <c r="J2155" s="18" t="s">
        <v>7512</v>
      </c>
      <c r="K2155" s="18"/>
      <c r="L2155" s="18" t="s">
        <v>5399</v>
      </c>
    </row>
    <row r="2156">
      <c r="A2156" s="18" t="s">
        <v>7513</v>
      </c>
      <c r="B2156" s="18" t="s">
        <v>791</v>
      </c>
      <c r="C2156" s="18" t="s">
        <v>1149</v>
      </c>
      <c r="D2156" s="18"/>
      <c r="E2156" s="24">
        <v>8.1360664456E10</v>
      </c>
      <c r="F2156" s="24">
        <v>1.0</v>
      </c>
      <c r="G2156" s="18" t="s">
        <v>1149</v>
      </c>
      <c r="H2156" s="18"/>
      <c r="I2156" s="24">
        <v>8.1360664456E10</v>
      </c>
      <c r="J2156" s="18" t="s">
        <v>7514</v>
      </c>
      <c r="K2156" s="18"/>
      <c r="L2156" s="18" t="s">
        <v>6868</v>
      </c>
    </row>
    <row r="2157">
      <c r="A2157" s="18" t="s">
        <v>7515</v>
      </c>
      <c r="B2157" s="18" t="s">
        <v>791</v>
      </c>
      <c r="C2157" s="18" t="s">
        <v>1245</v>
      </c>
      <c r="D2157" s="18"/>
      <c r="E2157" s="24">
        <v>8.214165148E10</v>
      </c>
      <c r="F2157" s="24">
        <v>1.0</v>
      </c>
      <c r="G2157" s="18" t="s">
        <v>1245</v>
      </c>
      <c r="H2157" s="18"/>
      <c r="I2157" s="24">
        <v>8.214165148E10</v>
      </c>
      <c r="J2157" s="18" t="s">
        <v>7516</v>
      </c>
      <c r="K2157" s="18"/>
      <c r="L2157" s="18" t="s">
        <v>2189</v>
      </c>
    </row>
    <row r="2158">
      <c r="A2158" s="18" t="s">
        <v>7517</v>
      </c>
      <c r="B2158" s="18" t="s">
        <v>791</v>
      </c>
      <c r="C2158" s="18" t="s">
        <v>1245</v>
      </c>
      <c r="D2158" s="18"/>
      <c r="E2158" s="24">
        <v>8.2141569707E10</v>
      </c>
      <c r="F2158" s="24">
        <v>1.0</v>
      </c>
      <c r="G2158" s="18" t="s">
        <v>1245</v>
      </c>
      <c r="H2158" s="18"/>
      <c r="I2158" s="24">
        <v>8.2141569707E10</v>
      </c>
      <c r="J2158" s="18" t="s">
        <v>7435</v>
      </c>
      <c r="K2158" s="18"/>
      <c r="L2158" s="18" t="s">
        <v>3309</v>
      </c>
    </row>
    <row r="2159">
      <c r="A2159" s="18" t="s">
        <v>7518</v>
      </c>
      <c r="B2159" s="18" t="s">
        <v>791</v>
      </c>
      <c r="C2159" s="18" t="s">
        <v>1149</v>
      </c>
      <c r="D2159" s="18"/>
      <c r="E2159" s="24">
        <v>8.523393859E10</v>
      </c>
      <c r="F2159" s="24">
        <v>1.0</v>
      </c>
      <c r="G2159" s="18" t="s">
        <v>1149</v>
      </c>
      <c r="H2159" s="18"/>
      <c r="I2159" s="24">
        <v>8.523393859E10</v>
      </c>
      <c r="J2159" s="18" t="s">
        <v>7519</v>
      </c>
      <c r="K2159" s="18"/>
      <c r="L2159" s="18" t="s">
        <v>2312</v>
      </c>
    </row>
    <row r="2160">
      <c r="A2160" s="18" t="s">
        <v>7520</v>
      </c>
      <c r="B2160" s="18" t="s">
        <v>791</v>
      </c>
      <c r="C2160" s="18" t="s">
        <v>1149</v>
      </c>
      <c r="D2160" s="18"/>
      <c r="E2160" s="24">
        <v>8.1459114506E10</v>
      </c>
      <c r="F2160" s="24">
        <v>1.0</v>
      </c>
      <c r="G2160" s="18" t="s">
        <v>1149</v>
      </c>
      <c r="H2160" s="18"/>
      <c r="I2160" s="24">
        <v>8.1459114506E10</v>
      </c>
      <c r="J2160" s="18" t="s">
        <v>7521</v>
      </c>
      <c r="K2160" s="18"/>
      <c r="L2160" s="18" t="s">
        <v>3642</v>
      </c>
    </row>
    <row r="2161">
      <c r="A2161" s="18" t="s">
        <v>7522</v>
      </c>
      <c r="B2161" s="18" t="s">
        <v>791</v>
      </c>
      <c r="C2161" s="18" t="s">
        <v>1149</v>
      </c>
      <c r="D2161" s="18"/>
      <c r="E2161" s="24">
        <v>8.1234326507E10</v>
      </c>
      <c r="F2161" s="24">
        <v>1.0</v>
      </c>
      <c r="G2161" s="18" t="s">
        <v>1149</v>
      </c>
      <c r="H2161" s="18"/>
      <c r="I2161" s="24">
        <v>8.1234326507E10</v>
      </c>
      <c r="J2161" s="18" t="s">
        <v>7523</v>
      </c>
      <c r="K2161" s="18"/>
      <c r="L2161" s="18" t="s">
        <v>6658</v>
      </c>
    </row>
    <row r="2162">
      <c r="A2162" s="18" t="s">
        <v>7524</v>
      </c>
      <c r="B2162" s="18" t="s">
        <v>791</v>
      </c>
      <c r="C2162" s="18" t="s">
        <v>1245</v>
      </c>
      <c r="D2162" s="18"/>
      <c r="E2162" s="24">
        <v>8.5856444002E10</v>
      </c>
      <c r="F2162" s="24">
        <v>1.0</v>
      </c>
      <c r="G2162" s="18" t="s">
        <v>1245</v>
      </c>
      <c r="H2162" s="18"/>
      <c r="I2162" s="24">
        <v>8.5856444002E10</v>
      </c>
      <c r="J2162" s="18" t="s">
        <v>6988</v>
      </c>
      <c r="K2162" s="18"/>
      <c r="L2162" s="18" t="s">
        <v>7085</v>
      </c>
    </row>
    <row r="2163">
      <c r="A2163" s="18" t="s">
        <v>1147</v>
      </c>
      <c r="B2163" s="18" t="s">
        <v>791</v>
      </c>
      <c r="C2163" s="18" t="s">
        <v>1149</v>
      </c>
      <c r="D2163" s="18" t="s">
        <v>1137</v>
      </c>
      <c r="E2163" s="24">
        <v>8.5234664415E10</v>
      </c>
      <c r="F2163" s="24">
        <v>1.0</v>
      </c>
      <c r="G2163" s="18" t="s">
        <v>1149</v>
      </c>
      <c r="H2163" s="18" t="s">
        <v>1137</v>
      </c>
      <c r="I2163" s="24">
        <v>8.5234664415E10</v>
      </c>
      <c r="J2163" s="18" t="s">
        <v>1148</v>
      </c>
      <c r="K2163" s="18" t="s">
        <v>1148</v>
      </c>
      <c r="L2163" s="18" t="s">
        <v>1138</v>
      </c>
    </row>
    <row r="2164">
      <c r="A2164" s="18" t="s">
        <v>7526</v>
      </c>
      <c r="B2164" s="18" t="s">
        <v>791</v>
      </c>
      <c r="C2164" s="18" t="s">
        <v>1245</v>
      </c>
      <c r="D2164" s="18"/>
      <c r="E2164" s="24">
        <v>8.2337029948E10</v>
      </c>
      <c r="F2164" s="24">
        <v>1.0</v>
      </c>
      <c r="G2164" s="18" t="s">
        <v>1245</v>
      </c>
      <c r="H2164" s="18"/>
      <c r="I2164" s="24">
        <v>8.2337029948E10</v>
      </c>
      <c r="J2164" s="18" t="s">
        <v>7527</v>
      </c>
      <c r="K2164" s="18"/>
      <c r="L2164" s="18" t="s">
        <v>3202</v>
      </c>
    </row>
    <row r="2165">
      <c r="A2165" s="18" t="s">
        <v>7528</v>
      </c>
      <c r="B2165" s="18" t="s">
        <v>791</v>
      </c>
      <c r="C2165" s="18" t="s">
        <v>1245</v>
      </c>
      <c r="D2165" s="18"/>
      <c r="E2165" s="24">
        <v>8.5233685156E10</v>
      </c>
      <c r="F2165" s="24">
        <v>1.0</v>
      </c>
      <c r="G2165" s="18" t="s">
        <v>1245</v>
      </c>
      <c r="H2165" s="18"/>
      <c r="I2165" s="24">
        <v>8.5233685156E10</v>
      </c>
      <c r="J2165" s="18" t="s">
        <v>7442</v>
      </c>
      <c r="K2165" s="18"/>
      <c r="L2165" s="18" t="s">
        <v>5697</v>
      </c>
    </row>
    <row r="2166">
      <c r="A2166" s="18" t="s">
        <v>7529</v>
      </c>
      <c r="B2166" s="18" t="s">
        <v>791</v>
      </c>
      <c r="C2166" s="18" t="s">
        <v>1245</v>
      </c>
      <c r="D2166" s="18"/>
      <c r="E2166" s="18"/>
      <c r="F2166" s="24">
        <v>1.0</v>
      </c>
      <c r="G2166" s="18" t="s">
        <v>1245</v>
      </c>
      <c r="H2166" s="18"/>
      <c r="I2166" s="18"/>
      <c r="J2166" s="18" t="s">
        <v>6866</v>
      </c>
      <c r="K2166" s="18"/>
      <c r="L2166" s="18"/>
    </row>
    <row r="2167">
      <c r="A2167" s="18" t="s">
        <v>7530</v>
      </c>
      <c r="B2167" s="18" t="s">
        <v>791</v>
      </c>
      <c r="C2167" s="18" t="s">
        <v>7531</v>
      </c>
      <c r="D2167" s="18"/>
      <c r="E2167" s="18"/>
      <c r="F2167" s="24">
        <v>1.0</v>
      </c>
      <c r="G2167" s="18" t="s">
        <v>7531</v>
      </c>
      <c r="H2167" s="18"/>
      <c r="I2167" s="18"/>
      <c r="J2167" s="18" t="s">
        <v>7532</v>
      </c>
      <c r="K2167" s="18"/>
      <c r="L2167" s="18"/>
    </row>
    <row r="2168">
      <c r="A2168" s="18" t="s">
        <v>7533</v>
      </c>
      <c r="B2168" s="18" t="s">
        <v>791</v>
      </c>
      <c r="C2168" s="18" t="s">
        <v>1245</v>
      </c>
      <c r="D2168" s="18"/>
      <c r="E2168" s="24">
        <v>8.1335760149E10</v>
      </c>
      <c r="F2168" s="24">
        <v>1.0</v>
      </c>
      <c r="G2168" s="18" t="s">
        <v>1245</v>
      </c>
      <c r="H2168" s="18"/>
      <c r="I2168" s="24">
        <v>8.1335760149E10</v>
      </c>
      <c r="J2168" s="18" t="s">
        <v>6238</v>
      </c>
      <c r="K2168" s="18"/>
      <c r="L2168" s="18" t="s">
        <v>2458</v>
      </c>
    </row>
    <row r="2169">
      <c r="A2169" s="18" t="s">
        <v>1243</v>
      </c>
      <c r="B2169" s="18" t="s">
        <v>791</v>
      </c>
      <c r="C2169" s="18" t="s">
        <v>1245</v>
      </c>
      <c r="D2169" s="18"/>
      <c r="E2169" s="24">
        <v>8.5714169155E10</v>
      </c>
      <c r="F2169" s="24">
        <v>1.0</v>
      </c>
      <c r="G2169" s="18" t="s">
        <v>1245</v>
      </c>
      <c r="H2169" s="18"/>
      <c r="I2169" s="24">
        <v>8.5714169155E10</v>
      </c>
      <c r="J2169" s="18" t="s">
        <v>1244</v>
      </c>
      <c r="K2169" s="18"/>
      <c r="L2169" s="18" t="s">
        <v>1246</v>
      </c>
    </row>
    <row r="2170">
      <c r="A2170" s="18" t="s">
        <v>7535</v>
      </c>
      <c r="B2170" s="18" t="s">
        <v>791</v>
      </c>
      <c r="C2170" s="18" t="s">
        <v>1149</v>
      </c>
      <c r="D2170" s="18"/>
      <c r="E2170" s="24">
        <v>8.2131375474E10</v>
      </c>
      <c r="F2170" s="24">
        <v>1.0</v>
      </c>
      <c r="G2170" s="18" t="s">
        <v>1149</v>
      </c>
      <c r="H2170" s="18"/>
      <c r="I2170" s="24">
        <v>8.2131375474E10</v>
      </c>
      <c r="J2170" s="18" t="s">
        <v>7536</v>
      </c>
      <c r="K2170" s="18"/>
      <c r="L2170" s="18" t="s">
        <v>5573</v>
      </c>
    </row>
    <row r="2171">
      <c r="A2171" s="18" t="s">
        <v>7537</v>
      </c>
      <c r="B2171" s="18" t="s">
        <v>791</v>
      </c>
      <c r="C2171" s="18" t="s">
        <v>7538</v>
      </c>
      <c r="D2171" s="18"/>
      <c r="E2171" s="24">
        <v>8.5706192729E10</v>
      </c>
      <c r="F2171" s="24">
        <v>1.0</v>
      </c>
      <c r="G2171" s="18" t="s">
        <v>7538</v>
      </c>
      <c r="H2171" s="18"/>
      <c r="I2171" s="24">
        <v>8.5706192729E10</v>
      </c>
      <c r="J2171" s="18" t="s">
        <v>7044</v>
      </c>
      <c r="K2171" s="18"/>
      <c r="L2171" s="18" t="s">
        <v>4048</v>
      </c>
    </row>
    <row r="2172">
      <c r="A2172" s="18" t="s">
        <v>7540</v>
      </c>
      <c r="B2172" s="18" t="s">
        <v>791</v>
      </c>
      <c r="C2172" s="18" t="s">
        <v>7541</v>
      </c>
      <c r="D2172" s="18"/>
      <c r="E2172" s="24">
        <v>8.5655755136E10</v>
      </c>
      <c r="F2172" s="24">
        <v>1.0</v>
      </c>
      <c r="G2172" s="18" t="s">
        <v>7541</v>
      </c>
      <c r="H2172" s="18"/>
      <c r="I2172" s="24">
        <v>8.5655755136E10</v>
      </c>
      <c r="J2172" s="18" t="s">
        <v>7542</v>
      </c>
      <c r="K2172" s="18"/>
      <c r="L2172" s="18" t="s">
        <v>7543</v>
      </c>
    </row>
    <row r="2173">
      <c r="A2173" s="18" t="s">
        <v>7544</v>
      </c>
      <c r="B2173" s="18" t="s">
        <v>791</v>
      </c>
      <c r="C2173" s="18" t="s">
        <v>7541</v>
      </c>
      <c r="D2173" s="18"/>
      <c r="E2173" s="24">
        <v>8.5655810065E10</v>
      </c>
      <c r="F2173" s="24">
        <v>1.0</v>
      </c>
      <c r="G2173" s="18" t="s">
        <v>7541</v>
      </c>
      <c r="H2173" s="18"/>
      <c r="I2173" s="24">
        <v>8.5655810065E10</v>
      </c>
      <c r="J2173" s="18" t="s">
        <v>7545</v>
      </c>
      <c r="K2173" s="18"/>
      <c r="L2173" s="18" t="s">
        <v>3375</v>
      </c>
    </row>
    <row r="2174">
      <c r="A2174" s="18" t="s">
        <v>7546</v>
      </c>
      <c r="B2174" s="18" t="s">
        <v>791</v>
      </c>
      <c r="C2174" s="18" t="s">
        <v>7547</v>
      </c>
      <c r="D2174" s="18"/>
      <c r="E2174" s="24">
        <v>8.2141569707E10</v>
      </c>
      <c r="F2174" s="24">
        <v>1.0</v>
      </c>
      <c r="G2174" s="18" t="s">
        <v>7547</v>
      </c>
      <c r="H2174" s="18"/>
      <c r="I2174" s="24">
        <v>8.2141569707E10</v>
      </c>
      <c r="J2174" s="18" t="s">
        <v>7407</v>
      </c>
      <c r="K2174" s="18"/>
      <c r="L2174" s="18" t="s">
        <v>3309</v>
      </c>
    </row>
    <row r="2175">
      <c r="A2175" s="18" t="s">
        <v>7548</v>
      </c>
      <c r="B2175" s="18" t="s">
        <v>791</v>
      </c>
      <c r="C2175" s="18" t="s">
        <v>7549</v>
      </c>
      <c r="D2175" s="18"/>
      <c r="E2175" s="24">
        <v>8.1359109381E10</v>
      </c>
      <c r="F2175" s="24">
        <v>1.0</v>
      </c>
      <c r="G2175" s="18" t="s">
        <v>7549</v>
      </c>
      <c r="H2175" s="18"/>
      <c r="I2175" s="24">
        <v>8.1359109381E10</v>
      </c>
      <c r="J2175" s="18" t="s">
        <v>7227</v>
      </c>
      <c r="K2175" s="18"/>
      <c r="L2175" s="18" t="s">
        <v>84</v>
      </c>
    </row>
    <row r="2176">
      <c r="A2176" s="18" t="s">
        <v>7550</v>
      </c>
      <c r="B2176" s="18" t="s">
        <v>791</v>
      </c>
      <c r="C2176" s="18" t="s">
        <v>7549</v>
      </c>
      <c r="D2176" s="18"/>
      <c r="E2176" s="24">
        <v>8.5326632177E10</v>
      </c>
      <c r="F2176" s="24">
        <v>1.0</v>
      </c>
      <c r="G2176" s="18" t="s">
        <v>7549</v>
      </c>
      <c r="H2176" s="18"/>
      <c r="I2176" s="24">
        <v>8.5326632177E10</v>
      </c>
      <c r="J2176" s="18" t="s">
        <v>7551</v>
      </c>
      <c r="K2176" s="18"/>
      <c r="L2176" s="18" t="s">
        <v>7293</v>
      </c>
    </row>
    <row r="2177">
      <c r="A2177" s="18" t="s">
        <v>7552</v>
      </c>
      <c r="B2177" s="18" t="s">
        <v>791</v>
      </c>
      <c r="C2177" s="18" t="s">
        <v>7553</v>
      </c>
      <c r="D2177" s="18"/>
      <c r="E2177" s="24">
        <v>8.523362704E10</v>
      </c>
      <c r="F2177" s="24">
        <v>1.0</v>
      </c>
      <c r="G2177" s="18" t="s">
        <v>7553</v>
      </c>
      <c r="H2177" s="18"/>
      <c r="I2177" s="24">
        <v>8.523362704E10</v>
      </c>
      <c r="J2177" s="18" t="s">
        <v>7554</v>
      </c>
      <c r="K2177" s="18"/>
      <c r="L2177" s="18" t="s">
        <v>3721</v>
      </c>
    </row>
    <row r="2178">
      <c r="A2178" s="18" t="s">
        <v>7555</v>
      </c>
      <c r="B2178" s="18" t="s">
        <v>791</v>
      </c>
      <c r="C2178" s="18" t="s">
        <v>7549</v>
      </c>
      <c r="D2178" s="18"/>
      <c r="E2178" s="24">
        <v>8.5785874146E10</v>
      </c>
      <c r="F2178" s="24">
        <v>1.0</v>
      </c>
      <c r="G2178" s="18" t="s">
        <v>7549</v>
      </c>
      <c r="H2178" s="18"/>
      <c r="I2178" s="24">
        <v>8.5785874146E10</v>
      </c>
      <c r="J2178" s="18" t="s">
        <v>7556</v>
      </c>
      <c r="K2178" s="18"/>
      <c r="L2178" s="18" t="s">
        <v>2189</v>
      </c>
    </row>
    <row r="2179">
      <c r="A2179" s="18" t="s">
        <v>7557</v>
      </c>
      <c r="B2179" s="18" t="s">
        <v>791</v>
      </c>
      <c r="C2179" s="18" t="s">
        <v>7558</v>
      </c>
      <c r="D2179" s="18"/>
      <c r="E2179" s="24">
        <v>8.523362704E10</v>
      </c>
      <c r="F2179" s="24">
        <v>1.0</v>
      </c>
      <c r="G2179" s="18" t="s">
        <v>7558</v>
      </c>
      <c r="H2179" s="18"/>
      <c r="I2179" s="24">
        <v>8.523362704E10</v>
      </c>
      <c r="J2179" s="18" t="s">
        <v>7559</v>
      </c>
      <c r="K2179" s="18"/>
      <c r="L2179" s="18" t="s">
        <v>3721</v>
      </c>
    </row>
    <row r="2180">
      <c r="A2180" s="18" t="s">
        <v>7560</v>
      </c>
      <c r="B2180" s="18" t="s">
        <v>791</v>
      </c>
      <c r="C2180" s="18" t="s">
        <v>7561</v>
      </c>
      <c r="D2180" s="18"/>
      <c r="E2180" s="24">
        <v>8.5645723997E10</v>
      </c>
      <c r="F2180" s="24">
        <v>1.0</v>
      </c>
      <c r="G2180" s="18" t="s">
        <v>7561</v>
      </c>
      <c r="H2180" s="18"/>
      <c r="I2180" s="24">
        <v>8.5645723997E10</v>
      </c>
      <c r="J2180" s="18" t="s">
        <v>7562</v>
      </c>
      <c r="K2180" s="18"/>
      <c r="L2180" s="18" t="s">
        <v>1482</v>
      </c>
    </row>
    <row r="2181">
      <c r="A2181" s="18" t="s">
        <v>7563</v>
      </c>
      <c r="B2181" s="18" t="s">
        <v>791</v>
      </c>
      <c r="C2181" s="18" t="s">
        <v>7561</v>
      </c>
      <c r="D2181" s="18"/>
      <c r="E2181" s="24">
        <v>8.1319283688E10</v>
      </c>
      <c r="F2181" s="24">
        <v>1.0</v>
      </c>
      <c r="G2181" s="18" t="s">
        <v>7561</v>
      </c>
      <c r="H2181" s="18"/>
      <c r="I2181" s="24">
        <v>8.1319283688E10</v>
      </c>
      <c r="J2181" s="18" t="s">
        <v>7395</v>
      </c>
      <c r="K2181" s="18"/>
      <c r="L2181" s="18" t="s">
        <v>2827</v>
      </c>
    </row>
    <row r="2182">
      <c r="A2182" s="18" t="s">
        <v>7564</v>
      </c>
      <c r="B2182" s="18" t="s">
        <v>791</v>
      </c>
      <c r="C2182" s="18" t="s">
        <v>7565</v>
      </c>
      <c r="D2182" s="18"/>
      <c r="E2182" s="24">
        <v>8.2299972201E10</v>
      </c>
      <c r="F2182" s="24">
        <v>1.0</v>
      </c>
      <c r="G2182" s="18" t="s">
        <v>7565</v>
      </c>
      <c r="H2182" s="18"/>
      <c r="I2182" s="24">
        <v>8.2299972201E10</v>
      </c>
      <c r="J2182" s="18" t="s">
        <v>6997</v>
      </c>
      <c r="K2182" s="18"/>
      <c r="L2182" s="18" t="s">
        <v>7566</v>
      </c>
    </row>
    <row r="2183">
      <c r="A2183" s="18" t="s">
        <v>7567</v>
      </c>
      <c r="B2183" s="18" t="s">
        <v>791</v>
      </c>
      <c r="C2183" s="18" t="s">
        <v>7568</v>
      </c>
      <c r="D2183" s="18"/>
      <c r="E2183" s="24">
        <v>8.133538102E10</v>
      </c>
      <c r="F2183" s="24">
        <v>1.0</v>
      </c>
      <c r="G2183" s="18" t="s">
        <v>7568</v>
      </c>
      <c r="H2183" s="18"/>
      <c r="I2183" s="24">
        <v>8.133538102E10</v>
      </c>
      <c r="J2183" s="18" t="s">
        <v>7569</v>
      </c>
      <c r="K2183" s="18"/>
      <c r="L2183" s="18" t="s">
        <v>5442</v>
      </c>
    </row>
    <row r="2184">
      <c r="A2184" s="18" t="s">
        <v>7570</v>
      </c>
      <c r="B2184" s="18" t="s">
        <v>791</v>
      </c>
      <c r="C2184" s="18" t="s">
        <v>7571</v>
      </c>
      <c r="D2184" s="18"/>
      <c r="E2184" s="24">
        <v>8.1359410878E10</v>
      </c>
      <c r="F2184" s="24">
        <v>1.0</v>
      </c>
      <c r="G2184" s="18" t="s">
        <v>7571</v>
      </c>
      <c r="H2184" s="18"/>
      <c r="I2184" s="24">
        <v>8.1359410878E10</v>
      </c>
      <c r="J2184" s="18" t="s">
        <v>7572</v>
      </c>
      <c r="K2184" s="18"/>
      <c r="L2184" s="18" t="s">
        <v>2843</v>
      </c>
    </row>
    <row r="2185">
      <c r="A2185" s="18" t="s">
        <v>7573</v>
      </c>
      <c r="B2185" s="18" t="s">
        <v>791</v>
      </c>
      <c r="C2185" s="18" t="s">
        <v>7568</v>
      </c>
      <c r="D2185" s="18"/>
      <c r="E2185" s="24">
        <v>8.1334041615E10</v>
      </c>
      <c r="F2185" s="24">
        <v>1.0</v>
      </c>
      <c r="G2185" s="18" t="s">
        <v>7568</v>
      </c>
      <c r="H2185" s="18"/>
      <c r="I2185" s="24">
        <v>8.1334041615E10</v>
      </c>
      <c r="J2185" s="18" t="s">
        <v>7574</v>
      </c>
      <c r="K2185" s="18"/>
      <c r="L2185" s="18" t="s">
        <v>5573</v>
      </c>
    </row>
    <row r="2186">
      <c r="A2186" s="18" t="s">
        <v>7575</v>
      </c>
      <c r="B2186" s="18" t="s">
        <v>791</v>
      </c>
      <c r="C2186" s="18" t="s">
        <v>7568</v>
      </c>
      <c r="D2186" s="18"/>
      <c r="E2186" s="24">
        <v>8.58728645918E11</v>
      </c>
      <c r="F2186" s="24">
        <v>1.0</v>
      </c>
      <c r="G2186" s="18" t="s">
        <v>7568</v>
      </c>
      <c r="H2186" s="18"/>
      <c r="I2186" s="24">
        <v>8.58728645918E11</v>
      </c>
      <c r="J2186" s="18" t="s">
        <v>6856</v>
      </c>
      <c r="K2186" s="18"/>
      <c r="L2186" s="18" t="s">
        <v>7576</v>
      </c>
    </row>
    <row r="2187">
      <c r="A2187" s="18" t="s">
        <v>7577</v>
      </c>
      <c r="B2187" s="18" t="s">
        <v>791</v>
      </c>
      <c r="C2187" s="18" t="s">
        <v>7571</v>
      </c>
      <c r="D2187" s="18"/>
      <c r="E2187" s="24">
        <v>8.133598367E10</v>
      </c>
      <c r="F2187" s="24">
        <v>1.0</v>
      </c>
      <c r="G2187" s="18" t="s">
        <v>7571</v>
      </c>
      <c r="H2187" s="18"/>
      <c r="I2187" s="24">
        <v>8.133598367E10</v>
      </c>
      <c r="J2187" s="18" t="s">
        <v>7578</v>
      </c>
      <c r="K2187" s="18"/>
      <c r="L2187" s="18" t="s">
        <v>1623</v>
      </c>
    </row>
    <row r="2188">
      <c r="A2188" s="18" t="s">
        <v>7579</v>
      </c>
      <c r="B2188" s="18" t="s">
        <v>791</v>
      </c>
      <c r="C2188" s="18" t="s">
        <v>7571</v>
      </c>
      <c r="D2188" s="18"/>
      <c r="E2188" s="24">
        <v>8.2331695666E10</v>
      </c>
      <c r="F2188" s="24">
        <v>1.0</v>
      </c>
      <c r="G2188" s="18" t="s">
        <v>7571</v>
      </c>
      <c r="H2188" s="18"/>
      <c r="I2188" s="24">
        <v>8.2331695666E10</v>
      </c>
      <c r="J2188" s="18" t="s">
        <v>7463</v>
      </c>
      <c r="K2188" s="18"/>
      <c r="L2188" s="18" t="s">
        <v>1958</v>
      </c>
    </row>
    <row r="2189">
      <c r="A2189" s="18" t="s">
        <v>7580</v>
      </c>
      <c r="B2189" s="18" t="s">
        <v>791</v>
      </c>
      <c r="C2189" s="18" t="s">
        <v>7571</v>
      </c>
      <c r="D2189" s="18"/>
      <c r="E2189" s="24">
        <v>8.5235040123E10</v>
      </c>
      <c r="F2189" s="24">
        <v>1.0</v>
      </c>
      <c r="G2189" s="18" t="s">
        <v>7571</v>
      </c>
      <c r="H2189" s="18"/>
      <c r="I2189" s="24">
        <v>8.5235040123E10</v>
      </c>
      <c r="J2189" s="18" t="s">
        <v>7582</v>
      </c>
      <c r="K2189" s="18"/>
      <c r="L2189" s="18" t="s">
        <v>4472</v>
      </c>
    </row>
    <row r="2190">
      <c r="A2190" s="18" t="s">
        <v>7583</v>
      </c>
      <c r="B2190" s="18" t="s">
        <v>791</v>
      </c>
      <c r="C2190" s="18" t="s">
        <v>7571</v>
      </c>
      <c r="D2190" s="18"/>
      <c r="E2190" s="24">
        <v>8.5235040123E10</v>
      </c>
      <c r="F2190" s="24">
        <v>1.0</v>
      </c>
      <c r="G2190" s="18" t="s">
        <v>7571</v>
      </c>
      <c r="H2190" s="18"/>
      <c r="I2190" s="24">
        <v>8.5235040123E10</v>
      </c>
      <c r="J2190" s="18" t="s">
        <v>7584</v>
      </c>
      <c r="K2190" s="18"/>
      <c r="L2190" s="18" t="s">
        <v>27</v>
      </c>
    </row>
    <row r="2191">
      <c r="A2191" s="18" t="s">
        <v>7192</v>
      </c>
      <c r="B2191" s="18" t="s">
        <v>791</v>
      </c>
      <c r="C2191" s="18" t="s">
        <v>7194</v>
      </c>
      <c r="D2191" s="18"/>
      <c r="E2191" s="24">
        <v>6.285259626461E12</v>
      </c>
      <c r="F2191" s="24">
        <v>1.0</v>
      </c>
      <c r="G2191" s="18" t="s">
        <v>7194</v>
      </c>
      <c r="H2191" s="18"/>
      <c r="I2191" s="24">
        <v>6.285259626461E12</v>
      </c>
      <c r="J2191" s="18" t="s">
        <v>4694</v>
      </c>
      <c r="K2191" s="18"/>
      <c r="L2191" s="18" t="s">
        <v>7196</v>
      </c>
    </row>
    <row r="2192">
      <c r="A2192" s="18" t="s">
        <v>7585</v>
      </c>
      <c r="B2192" s="18" t="s">
        <v>791</v>
      </c>
      <c r="C2192" s="18" t="s">
        <v>7586</v>
      </c>
      <c r="D2192" s="18"/>
      <c r="E2192" s="24">
        <v>8.1335760149E10</v>
      </c>
      <c r="F2192" s="24">
        <v>1.0</v>
      </c>
      <c r="G2192" s="18" t="s">
        <v>7586</v>
      </c>
      <c r="H2192" s="18"/>
      <c r="I2192" s="24">
        <v>8.1335760149E10</v>
      </c>
      <c r="J2192" s="18" t="s">
        <v>6063</v>
      </c>
      <c r="K2192" s="18"/>
      <c r="L2192" s="18" t="s">
        <v>1850</v>
      </c>
    </row>
    <row r="2193">
      <c r="A2193" s="18" t="s">
        <v>7587</v>
      </c>
      <c r="B2193" s="18" t="s">
        <v>791</v>
      </c>
      <c r="C2193" s="18" t="s">
        <v>7589</v>
      </c>
      <c r="D2193" s="18"/>
      <c r="E2193" s="24">
        <v>8.5732216596E10</v>
      </c>
      <c r="F2193" s="24">
        <v>1.0</v>
      </c>
      <c r="G2193" s="18" t="s">
        <v>7589</v>
      </c>
      <c r="H2193" s="18"/>
      <c r="I2193" s="24">
        <v>8.5732216596E10</v>
      </c>
      <c r="J2193" s="18" t="s">
        <v>7590</v>
      </c>
      <c r="K2193" s="18"/>
      <c r="L2193" s="18" t="s">
        <v>2491</v>
      </c>
    </row>
    <row r="2194">
      <c r="A2194" s="18" t="s">
        <v>7591</v>
      </c>
      <c r="B2194" s="18" t="s">
        <v>791</v>
      </c>
      <c r="C2194" s="18" t="s">
        <v>7589</v>
      </c>
      <c r="D2194" s="18"/>
      <c r="E2194" s="24">
        <v>8.5259654152E10</v>
      </c>
      <c r="F2194" s="24">
        <v>1.0</v>
      </c>
      <c r="G2194" s="18" t="s">
        <v>7589</v>
      </c>
      <c r="H2194" s="18"/>
      <c r="I2194" s="24">
        <v>8.5259654152E10</v>
      </c>
      <c r="J2194" s="18" t="s">
        <v>7592</v>
      </c>
      <c r="K2194" s="18"/>
      <c r="L2194" s="18" t="s">
        <v>4874</v>
      </c>
    </row>
    <row r="2195">
      <c r="A2195" s="18" t="s">
        <v>7593</v>
      </c>
      <c r="B2195" s="18" t="s">
        <v>791</v>
      </c>
      <c r="C2195" s="18" t="s">
        <v>7589</v>
      </c>
      <c r="D2195" s="18"/>
      <c r="E2195" s="24">
        <v>8.5230936776E10</v>
      </c>
      <c r="F2195" s="24">
        <v>1.0</v>
      </c>
      <c r="G2195" s="18" t="s">
        <v>7589</v>
      </c>
      <c r="H2195" s="18"/>
      <c r="I2195" s="24">
        <v>8.5230936776E10</v>
      </c>
      <c r="J2195" s="18" t="s">
        <v>7594</v>
      </c>
      <c r="K2195" s="18"/>
      <c r="L2195" s="18" t="s">
        <v>1971</v>
      </c>
    </row>
    <row r="2196">
      <c r="A2196" s="18" t="s">
        <v>7595</v>
      </c>
      <c r="B2196" s="18" t="s">
        <v>791</v>
      </c>
      <c r="C2196" s="18" t="s">
        <v>7589</v>
      </c>
      <c r="D2196" s="18"/>
      <c r="E2196" s="24">
        <v>8.2142127421E10</v>
      </c>
      <c r="F2196" s="24">
        <v>1.0</v>
      </c>
      <c r="G2196" s="18" t="s">
        <v>7589</v>
      </c>
      <c r="H2196" s="18"/>
      <c r="I2196" s="24">
        <v>8.2142127421E10</v>
      </c>
      <c r="J2196" s="18" t="s">
        <v>7596</v>
      </c>
      <c r="K2196" s="18"/>
      <c r="L2196" s="18" t="s">
        <v>5271</v>
      </c>
    </row>
    <row r="2197">
      <c r="A2197" s="18" t="s">
        <v>7597</v>
      </c>
      <c r="B2197" s="18" t="s">
        <v>791</v>
      </c>
      <c r="C2197" s="18" t="s">
        <v>7589</v>
      </c>
      <c r="D2197" s="18"/>
      <c r="E2197" s="24">
        <v>8.5956598158E10</v>
      </c>
      <c r="F2197" s="24">
        <v>1.0</v>
      </c>
      <c r="G2197" s="18" t="s">
        <v>7589</v>
      </c>
      <c r="H2197" s="18"/>
      <c r="I2197" s="24">
        <v>8.5956598158E10</v>
      </c>
      <c r="J2197" s="18" t="s">
        <v>7598</v>
      </c>
      <c r="K2197" s="18"/>
      <c r="L2197" s="18" t="s">
        <v>129</v>
      </c>
    </row>
    <row r="2198">
      <c r="A2198" s="18" t="s">
        <v>7599</v>
      </c>
      <c r="B2198" s="18" t="s">
        <v>791</v>
      </c>
      <c r="C2198" s="18" t="s">
        <v>7589</v>
      </c>
      <c r="D2198" s="18"/>
      <c r="E2198" s="24">
        <v>8.5235137251E10</v>
      </c>
      <c r="F2198" s="24">
        <v>1.0</v>
      </c>
      <c r="G2198" s="18" t="s">
        <v>7589</v>
      </c>
      <c r="H2198" s="18"/>
      <c r="I2198" s="24">
        <v>8.5235137251E10</v>
      </c>
      <c r="J2198" s="18" t="s">
        <v>7600</v>
      </c>
      <c r="K2198" s="18"/>
      <c r="L2198" s="18" t="s">
        <v>2423</v>
      </c>
    </row>
    <row r="2199">
      <c r="A2199" s="18" t="s">
        <v>7601</v>
      </c>
      <c r="B2199" s="18" t="s">
        <v>791</v>
      </c>
      <c r="C2199" s="18" t="s">
        <v>7602</v>
      </c>
      <c r="D2199" s="18"/>
      <c r="E2199" s="24">
        <v>8.1249163753E10</v>
      </c>
      <c r="F2199" s="24">
        <v>1.0</v>
      </c>
      <c r="G2199" s="18" t="s">
        <v>7602</v>
      </c>
      <c r="H2199" s="18"/>
      <c r="I2199" s="24">
        <v>8.1249163753E10</v>
      </c>
      <c r="J2199" s="18" t="s">
        <v>7603</v>
      </c>
      <c r="K2199" s="18"/>
      <c r="L2199" s="18" t="s">
        <v>6405</v>
      </c>
    </row>
    <row r="2200">
      <c r="A2200" s="18" t="s">
        <v>7604</v>
      </c>
      <c r="B2200" s="18" t="s">
        <v>791</v>
      </c>
      <c r="C2200" s="18" t="s">
        <v>7602</v>
      </c>
      <c r="D2200" s="18"/>
      <c r="E2200" s="24">
        <v>8.523393859E10</v>
      </c>
      <c r="F2200" s="24">
        <v>1.0</v>
      </c>
      <c r="G2200" s="18" t="s">
        <v>7602</v>
      </c>
      <c r="H2200" s="18"/>
      <c r="I2200" s="24">
        <v>8.523393859E10</v>
      </c>
      <c r="J2200" s="18" t="s">
        <v>7605</v>
      </c>
      <c r="K2200" s="18"/>
      <c r="L2200" s="18" t="s">
        <v>2312</v>
      </c>
    </row>
    <row r="2201">
      <c r="A2201" s="18" t="s">
        <v>7606</v>
      </c>
      <c r="B2201" s="18" t="s">
        <v>791</v>
      </c>
      <c r="C2201" s="18" t="s">
        <v>7607</v>
      </c>
      <c r="D2201" s="18"/>
      <c r="E2201" s="24">
        <v>8.510251745E10</v>
      </c>
      <c r="F2201" s="24">
        <v>1.0</v>
      </c>
      <c r="G2201" s="18" t="s">
        <v>7607</v>
      </c>
      <c r="H2201" s="18"/>
      <c r="I2201" s="24">
        <v>8.510251745E10</v>
      </c>
      <c r="J2201" s="18" t="s">
        <v>7485</v>
      </c>
      <c r="K2201" s="18"/>
      <c r="L2201" s="18" t="s">
        <v>1246</v>
      </c>
    </row>
    <row r="2202">
      <c r="A2202" s="18" t="s">
        <v>7608</v>
      </c>
      <c r="B2202" s="18" t="s">
        <v>791</v>
      </c>
      <c r="C2202" s="18" t="s">
        <v>7609</v>
      </c>
      <c r="D2202" s="18"/>
      <c r="E2202" s="24">
        <v>8.5235665279E10</v>
      </c>
      <c r="F2202" s="24">
        <v>1.0</v>
      </c>
      <c r="G2202" s="18" t="s">
        <v>7609</v>
      </c>
      <c r="H2202" s="18"/>
      <c r="I2202" s="24">
        <v>8.5235665279E10</v>
      </c>
      <c r="J2202" s="18" t="s">
        <v>7610</v>
      </c>
      <c r="K2202" s="18"/>
      <c r="L2202" s="18" t="s">
        <v>3993</v>
      </c>
    </row>
    <row r="2203">
      <c r="A2203" s="18" t="s">
        <v>7611</v>
      </c>
      <c r="B2203" s="18" t="s">
        <v>791</v>
      </c>
      <c r="C2203" s="18" t="s">
        <v>7609</v>
      </c>
      <c r="D2203" s="18"/>
      <c r="E2203" s="24">
        <v>8.2228297125E10</v>
      </c>
      <c r="F2203" s="24">
        <v>1.0</v>
      </c>
      <c r="G2203" s="18" t="s">
        <v>7609</v>
      </c>
      <c r="H2203" s="18"/>
      <c r="I2203" s="24">
        <v>8.2228297125E10</v>
      </c>
      <c r="J2203" s="18" t="s">
        <v>7612</v>
      </c>
      <c r="K2203" s="18"/>
      <c r="L2203" s="18" t="s">
        <v>2312</v>
      </c>
    </row>
    <row r="2204">
      <c r="A2204" s="18" t="s">
        <v>7613</v>
      </c>
      <c r="B2204" s="18" t="s">
        <v>791</v>
      </c>
      <c r="C2204" s="18" t="s">
        <v>7614</v>
      </c>
      <c r="D2204" s="18"/>
      <c r="E2204" s="24">
        <v>8.5607840293E10</v>
      </c>
      <c r="F2204" s="24">
        <v>1.0</v>
      </c>
      <c r="G2204" s="18" t="s">
        <v>7614</v>
      </c>
      <c r="H2204" s="18"/>
      <c r="I2204" s="24">
        <v>8.5607840293E10</v>
      </c>
      <c r="J2204" s="18" t="s">
        <v>7126</v>
      </c>
      <c r="K2204" s="18"/>
      <c r="L2204" s="18" t="s">
        <v>4048</v>
      </c>
    </row>
    <row r="2205">
      <c r="A2205" s="18" t="s">
        <v>7615</v>
      </c>
      <c r="B2205" s="18" t="s">
        <v>791</v>
      </c>
      <c r="C2205" s="18" t="s">
        <v>7614</v>
      </c>
      <c r="D2205" s="18"/>
      <c r="E2205" s="24">
        <v>8.5707572717E10</v>
      </c>
      <c r="F2205" s="24">
        <v>1.0</v>
      </c>
      <c r="G2205" s="18" t="s">
        <v>7614</v>
      </c>
      <c r="H2205" s="18"/>
      <c r="I2205" s="24">
        <v>8.5707572717E10</v>
      </c>
      <c r="J2205" s="18" t="s">
        <v>7131</v>
      </c>
      <c r="K2205" s="18"/>
      <c r="L2205" s="18" t="s">
        <v>7616</v>
      </c>
    </row>
    <row r="2206">
      <c r="A2206" s="18" t="s">
        <v>7617</v>
      </c>
      <c r="B2206" s="18" t="s">
        <v>791</v>
      </c>
      <c r="C2206" s="18" t="s">
        <v>7614</v>
      </c>
      <c r="D2206" s="18"/>
      <c r="E2206" s="24">
        <v>8.5889171005E10</v>
      </c>
      <c r="F2206" s="24">
        <v>1.0</v>
      </c>
      <c r="G2206" s="18" t="s">
        <v>7614</v>
      </c>
      <c r="H2206" s="18"/>
      <c r="I2206" s="24">
        <v>8.5889171005E10</v>
      </c>
      <c r="J2206" s="18" t="s">
        <v>7618</v>
      </c>
      <c r="K2206" s="18"/>
      <c r="L2206" s="18" t="s">
        <v>4270</v>
      </c>
    </row>
    <row r="2207">
      <c r="A2207" s="18" t="s">
        <v>7619</v>
      </c>
      <c r="B2207" s="18" t="s">
        <v>791</v>
      </c>
      <c r="C2207" s="18" t="s">
        <v>7614</v>
      </c>
      <c r="D2207" s="18"/>
      <c r="E2207" s="24">
        <v>8.2331695666E10</v>
      </c>
      <c r="F2207" s="24">
        <v>1.0</v>
      </c>
      <c r="G2207" s="18" t="s">
        <v>7614</v>
      </c>
      <c r="H2207" s="18"/>
      <c r="I2207" s="24">
        <v>8.2331695666E10</v>
      </c>
      <c r="J2207" s="18" t="s">
        <v>7620</v>
      </c>
      <c r="K2207" s="18"/>
      <c r="L2207" s="18" t="s">
        <v>1958</v>
      </c>
    </row>
    <row r="2208">
      <c r="A2208" s="18" t="s">
        <v>7621</v>
      </c>
      <c r="B2208" s="18" t="s">
        <v>791</v>
      </c>
      <c r="C2208" s="18" t="s">
        <v>7609</v>
      </c>
      <c r="D2208" s="18"/>
      <c r="E2208" s="24">
        <v>8.121796676E10</v>
      </c>
      <c r="F2208" s="24">
        <v>1.0</v>
      </c>
      <c r="G2208" s="18" t="s">
        <v>7609</v>
      </c>
      <c r="H2208" s="18"/>
      <c r="I2208" s="24">
        <v>8.121796676E10</v>
      </c>
      <c r="J2208" s="18" t="s">
        <v>7622</v>
      </c>
      <c r="K2208" s="18"/>
      <c r="L2208" s="18" t="s">
        <v>3375</v>
      </c>
    </row>
    <row r="2209">
      <c r="A2209" s="18" t="s">
        <v>7623</v>
      </c>
      <c r="B2209" s="18" t="s">
        <v>791</v>
      </c>
      <c r="C2209" s="18" t="s">
        <v>7614</v>
      </c>
      <c r="D2209" s="18"/>
      <c r="E2209" s="24">
        <v>8.5337321218E10</v>
      </c>
      <c r="F2209" s="24">
        <v>1.0</v>
      </c>
      <c r="G2209" s="18" t="s">
        <v>7614</v>
      </c>
      <c r="H2209" s="18"/>
      <c r="I2209" s="24">
        <v>8.5337321218E10</v>
      </c>
      <c r="J2209" s="18" t="s">
        <v>7624</v>
      </c>
      <c r="K2209" s="18"/>
      <c r="L2209" s="18" t="s">
        <v>3751</v>
      </c>
    </row>
    <row r="2210">
      <c r="A2210" s="18" t="s">
        <v>7625</v>
      </c>
      <c r="B2210" s="18" t="s">
        <v>791</v>
      </c>
      <c r="C2210" s="18" t="s">
        <v>7626</v>
      </c>
      <c r="D2210" s="18"/>
      <c r="E2210" s="24">
        <v>8.1249391445E10</v>
      </c>
      <c r="F2210" s="24">
        <v>1.0</v>
      </c>
      <c r="G2210" s="18" t="s">
        <v>7626</v>
      </c>
      <c r="H2210" s="18"/>
      <c r="I2210" s="24">
        <v>8.1249391445E10</v>
      </c>
      <c r="J2210" s="18" t="s">
        <v>7627</v>
      </c>
      <c r="K2210" s="18"/>
      <c r="L2210" s="18" t="s">
        <v>2423</v>
      </c>
    </row>
    <row r="2211">
      <c r="A2211" s="18" t="s">
        <v>7628</v>
      </c>
      <c r="B2211" s="18" t="s">
        <v>791</v>
      </c>
      <c r="C2211" s="18" t="s">
        <v>7629</v>
      </c>
      <c r="D2211" s="18"/>
      <c r="E2211" s="24">
        <v>8.5732216596E10</v>
      </c>
      <c r="F2211" s="24">
        <v>1.0</v>
      </c>
      <c r="G2211" s="18" t="s">
        <v>7629</v>
      </c>
      <c r="H2211" s="18"/>
      <c r="I2211" s="24">
        <v>8.5732216596E10</v>
      </c>
      <c r="J2211" s="18" t="s">
        <v>7630</v>
      </c>
      <c r="K2211" s="18"/>
      <c r="L2211" s="18" t="s">
        <v>2491</v>
      </c>
    </row>
    <row r="2212">
      <c r="A2212" s="18" t="s">
        <v>7631</v>
      </c>
      <c r="B2212" s="18" t="s">
        <v>791</v>
      </c>
      <c r="C2212" s="18" t="s">
        <v>7632</v>
      </c>
      <c r="D2212" s="18"/>
      <c r="E2212" s="24">
        <v>8.5749143975E10</v>
      </c>
      <c r="F2212" s="24">
        <v>1.0</v>
      </c>
      <c r="G2212" s="18" t="s">
        <v>7632</v>
      </c>
      <c r="H2212" s="18"/>
      <c r="I2212" s="24">
        <v>8.5749143975E10</v>
      </c>
      <c r="J2212" s="18" t="s">
        <v>7633</v>
      </c>
      <c r="K2212" s="18"/>
      <c r="L2212" s="18" t="s">
        <v>7634</v>
      </c>
    </row>
    <row r="2213">
      <c r="A2213" s="18" t="s">
        <v>7635</v>
      </c>
      <c r="B2213" s="18" t="s">
        <v>791</v>
      </c>
      <c r="C2213" s="18" t="s">
        <v>7636</v>
      </c>
      <c r="D2213" s="18"/>
      <c r="E2213" s="24">
        <v>8.5708666077E10</v>
      </c>
      <c r="F2213" s="24">
        <v>1.0</v>
      </c>
      <c r="G2213" s="18" t="s">
        <v>7636</v>
      </c>
      <c r="H2213" s="18"/>
      <c r="I2213" s="24">
        <v>8.5708666077E10</v>
      </c>
      <c r="J2213" s="18" t="s">
        <v>7637</v>
      </c>
      <c r="K2213" s="18"/>
      <c r="L2213" s="18" t="s">
        <v>7424</v>
      </c>
    </row>
    <row r="2214">
      <c r="A2214" s="18" t="s">
        <v>7638</v>
      </c>
      <c r="B2214" s="18" t="s">
        <v>791</v>
      </c>
      <c r="C2214" s="18" t="s">
        <v>7632</v>
      </c>
      <c r="D2214" s="18"/>
      <c r="E2214" s="24">
        <v>8.1330217814E10</v>
      </c>
      <c r="F2214" s="24">
        <v>1.0</v>
      </c>
      <c r="G2214" s="18" t="s">
        <v>7632</v>
      </c>
      <c r="H2214" s="18"/>
      <c r="I2214" s="24">
        <v>8.1330217814E10</v>
      </c>
      <c r="J2214" s="18" t="s">
        <v>7502</v>
      </c>
      <c r="K2214" s="18"/>
      <c r="L2214" s="18" t="s">
        <v>2332</v>
      </c>
    </row>
    <row r="2215">
      <c r="A2215" s="18" t="s">
        <v>7639</v>
      </c>
      <c r="B2215" s="18" t="s">
        <v>791</v>
      </c>
      <c r="C2215" s="18" t="s">
        <v>7636</v>
      </c>
      <c r="D2215" s="18"/>
      <c r="E2215" s="24">
        <v>8.2132077369E10</v>
      </c>
      <c r="F2215" s="24">
        <v>1.0</v>
      </c>
      <c r="G2215" s="18" t="s">
        <v>7636</v>
      </c>
      <c r="H2215" s="18"/>
      <c r="I2215" s="24">
        <v>8.2132077369E10</v>
      </c>
      <c r="J2215" s="18" t="s">
        <v>7640</v>
      </c>
      <c r="K2215" s="18"/>
      <c r="L2215" s="18" t="s">
        <v>7641</v>
      </c>
    </row>
    <row r="2216">
      <c r="A2216" s="18" t="s">
        <v>7642</v>
      </c>
      <c r="B2216" s="18" t="s">
        <v>791</v>
      </c>
      <c r="C2216" s="18" t="s">
        <v>7636</v>
      </c>
      <c r="D2216" s="18"/>
      <c r="E2216" s="24">
        <v>8.533617612E10</v>
      </c>
      <c r="F2216" s="24">
        <v>1.0</v>
      </c>
      <c r="G2216" s="18" t="s">
        <v>7636</v>
      </c>
      <c r="H2216" s="18"/>
      <c r="I2216" s="24">
        <v>8.533617612E10</v>
      </c>
      <c r="J2216" s="18" t="s">
        <v>7643</v>
      </c>
      <c r="K2216" s="18"/>
      <c r="L2216" s="18" t="s">
        <v>3068</v>
      </c>
    </row>
    <row r="2217">
      <c r="A2217" s="18" t="s">
        <v>7644</v>
      </c>
      <c r="B2217" s="18" t="s">
        <v>791</v>
      </c>
      <c r="C2217" s="18" t="s">
        <v>7645</v>
      </c>
      <c r="D2217" s="18"/>
      <c r="E2217" s="24">
        <v>8.533596015E10</v>
      </c>
      <c r="F2217" s="24">
        <v>1.0</v>
      </c>
      <c r="G2217" s="18" t="s">
        <v>7645</v>
      </c>
      <c r="H2217" s="18"/>
      <c r="I2217" s="24">
        <v>8.533596015E10</v>
      </c>
      <c r="J2217" s="18" t="s">
        <v>7588</v>
      </c>
      <c r="K2217" s="18"/>
      <c r="L2217" s="18" t="s">
        <v>1685</v>
      </c>
    </row>
    <row r="2218">
      <c r="A2218" s="18" t="s">
        <v>7646</v>
      </c>
      <c r="B2218" s="18" t="s">
        <v>791</v>
      </c>
      <c r="C2218" s="18" t="s">
        <v>1353</v>
      </c>
      <c r="D2218" s="18"/>
      <c r="E2218" s="24">
        <v>8.5235003272E10</v>
      </c>
      <c r="F2218" s="24">
        <v>1.0</v>
      </c>
      <c r="G2218" s="18" t="s">
        <v>1353</v>
      </c>
      <c r="H2218" s="18"/>
      <c r="I2218" s="24">
        <v>8.5235003272E10</v>
      </c>
      <c r="J2218" s="18" t="s">
        <v>7647</v>
      </c>
      <c r="K2218" s="18"/>
      <c r="L2218" s="18" t="s">
        <v>5442</v>
      </c>
    </row>
    <row r="2219">
      <c r="A2219" s="18" t="s">
        <v>7648</v>
      </c>
      <c r="B2219" s="18" t="s">
        <v>791</v>
      </c>
      <c r="C2219" s="18" t="s">
        <v>1353</v>
      </c>
      <c r="D2219" s="18"/>
      <c r="E2219" s="24">
        <v>8.5731615748E10</v>
      </c>
      <c r="F2219" s="24">
        <v>1.0</v>
      </c>
      <c r="G2219" s="18" t="s">
        <v>1353</v>
      </c>
      <c r="H2219" s="18"/>
      <c r="I2219" s="24">
        <v>8.5731615748E10</v>
      </c>
      <c r="J2219" s="18" t="s">
        <v>6601</v>
      </c>
      <c r="K2219" s="18"/>
      <c r="L2219" s="18" t="s">
        <v>5426</v>
      </c>
    </row>
    <row r="2220">
      <c r="A2220" s="18" t="s">
        <v>7649</v>
      </c>
      <c r="B2220" s="18" t="s">
        <v>791</v>
      </c>
      <c r="C2220" s="18" t="s">
        <v>1353</v>
      </c>
      <c r="D2220" s="18"/>
      <c r="E2220" s="24">
        <v>8.5230422519E10</v>
      </c>
      <c r="F2220" s="24">
        <v>1.0</v>
      </c>
      <c r="G2220" s="18" t="s">
        <v>1353</v>
      </c>
      <c r="H2220" s="18"/>
      <c r="I2220" s="24">
        <v>8.5230422519E10</v>
      </c>
      <c r="J2220" s="18" t="s">
        <v>7650</v>
      </c>
      <c r="K2220" s="18"/>
      <c r="L2220" s="18" t="s">
        <v>3137</v>
      </c>
    </row>
    <row r="2221">
      <c r="A2221" s="18" t="s">
        <v>7651</v>
      </c>
      <c r="B2221" s="18" t="s">
        <v>791</v>
      </c>
      <c r="C2221" s="18" t="s">
        <v>1353</v>
      </c>
      <c r="D2221" s="18"/>
      <c r="E2221" s="24">
        <v>8.1259791177E10</v>
      </c>
      <c r="F2221" s="24">
        <v>1.0</v>
      </c>
      <c r="G2221" s="18" t="s">
        <v>1353</v>
      </c>
      <c r="H2221" s="18"/>
      <c r="I2221" s="24">
        <v>8.1259791177E10</v>
      </c>
      <c r="J2221" s="18" t="s">
        <v>7652</v>
      </c>
      <c r="K2221" s="18"/>
      <c r="L2221" s="18" t="s">
        <v>7653</v>
      </c>
    </row>
    <row r="2222">
      <c r="A2222" s="18" t="s">
        <v>7654</v>
      </c>
      <c r="B2222" s="18" t="s">
        <v>791</v>
      </c>
      <c r="C2222" s="18" t="s">
        <v>1353</v>
      </c>
      <c r="D2222" s="18"/>
      <c r="E2222" s="24">
        <v>8.1556715577E10</v>
      </c>
      <c r="F2222" s="24">
        <v>1.0</v>
      </c>
      <c r="G2222" s="18" t="s">
        <v>1353</v>
      </c>
      <c r="H2222" s="18"/>
      <c r="I2222" s="24">
        <v>8.1556715577E10</v>
      </c>
      <c r="J2222" s="18" t="s">
        <v>7655</v>
      </c>
      <c r="K2222" s="18"/>
      <c r="L2222" s="18" t="s">
        <v>5271</v>
      </c>
    </row>
    <row r="2223">
      <c r="A2223" s="18" t="s">
        <v>7656</v>
      </c>
      <c r="B2223" s="18" t="s">
        <v>791</v>
      </c>
      <c r="C2223" s="18" t="s">
        <v>1353</v>
      </c>
      <c r="D2223" s="18"/>
      <c r="E2223" s="24">
        <v>8.5755212106E10</v>
      </c>
      <c r="F2223" s="24">
        <v>1.0</v>
      </c>
      <c r="G2223" s="18" t="s">
        <v>1353</v>
      </c>
      <c r="H2223" s="18"/>
      <c r="I2223" s="24">
        <v>8.5755212106E10</v>
      </c>
      <c r="J2223" s="18" t="s">
        <v>7657</v>
      </c>
      <c r="K2223" s="18"/>
      <c r="L2223" s="18" t="s">
        <v>3610</v>
      </c>
    </row>
    <row r="2224">
      <c r="A2224" s="18" t="s">
        <v>7658</v>
      </c>
      <c r="B2224" s="18" t="s">
        <v>791</v>
      </c>
      <c r="C2224" s="18" t="s">
        <v>1353</v>
      </c>
      <c r="D2224" s="18"/>
      <c r="E2224" s="24">
        <v>8.2231787394E10</v>
      </c>
      <c r="F2224" s="24">
        <v>1.0</v>
      </c>
      <c r="G2224" s="18" t="s">
        <v>1353</v>
      </c>
      <c r="H2224" s="18"/>
      <c r="I2224" s="24">
        <v>8.2231787394E10</v>
      </c>
      <c r="J2224" s="18" t="s">
        <v>7659</v>
      </c>
      <c r="K2224" s="18"/>
      <c r="L2224" s="18" t="s">
        <v>3452</v>
      </c>
    </row>
    <row r="2225">
      <c r="A2225" s="18" t="s">
        <v>7660</v>
      </c>
      <c r="B2225" s="18" t="s">
        <v>791</v>
      </c>
      <c r="C2225" s="18" t="s">
        <v>7661</v>
      </c>
      <c r="D2225" s="18"/>
      <c r="E2225" s="24">
        <v>8.5233879638E10</v>
      </c>
      <c r="F2225" s="24">
        <v>1.0</v>
      </c>
      <c r="G2225" s="18" t="s">
        <v>7661</v>
      </c>
      <c r="H2225" s="18"/>
      <c r="I2225" s="24">
        <v>8.5233879638E10</v>
      </c>
      <c r="J2225" s="18" t="s">
        <v>4997</v>
      </c>
      <c r="K2225" s="18"/>
      <c r="L2225" s="18" t="s">
        <v>3829</v>
      </c>
    </row>
    <row r="2226">
      <c r="A2226" s="18" t="s">
        <v>7662</v>
      </c>
      <c r="B2226" s="18" t="s">
        <v>791</v>
      </c>
      <c r="C2226" s="18" t="s">
        <v>1353</v>
      </c>
      <c r="D2226" s="18"/>
      <c r="E2226" s="24">
        <v>8.5954447637E10</v>
      </c>
      <c r="F2226" s="24">
        <v>1.0</v>
      </c>
      <c r="G2226" s="18" t="s">
        <v>1353</v>
      </c>
      <c r="H2226" s="18"/>
      <c r="I2226" s="24">
        <v>8.5954447637E10</v>
      </c>
      <c r="J2226" s="18" t="s">
        <v>7663</v>
      </c>
      <c r="K2226" s="18"/>
      <c r="L2226" s="18" t="s">
        <v>5286</v>
      </c>
    </row>
    <row r="2227">
      <c r="A2227" s="18" t="s">
        <v>1349</v>
      </c>
      <c r="B2227" s="18" t="s">
        <v>791</v>
      </c>
      <c r="C2227" s="18" t="s">
        <v>1353</v>
      </c>
      <c r="D2227" s="18"/>
      <c r="E2227" s="24">
        <v>8.5784809735E10</v>
      </c>
      <c r="F2227" s="24">
        <v>1.0</v>
      </c>
      <c r="G2227" s="18" t="s">
        <v>1353</v>
      </c>
      <c r="H2227" s="18"/>
      <c r="I2227" s="24">
        <v>8.5784809735E10</v>
      </c>
      <c r="J2227" s="18" t="s">
        <v>1352</v>
      </c>
      <c r="K2227" s="18"/>
      <c r="L2227" s="18" t="s">
        <v>1315</v>
      </c>
    </row>
    <row r="2228">
      <c r="A2228" s="18" t="s">
        <v>7664</v>
      </c>
      <c r="B2228" s="18" t="s">
        <v>791</v>
      </c>
      <c r="C2228" s="18" t="s">
        <v>1353</v>
      </c>
      <c r="D2228" s="18"/>
      <c r="E2228" s="24">
        <v>8.125919566E10</v>
      </c>
      <c r="F2228" s="24">
        <v>1.0</v>
      </c>
      <c r="G2228" s="18" t="s">
        <v>1353</v>
      </c>
      <c r="H2228" s="18"/>
      <c r="I2228" s="24">
        <v>8.125919566E10</v>
      </c>
      <c r="J2228" s="18" t="s">
        <v>7665</v>
      </c>
      <c r="K2228" s="18"/>
      <c r="L2228" s="18" t="s">
        <v>5781</v>
      </c>
    </row>
    <row r="2229">
      <c r="A2229" s="18" t="s">
        <v>7666</v>
      </c>
      <c r="B2229" s="18" t="s">
        <v>791</v>
      </c>
      <c r="C2229" s="18" t="s">
        <v>7667</v>
      </c>
      <c r="D2229" s="18"/>
      <c r="E2229" s="24">
        <v>8.5233641243E10</v>
      </c>
      <c r="F2229" s="24">
        <v>1.0</v>
      </c>
      <c r="G2229" s="18" t="s">
        <v>7667</v>
      </c>
      <c r="H2229" s="18"/>
      <c r="I2229" s="24">
        <v>8.5233641243E10</v>
      </c>
      <c r="J2229" s="18" t="s">
        <v>7295</v>
      </c>
      <c r="K2229" s="18"/>
      <c r="L2229" s="18" t="s">
        <v>1470</v>
      </c>
    </row>
    <row r="2230">
      <c r="A2230" s="18" t="s">
        <v>7668</v>
      </c>
      <c r="B2230" s="18" t="s">
        <v>791</v>
      </c>
      <c r="C2230" s="18" t="s">
        <v>7669</v>
      </c>
      <c r="D2230" s="18"/>
      <c r="E2230" s="24">
        <v>8.5336837352E10</v>
      </c>
      <c r="F2230" s="24">
        <v>1.0</v>
      </c>
      <c r="G2230" s="18" t="s">
        <v>7669</v>
      </c>
      <c r="H2230" s="18"/>
      <c r="I2230" s="24">
        <v>8.5336837352E10</v>
      </c>
      <c r="J2230" s="18" t="s">
        <v>7670</v>
      </c>
      <c r="K2230" s="18"/>
      <c r="L2230" s="18" t="s">
        <v>1482</v>
      </c>
    </row>
    <row r="2231">
      <c r="A2231" s="18" t="s">
        <v>1247</v>
      </c>
      <c r="B2231" s="18" t="s">
        <v>791</v>
      </c>
      <c r="C2231" s="18" t="s">
        <v>1249</v>
      </c>
      <c r="D2231" s="18"/>
      <c r="E2231" s="24">
        <v>8.5235665155E10</v>
      </c>
      <c r="F2231" s="24">
        <v>1.0</v>
      </c>
      <c r="G2231" s="18" t="s">
        <v>1249</v>
      </c>
      <c r="H2231" s="18"/>
      <c r="I2231" s="24">
        <v>8.5235665155E10</v>
      </c>
      <c r="J2231" s="18" t="s">
        <v>1248</v>
      </c>
      <c r="K2231" s="18"/>
      <c r="L2231" s="18" t="s">
        <v>949</v>
      </c>
    </row>
    <row r="2232">
      <c r="A2232" s="18" t="s">
        <v>7672</v>
      </c>
      <c r="B2232" s="18" t="s">
        <v>791</v>
      </c>
      <c r="C2232" s="18" t="s">
        <v>1222</v>
      </c>
      <c r="D2232" s="18"/>
      <c r="E2232" s="24">
        <v>8.1359267063E10</v>
      </c>
      <c r="F2232" s="24">
        <v>1.0</v>
      </c>
      <c r="G2232" s="18" t="s">
        <v>1222</v>
      </c>
      <c r="H2232" s="18"/>
      <c r="I2232" s="24">
        <v>8.1359267063E10</v>
      </c>
      <c r="J2232" s="18" t="s">
        <v>7400</v>
      </c>
      <c r="K2232" s="18"/>
      <c r="L2232" s="18" t="s">
        <v>5399</v>
      </c>
    </row>
    <row r="2233">
      <c r="A2233" s="18" t="s">
        <v>7673</v>
      </c>
      <c r="B2233" s="18" t="s">
        <v>791</v>
      </c>
      <c r="C2233" s="18" t="s">
        <v>1222</v>
      </c>
      <c r="D2233" s="18"/>
      <c r="E2233" s="24">
        <v>8.1335810232E10</v>
      </c>
      <c r="F2233" s="24">
        <v>1.0</v>
      </c>
      <c r="G2233" s="18" t="s">
        <v>1222</v>
      </c>
      <c r="H2233" s="18"/>
      <c r="I2233" s="24">
        <v>8.1335810232E10</v>
      </c>
      <c r="J2233" s="18" t="s">
        <v>7262</v>
      </c>
      <c r="K2233" s="18"/>
      <c r="L2233" s="18" t="s">
        <v>1470</v>
      </c>
    </row>
    <row r="2234">
      <c r="A2234" s="18" t="s">
        <v>1220</v>
      </c>
      <c r="B2234" s="18" t="s">
        <v>791</v>
      </c>
      <c r="C2234" s="18" t="s">
        <v>1222</v>
      </c>
      <c r="D2234" s="18"/>
      <c r="E2234" s="24">
        <v>6.28563622003E11</v>
      </c>
      <c r="F2234" s="24">
        <v>1.0</v>
      </c>
      <c r="G2234" s="18" t="s">
        <v>1222</v>
      </c>
      <c r="H2234" s="18"/>
      <c r="I2234" s="24">
        <v>6.28563622003E11</v>
      </c>
      <c r="J2234" s="18" t="s">
        <v>1221</v>
      </c>
      <c r="K2234" s="18"/>
      <c r="L2234" s="18" t="s">
        <v>1223</v>
      </c>
    </row>
    <row r="2235">
      <c r="A2235" s="18" t="s">
        <v>7674</v>
      </c>
      <c r="B2235" s="18" t="s">
        <v>791</v>
      </c>
      <c r="C2235" s="18" t="s">
        <v>7675</v>
      </c>
      <c r="D2235" s="18"/>
      <c r="E2235" s="24">
        <v>8.5235645732E10</v>
      </c>
      <c r="F2235" s="24">
        <v>1.0</v>
      </c>
      <c r="G2235" s="18" t="s">
        <v>7675</v>
      </c>
      <c r="H2235" s="18"/>
      <c r="I2235" s="24">
        <v>8.5235645732E10</v>
      </c>
      <c r="J2235" s="18" t="s">
        <v>6091</v>
      </c>
      <c r="K2235" s="18"/>
      <c r="L2235" s="18" t="s">
        <v>4504</v>
      </c>
    </row>
    <row r="2236">
      <c r="A2236" s="18" t="s">
        <v>7676</v>
      </c>
      <c r="B2236" s="18" t="s">
        <v>791</v>
      </c>
      <c r="C2236" s="18" t="s">
        <v>7677</v>
      </c>
      <c r="D2236" s="18"/>
      <c r="E2236" s="24">
        <v>8.1249434024E10</v>
      </c>
      <c r="F2236" s="24">
        <v>1.0</v>
      </c>
      <c r="G2236" s="18" t="s">
        <v>7677</v>
      </c>
      <c r="H2236" s="18"/>
      <c r="I2236" s="24">
        <v>8.1249434024E10</v>
      </c>
      <c r="J2236" s="18" t="s">
        <v>7678</v>
      </c>
      <c r="K2236" s="18"/>
      <c r="L2236" s="18" t="s">
        <v>1806</v>
      </c>
    </row>
    <row r="2237">
      <c r="A2237" s="18" t="s">
        <v>7679</v>
      </c>
      <c r="B2237" s="18" t="s">
        <v>791</v>
      </c>
      <c r="C2237" s="18" t="s">
        <v>7680</v>
      </c>
      <c r="D2237" s="18"/>
      <c r="E2237" s="24">
        <v>8.563483327E9</v>
      </c>
      <c r="F2237" s="24">
        <v>1.0</v>
      </c>
      <c r="G2237" s="18" t="s">
        <v>7680</v>
      </c>
      <c r="H2237" s="18"/>
      <c r="I2237" s="24">
        <v>8.563483327E9</v>
      </c>
      <c r="J2237" s="18" t="s">
        <v>7681</v>
      </c>
      <c r="K2237" s="18"/>
      <c r="L2237" s="18" t="s">
        <v>2308</v>
      </c>
    </row>
    <row r="2238">
      <c r="A2238" s="18" t="s">
        <v>7682</v>
      </c>
      <c r="B2238" s="18" t="s">
        <v>791</v>
      </c>
      <c r="C2238" s="18" t="s">
        <v>7683</v>
      </c>
      <c r="D2238" s="18"/>
      <c r="E2238" s="24">
        <v>8.817124623E9</v>
      </c>
      <c r="F2238" s="24">
        <v>1.0</v>
      </c>
      <c r="G2238" s="18" t="s">
        <v>7683</v>
      </c>
      <c r="H2238" s="18"/>
      <c r="I2238" s="24">
        <v>8.817124623E9</v>
      </c>
      <c r="J2238" s="24">
        <v>3.5210106077E15</v>
      </c>
      <c r="K2238" s="18"/>
      <c r="L2238" s="18" t="s">
        <v>2921</v>
      </c>
    </row>
    <row r="2239">
      <c r="A2239" s="18" t="s">
        <v>7684</v>
      </c>
      <c r="B2239" s="18" t="s">
        <v>791</v>
      </c>
      <c r="C2239" s="18" t="s">
        <v>7685</v>
      </c>
      <c r="D2239" s="18"/>
      <c r="E2239" s="24">
        <v>8.1459114506E10</v>
      </c>
      <c r="F2239" s="24">
        <v>1.0</v>
      </c>
      <c r="G2239" s="18" t="s">
        <v>7685</v>
      </c>
      <c r="H2239" s="18"/>
      <c r="I2239" s="24">
        <v>8.1459114506E10</v>
      </c>
      <c r="J2239" s="18" t="s">
        <v>7686</v>
      </c>
      <c r="K2239" s="18"/>
      <c r="L2239" s="18" t="s">
        <v>3642</v>
      </c>
    </row>
    <row r="2240">
      <c r="A2240" s="18" t="s">
        <v>7687</v>
      </c>
      <c r="B2240" s="18" t="s">
        <v>791</v>
      </c>
      <c r="C2240" s="18" t="s">
        <v>7688</v>
      </c>
      <c r="D2240" s="18"/>
      <c r="E2240" s="24">
        <v>8.5813525533E10</v>
      </c>
      <c r="F2240" s="24">
        <v>1.0</v>
      </c>
      <c r="G2240" s="18" t="s">
        <v>7688</v>
      </c>
      <c r="H2240" s="18"/>
      <c r="I2240" s="24">
        <v>8.5813525533E10</v>
      </c>
      <c r="J2240" s="18" t="s">
        <v>7163</v>
      </c>
      <c r="K2240" s="18"/>
      <c r="L2240" s="18" t="s">
        <v>7689</v>
      </c>
    </row>
    <row r="2241">
      <c r="A2241" s="18" t="s">
        <v>7135</v>
      </c>
      <c r="B2241" s="18" t="s">
        <v>791</v>
      </c>
      <c r="C2241" s="18" t="s">
        <v>7136</v>
      </c>
      <c r="D2241" s="18"/>
      <c r="E2241" s="24">
        <v>2.0</v>
      </c>
      <c r="F2241" s="24">
        <v>1.0</v>
      </c>
      <c r="G2241" s="18" t="s">
        <v>7136</v>
      </c>
      <c r="H2241" s="18"/>
      <c r="I2241" s="24">
        <v>2.0</v>
      </c>
      <c r="J2241" s="18" t="s">
        <v>7137</v>
      </c>
      <c r="K2241" s="18"/>
      <c r="L2241" s="18" t="s">
        <v>1466</v>
      </c>
    </row>
    <row r="2242">
      <c r="A2242" s="18" t="s">
        <v>7690</v>
      </c>
      <c r="B2242" s="18" t="s">
        <v>791</v>
      </c>
      <c r="C2242" s="18" t="s">
        <v>7691</v>
      </c>
      <c r="D2242" s="18"/>
      <c r="E2242" s="18"/>
      <c r="F2242" s="24">
        <v>1.0</v>
      </c>
      <c r="G2242" s="18" t="s">
        <v>7691</v>
      </c>
      <c r="H2242" s="18"/>
      <c r="I2242" s="18"/>
      <c r="J2242" s="18" t="s">
        <v>7692</v>
      </c>
      <c r="K2242" s="18"/>
      <c r="L2242" s="18"/>
    </row>
    <row r="2243">
      <c r="A2243" s="18" t="s">
        <v>7693</v>
      </c>
      <c r="B2243" s="18" t="s">
        <v>791</v>
      </c>
      <c r="C2243" s="18" t="s">
        <v>7694</v>
      </c>
      <c r="D2243" s="18"/>
      <c r="E2243" s="24">
        <v>8.5235792018E10</v>
      </c>
      <c r="F2243" s="24">
        <v>1.0</v>
      </c>
      <c r="G2243" s="18" t="s">
        <v>7694</v>
      </c>
      <c r="H2243" s="18"/>
      <c r="I2243" s="24">
        <v>8.5235792018E10</v>
      </c>
      <c r="J2243" s="18" t="s">
        <v>7695</v>
      </c>
      <c r="K2243" s="18"/>
      <c r="L2243" s="18" t="s">
        <v>5903</v>
      </c>
    </row>
    <row r="2244">
      <c r="A2244" s="18" t="s">
        <v>7696</v>
      </c>
      <c r="B2244" s="18" t="s">
        <v>791</v>
      </c>
      <c r="C2244" s="18" t="s">
        <v>7697</v>
      </c>
      <c r="D2244" s="18"/>
      <c r="E2244" s="24">
        <v>8.5334913739E10</v>
      </c>
      <c r="F2244" s="24">
        <v>1.0</v>
      </c>
      <c r="G2244" s="18" t="s">
        <v>7697</v>
      </c>
      <c r="H2244" s="18"/>
      <c r="I2244" s="24">
        <v>8.5334913739E10</v>
      </c>
      <c r="J2244" s="18" t="s">
        <v>5962</v>
      </c>
      <c r="K2244" s="18"/>
      <c r="L2244" s="18" t="s">
        <v>1681</v>
      </c>
    </row>
    <row r="2245">
      <c r="A2245" s="18" t="s">
        <v>7698</v>
      </c>
      <c r="B2245" s="18" t="s">
        <v>791</v>
      </c>
      <c r="C2245" s="18" t="s">
        <v>7699</v>
      </c>
      <c r="D2245" s="18"/>
      <c r="E2245" s="24">
        <v>8.570857555E10</v>
      </c>
      <c r="F2245" s="24">
        <v>1.0</v>
      </c>
      <c r="G2245" s="18" t="s">
        <v>7699</v>
      </c>
      <c r="H2245" s="18"/>
      <c r="I2245" s="24">
        <v>8.570857555E10</v>
      </c>
      <c r="J2245" s="18" t="s">
        <v>6101</v>
      </c>
      <c r="K2245" s="18"/>
      <c r="L2245" s="18" t="s">
        <v>4504</v>
      </c>
    </row>
    <row r="2246">
      <c r="A2246" s="18" t="s">
        <v>7701</v>
      </c>
      <c r="B2246" s="18" t="s">
        <v>791</v>
      </c>
      <c r="C2246" s="18" t="s">
        <v>7697</v>
      </c>
      <c r="D2246" s="18"/>
      <c r="E2246" s="24">
        <v>8.5235256947E10</v>
      </c>
      <c r="F2246" s="24">
        <v>1.0</v>
      </c>
      <c r="G2246" s="18" t="s">
        <v>7697</v>
      </c>
      <c r="H2246" s="18"/>
      <c r="I2246" s="24">
        <v>8.5235256947E10</v>
      </c>
      <c r="J2246" s="18" t="s">
        <v>7702</v>
      </c>
      <c r="K2246" s="18"/>
      <c r="L2246" s="18" t="s">
        <v>2689</v>
      </c>
    </row>
    <row r="2247">
      <c r="A2247" s="18" t="s">
        <v>7703</v>
      </c>
      <c r="B2247" s="18" t="s">
        <v>791</v>
      </c>
      <c r="C2247" s="18" t="s">
        <v>7704</v>
      </c>
      <c r="D2247" s="18"/>
      <c r="E2247" s="24">
        <v>8.1335944752E10</v>
      </c>
      <c r="F2247" s="24">
        <v>1.0</v>
      </c>
      <c r="G2247" s="18" t="s">
        <v>7704</v>
      </c>
      <c r="H2247" s="18"/>
      <c r="I2247" s="24">
        <v>8.1335944752E10</v>
      </c>
      <c r="J2247" s="18" t="s">
        <v>7705</v>
      </c>
      <c r="K2247" s="18"/>
      <c r="L2247" s="18" t="s">
        <v>3273</v>
      </c>
    </row>
    <row r="2248">
      <c r="A2248" s="18" t="s">
        <v>7706</v>
      </c>
      <c r="B2248" s="18" t="s">
        <v>791</v>
      </c>
      <c r="C2248" s="18" t="s">
        <v>7707</v>
      </c>
      <c r="D2248" s="18"/>
      <c r="E2248" s="24">
        <v>8.2213806393E10</v>
      </c>
      <c r="F2248" s="24">
        <v>1.0</v>
      </c>
      <c r="G2248" s="18" t="s">
        <v>7707</v>
      </c>
      <c r="H2248" s="18"/>
      <c r="I2248" s="24">
        <v>8.2213806393E10</v>
      </c>
      <c r="J2248" s="18" t="s">
        <v>7709</v>
      </c>
      <c r="K2248" s="18"/>
      <c r="L2248" s="18" t="s">
        <v>3375</v>
      </c>
    </row>
    <row r="2249">
      <c r="A2249" s="18" t="s">
        <v>7710</v>
      </c>
      <c r="B2249" s="18" t="s">
        <v>791</v>
      </c>
      <c r="C2249" s="18" t="s">
        <v>7711</v>
      </c>
      <c r="D2249" s="18"/>
      <c r="E2249" s="24">
        <v>8.5293854445E10</v>
      </c>
      <c r="F2249" s="24">
        <v>1.0</v>
      </c>
      <c r="G2249" s="18" t="s">
        <v>7711</v>
      </c>
      <c r="H2249" s="18"/>
      <c r="I2249" s="24">
        <v>8.5293854445E10</v>
      </c>
      <c r="J2249" s="18" t="s">
        <v>7713</v>
      </c>
      <c r="K2249" s="18"/>
      <c r="L2249" s="18" t="s">
        <v>7364</v>
      </c>
    </row>
    <row r="2250">
      <c r="A2250" s="18" t="s">
        <v>7714</v>
      </c>
      <c r="B2250" s="18" t="s">
        <v>791</v>
      </c>
      <c r="C2250" s="18" t="s">
        <v>7715</v>
      </c>
      <c r="D2250" s="18"/>
      <c r="E2250" s="24">
        <v>8.5853471211E10</v>
      </c>
      <c r="F2250" s="24">
        <v>1.0</v>
      </c>
      <c r="G2250" s="18" t="s">
        <v>7715</v>
      </c>
      <c r="H2250" s="18"/>
      <c r="I2250" s="24">
        <v>8.5853471211E10</v>
      </c>
      <c r="J2250" s="18" t="s">
        <v>7716</v>
      </c>
      <c r="K2250" s="18"/>
      <c r="L2250" s="18" t="s">
        <v>2132</v>
      </c>
    </row>
    <row r="2251">
      <c r="A2251" s="18" t="s">
        <v>7717</v>
      </c>
      <c r="B2251" s="18" t="s">
        <v>791</v>
      </c>
      <c r="C2251" s="18" t="s">
        <v>7718</v>
      </c>
      <c r="D2251" s="18"/>
      <c r="E2251" s="24">
        <v>8.2334668497E10</v>
      </c>
      <c r="F2251" s="24">
        <v>1.0</v>
      </c>
      <c r="G2251" s="18" t="s">
        <v>7718</v>
      </c>
      <c r="H2251" s="18"/>
      <c r="I2251" s="24">
        <v>8.2334668497E10</v>
      </c>
      <c r="J2251" s="18" t="s">
        <v>7719</v>
      </c>
      <c r="K2251" s="18"/>
      <c r="L2251" s="18" t="s">
        <v>7067</v>
      </c>
    </row>
    <row r="2252">
      <c r="A2252" s="18" t="s">
        <v>7720</v>
      </c>
      <c r="B2252" s="18" t="s">
        <v>791</v>
      </c>
      <c r="C2252" s="18" t="s">
        <v>7721</v>
      </c>
      <c r="D2252" s="18"/>
      <c r="E2252" s="24">
        <v>8.2332409958E10</v>
      </c>
      <c r="F2252" s="24">
        <v>1.0</v>
      </c>
      <c r="G2252" s="18" t="s">
        <v>7721</v>
      </c>
      <c r="H2252" s="18"/>
      <c r="I2252" s="24">
        <v>8.2332409958E10</v>
      </c>
      <c r="J2252" s="18" t="s">
        <v>7722</v>
      </c>
      <c r="K2252" s="18"/>
      <c r="L2252" s="18" t="s">
        <v>2098</v>
      </c>
    </row>
    <row r="2253">
      <c r="A2253" s="18" t="s">
        <v>7723</v>
      </c>
      <c r="B2253" s="18" t="s">
        <v>791</v>
      </c>
      <c r="C2253" s="18" t="s">
        <v>7724</v>
      </c>
      <c r="D2253" s="18"/>
      <c r="E2253" s="24">
        <v>8.2140181921E10</v>
      </c>
      <c r="F2253" s="24">
        <v>1.0</v>
      </c>
      <c r="G2253" s="18" t="s">
        <v>7724</v>
      </c>
      <c r="H2253" s="18"/>
      <c r="I2253" s="24">
        <v>8.2140181921E10</v>
      </c>
      <c r="J2253" s="18" t="s">
        <v>7725</v>
      </c>
      <c r="K2253" s="18"/>
      <c r="L2253" s="18" t="s">
        <v>7368</v>
      </c>
    </row>
    <row r="2254">
      <c r="A2254" s="18" t="s">
        <v>7726</v>
      </c>
      <c r="B2254" s="18" t="s">
        <v>791</v>
      </c>
      <c r="C2254" s="18" t="s">
        <v>7727</v>
      </c>
      <c r="D2254" s="18"/>
      <c r="E2254" s="24">
        <v>8.1252386006E10</v>
      </c>
      <c r="F2254" s="24">
        <v>1.0</v>
      </c>
      <c r="G2254" s="18" t="s">
        <v>7727</v>
      </c>
      <c r="H2254" s="18"/>
      <c r="I2254" s="24">
        <v>8.1252386006E10</v>
      </c>
      <c r="J2254" s="18" t="s">
        <v>7728</v>
      </c>
      <c r="K2254" s="18"/>
      <c r="L2254" s="18" t="s">
        <v>5023</v>
      </c>
    </row>
    <row r="2255">
      <c r="A2255" s="18" t="s">
        <v>7729</v>
      </c>
      <c r="B2255" s="18" t="s">
        <v>791</v>
      </c>
      <c r="C2255" s="18" t="s">
        <v>7730</v>
      </c>
      <c r="D2255" s="18"/>
      <c r="E2255" s="24">
        <v>8.5259935813E10</v>
      </c>
      <c r="F2255" s="24">
        <v>1.0</v>
      </c>
      <c r="G2255" s="18" t="s">
        <v>7730</v>
      </c>
      <c r="H2255" s="18"/>
      <c r="I2255" s="24">
        <v>8.5259935813E10</v>
      </c>
      <c r="J2255" s="18" t="s">
        <v>7731</v>
      </c>
      <c r="K2255" s="18"/>
      <c r="L2255" s="18" t="s">
        <v>7732</v>
      </c>
    </row>
    <row r="2256">
      <c r="A2256" s="18" t="s">
        <v>7733</v>
      </c>
      <c r="B2256" s="18" t="s">
        <v>791</v>
      </c>
      <c r="C2256" s="18" t="s">
        <v>7734</v>
      </c>
      <c r="D2256" s="18"/>
      <c r="E2256" s="24">
        <v>8.5331754946E10</v>
      </c>
      <c r="F2256" s="24">
        <v>1.0</v>
      </c>
      <c r="G2256" s="18" t="s">
        <v>7734</v>
      </c>
      <c r="H2256" s="18"/>
      <c r="I2256" s="24">
        <v>8.5331754946E10</v>
      </c>
      <c r="J2256" s="18" t="s">
        <v>6415</v>
      </c>
      <c r="K2256" s="18"/>
      <c r="L2256" s="18" t="s">
        <v>2354</v>
      </c>
    </row>
    <row r="2257">
      <c r="A2257" s="18" t="s">
        <v>7735</v>
      </c>
      <c r="B2257" s="18" t="s">
        <v>791</v>
      </c>
      <c r="C2257" s="18" t="s">
        <v>7736</v>
      </c>
      <c r="D2257" s="18"/>
      <c r="E2257" s="24">
        <v>8.1233176473E10</v>
      </c>
      <c r="F2257" s="24">
        <v>1.0</v>
      </c>
      <c r="G2257" s="18" t="s">
        <v>7736</v>
      </c>
      <c r="H2257" s="18"/>
      <c r="I2257" s="24">
        <v>8.1233176473E10</v>
      </c>
      <c r="J2257" s="18" t="s">
        <v>7737</v>
      </c>
      <c r="K2257" s="18"/>
      <c r="L2257" s="18" t="s">
        <v>3825</v>
      </c>
    </row>
    <row r="2258">
      <c r="A2258" s="18" t="s">
        <v>7738</v>
      </c>
      <c r="B2258" s="18" t="s">
        <v>791</v>
      </c>
      <c r="C2258" s="18" t="s">
        <v>7739</v>
      </c>
      <c r="D2258" s="18"/>
      <c r="E2258" s="24">
        <v>8.5654128073E10</v>
      </c>
      <c r="F2258" s="24">
        <v>1.0</v>
      </c>
      <c r="G2258" s="18" t="s">
        <v>7739</v>
      </c>
      <c r="H2258" s="18"/>
      <c r="I2258" s="24">
        <v>8.5654128073E10</v>
      </c>
      <c r="J2258" s="18" t="s">
        <v>7740</v>
      </c>
      <c r="K2258" s="18"/>
      <c r="L2258" s="18" t="s">
        <v>1539</v>
      </c>
    </row>
    <row r="2259">
      <c r="A2259" s="18" t="s">
        <v>7741</v>
      </c>
      <c r="B2259" s="18" t="s">
        <v>791</v>
      </c>
      <c r="C2259" s="18" t="s">
        <v>7742</v>
      </c>
      <c r="D2259" s="18"/>
      <c r="E2259" s="24">
        <v>8.1359495405E10</v>
      </c>
      <c r="F2259" s="24">
        <v>1.0</v>
      </c>
      <c r="G2259" s="18" t="s">
        <v>7742</v>
      </c>
      <c r="H2259" s="18"/>
      <c r="I2259" s="24">
        <v>8.1359495405E10</v>
      </c>
      <c r="J2259" s="18" t="s">
        <v>7743</v>
      </c>
      <c r="K2259" s="18"/>
      <c r="L2259" s="18" t="s">
        <v>2652</v>
      </c>
    </row>
    <row r="2260">
      <c r="A2260" s="18" t="s">
        <v>7744</v>
      </c>
      <c r="B2260" s="18" t="s">
        <v>791</v>
      </c>
      <c r="C2260" s="18" t="s">
        <v>7745</v>
      </c>
      <c r="D2260" s="18"/>
      <c r="E2260" s="18"/>
      <c r="F2260" s="24">
        <v>1.0</v>
      </c>
      <c r="G2260" s="18" t="s">
        <v>7745</v>
      </c>
      <c r="H2260" s="18"/>
      <c r="I2260" s="18"/>
      <c r="J2260" s="18" t="s">
        <v>6926</v>
      </c>
      <c r="K2260" s="18"/>
      <c r="L2260" s="18"/>
    </row>
    <row r="2261">
      <c r="A2261" s="18" t="s">
        <v>7746</v>
      </c>
      <c r="B2261" s="18" t="s">
        <v>791</v>
      </c>
      <c r="C2261" s="18" t="s">
        <v>7747</v>
      </c>
      <c r="D2261" s="18"/>
      <c r="E2261" s="24">
        <v>8.5335960089E10</v>
      </c>
      <c r="F2261" s="24">
        <v>1.0</v>
      </c>
      <c r="G2261" s="18" t="s">
        <v>7747</v>
      </c>
      <c r="H2261" s="18"/>
      <c r="I2261" s="24">
        <v>8.5335960089E10</v>
      </c>
      <c r="J2261" s="18" t="s">
        <v>7748</v>
      </c>
      <c r="K2261" s="18"/>
      <c r="L2261" s="18" t="s">
        <v>2110</v>
      </c>
    </row>
    <row r="2262">
      <c r="A2262" s="18" t="s">
        <v>7749</v>
      </c>
      <c r="B2262" s="18" t="s">
        <v>791</v>
      </c>
      <c r="C2262" s="18" t="s">
        <v>7750</v>
      </c>
      <c r="D2262" s="18"/>
      <c r="E2262" s="24">
        <v>8.59176810946E11</v>
      </c>
      <c r="F2262" s="24">
        <v>1.0</v>
      </c>
      <c r="G2262" s="18" t="s">
        <v>7750</v>
      </c>
      <c r="H2262" s="18"/>
      <c r="I2262" s="24">
        <v>8.59176810946E11</v>
      </c>
      <c r="J2262" s="18" t="s">
        <v>7074</v>
      </c>
      <c r="K2262" s="18"/>
      <c r="L2262" s="18" t="s">
        <v>4126</v>
      </c>
    </row>
    <row r="2263">
      <c r="A2263" s="18" t="s">
        <v>7751</v>
      </c>
      <c r="B2263" s="18" t="s">
        <v>791</v>
      </c>
      <c r="C2263" s="18" t="s">
        <v>7752</v>
      </c>
      <c r="D2263" s="18"/>
      <c r="E2263" s="24">
        <v>8.568937596E9</v>
      </c>
      <c r="F2263" s="24">
        <v>1.0</v>
      </c>
      <c r="G2263" s="18" t="s">
        <v>7752</v>
      </c>
      <c r="H2263" s="18"/>
      <c r="I2263" s="24">
        <v>8.568937596E9</v>
      </c>
      <c r="J2263" s="24">
        <v>3.52115051075002E14</v>
      </c>
      <c r="K2263" s="18"/>
      <c r="L2263" s="18" t="s">
        <v>7753</v>
      </c>
    </row>
    <row r="2264">
      <c r="A2264" s="18" t="s">
        <v>7754</v>
      </c>
      <c r="B2264" s="18" t="s">
        <v>791</v>
      </c>
      <c r="C2264" s="18" t="s">
        <v>7755</v>
      </c>
      <c r="D2264" s="18"/>
      <c r="E2264" s="24">
        <v>8.5733544307E10</v>
      </c>
      <c r="F2264" s="24">
        <v>1.0</v>
      </c>
      <c r="G2264" s="18" t="s">
        <v>7755</v>
      </c>
      <c r="H2264" s="18"/>
      <c r="I2264" s="24">
        <v>8.5733544307E10</v>
      </c>
      <c r="J2264" s="18" t="s">
        <v>6959</v>
      </c>
      <c r="K2264" s="18"/>
      <c r="L2264" s="18" t="s">
        <v>3534</v>
      </c>
    </row>
    <row r="2265">
      <c r="A2265" s="18" t="s">
        <v>7756</v>
      </c>
      <c r="B2265" s="18" t="s">
        <v>791</v>
      </c>
      <c r="C2265" s="18" t="s">
        <v>7757</v>
      </c>
      <c r="D2265" s="18"/>
      <c r="E2265" s="24">
        <v>8.133527466E10</v>
      </c>
      <c r="F2265" s="24">
        <v>1.0</v>
      </c>
      <c r="G2265" s="18" t="s">
        <v>7757</v>
      </c>
      <c r="H2265" s="18"/>
      <c r="I2265" s="24">
        <v>8.133527466E10</v>
      </c>
      <c r="J2265" s="18" t="s">
        <v>7525</v>
      </c>
      <c r="K2265" s="18"/>
      <c r="L2265" s="18" t="s">
        <v>7758</v>
      </c>
    </row>
    <row r="2266">
      <c r="A2266" s="18" t="s">
        <v>7759</v>
      </c>
      <c r="B2266" s="18" t="s">
        <v>791</v>
      </c>
      <c r="C2266" s="18" t="s">
        <v>7760</v>
      </c>
      <c r="D2266" s="18"/>
      <c r="E2266" s="18"/>
      <c r="F2266" s="24">
        <v>1.0</v>
      </c>
      <c r="G2266" s="18" t="s">
        <v>7760</v>
      </c>
      <c r="H2266" s="18"/>
      <c r="I2266" s="18"/>
      <c r="J2266" s="18" t="s">
        <v>6650</v>
      </c>
      <c r="K2266" s="18"/>
      <c r="L2266" s="18"/>
    </row>
    <row r="2267">
      <c r="A2267" s="18" t="s">
        <v>7761</v>
      </c>
      <c r="B2267" s="18" t="s">
        <v>791</v>
      </c>
      <c r="C2267" s="18" t="s">
        <v>7762</v>
      </c>
      <c r="D2267" s="18"/>
      <c r="E2267" s="24">
        <v>8.1335634747E10</v>
      </c>
      <c r="F2267" s="24">
        <v>1.0</v>
      </c>
      <c r="G2267" s="18" t="s">
        <v>7762</v>
      </c>
      <c r="H2267" s="18"/>
      <c r="I2267" s="24">
        <v>8.1335634747E10</v>
      </c>
      <c r="J2267" s="18" t="s">
        <v>7763</v>
      </c>
      <c r="K2267" s="18"/>
      <c r="L2267" s="18" t="s">
        <v>6395</v>
      </c>
    </row>
    <row r="2268">
      <c r="A2268" s="18" t="s">
        <v>7764</v>
      </c>
      <c r="B2268" s="18" t="s">
        <v>791</v>
      </c>
      <c r="C2268" s="18" t="s">
        <v>7765</v>
      </c>
      <c r="D2268" s="18"/>
      <c r="E2268" s="24">
        <v>8.5204354674E10</v>
      </c>
      <c r="F2268" s="24">
        <v>1.0</v>
      </c>
      <c r="G2268" s="18" t="s">
        <v>7765</v>
      </c>
      <c r="H2268" s="18"/>
      <c r="I2268" s="24">
        <v>8.5204354674E10</v>
      </c>
      <c r="J2268" s="18" t="s">
        <v>5838</v>
      </c>
      <c r="K2268" s="18"/>
      <c r="L2268" s="18" t="s">
        <v>4504</v>
      </c>
    </row>
    <row r="2269">
      <c r="A2269" s="18" t="s">
        <v>7766</v>
      </c>
      <c r="B2269" s="18" t="s">
        <v>791</v>
      </c>
      <c r="C2269" s="18" t="s">
        <v>7767</v>
      </c>
      <c r="D2269" s="18"/>
      <c r="E2269" s="24">
        <v>8.5236233096E10</v>
      </c>
      <c r="F2269" s="24">
        <v>1.0</v>
      </c>
      <c r="G2269" s="18" t="s">
        <v>7767</v>
      </c>
      <c r="H2269" s="18"/>
      <c r="I2269" s="24">
        <v>8.5236233096E10</v>
      </c>
      <c r="J2269" s="18" t="s">
        <v>6292</v>
      </c>
      <c r="K2269" s="18"/>
      <c r="L2269" s="18" t="s">
        <v>1850</v>
      </c>
    </row>
    <row r="2270">
      <c r="A2270" s="18" t="s">
        <v>7768</v>
      </c>
      <c r="B2270" s="18" t="s">
        <v>791</v>
      </c>
      <c r="C2270" s="18" t="s">
        <v>7769</v>
      </c>
      <c r="D2270" s="18"/>
      <c r="E2270" s="24">
        <v>8.525906048E10</v>
      </c>
      <c r="F2270" s="24">
        <v>1.0</v>
      </c>
      <c r="G2270" s="18" t="s">
        <v>7769</v>
      </c>
      <c r="H2270" s="18"/>
      <c r="I2270" s="24">
        <v>8.525906048E10</v>
      </c>
      <c r="J2270" s="18" t="s">
        <v>7770</v>
      </c>
      <c r="K2270" s="18"/>
      <c r="L2270" s="18" t="s">
        <v>2172</v>
      </c>
    </row>
    <row r="2271">
      <c r="A2271" s="18" t="s">
        <v>7771</v>
      </c>
      <c r="B2271" s="18" t="s">
        <v>791</v>
      </c>
      <c r="C2271" s="18" t="s">
        <v>7772</v>
      </c>
      <c r="D2271" s="18"/>
      <c r="E2271" s="24">
        <v>8.123420715E10</v>
      </c>
      <c r="F2271" s="24">
        <v>1.0</v>
      </c>
      <c r="G2271" s="18" t="s">
        <v>7772</v>
      </c>
      <c r="H2271" s="18"/>
      <c r="I2271" s="24">
        <v>8.123420715E10</v>
      </c>
      <c r="J2271" s="18" t="s">
        <v>7773</v>
      </c>
      <c r="K2271" s="18"/>
      <c r="L2271" s="18" t="s">
        <v>4442</v>
      </c>
    </row>
    <row r="2272">
      <c r="A2272" s="18" t="s">
        <v>7774</v>
      </c>
      <c r="B2272" s="18" t="s">
        <v>791</v>
      </c>
      <c r="C2272" s="18" t="s">
        <v>7775</v>
      </c>
      <c r="D2272" s="18"/>
      <c r="E2272" s="24">
        <v>8.5293650954E10</v>
      </c>
      <c r="F2272" s="24">
        <v>1.0</v>
      </c>
      <c r="G2272" s="18" t="s">
        <v>7775</v>
      </c>
      <c r="H2272" s="18"/>
      <c r="I2272" s="24">
        <v>8.5293650954E10</v>
      </c>
      <c r="J2272" s="18" t="s">
        <v>7776</v>
      </c>
      <c r="K2272" s="18"/>
      <c r="L2272" s="18" t="s">
        <v>4548</v>
      </c>
    </row>
    <row r="2273">
      <c r="A2273" s="18" t="s">
        <v>7777</v>
      </c>
      <c r="B2273" s="18" t="s">
        <v>791</v>
      </c>
      <c r="C2273" s="18" t="s">
        <v>7778</v>
      </c>
      <c r="D2273" s="18"/>
      <c r="E2273" s="24">
        <v>8.5234446671E10</v>
      </c>
      <c r="F2273" s="24">
        <v>1.0</v>
      </c>
      <c r="G2273" s="18" t="s">
        <v>7778</v>
      </c>
      <c r="H2273" s="18"/>
      <c r="I2273" s="24">
        <v>8.5234446671E10</v>
      </c>
      <c r="J2273" s="18" t="s">
        <v>7779</v>
      </c>
      <c r="K2273" s="18"/>
      <c r="L2273" s="18" t="s">
        <v>1609</v>
      </c>
    </row>
    <row r="2274">
      <c r="A2274" s="18" t="s">
        <v>7780</v>
      </c>
      <c r="B2274" s="18" t="s">
        <v>791</v>
      </c>
      <c r="C2274" s="18" t="s">
        <v>816</v>
      </c>
      <c r="D2274" s="18"/>
      <c r="E2274" s="24">
        <v>8.1359612323E10</v>
      </c>
      <c r="F2274" s="24">
        <v>1.0</v>
      </c>
      <c r="G2274" s="18" t="s">
        <v>816</v>
      </c>
      <c r="H2274" s="18"/>
      <c r="I2274" s="24">
        <v>8.1359612323E10</v>
      </c>
      <c r="J2274" s="18" t="s">
        <v>6915</v>
      </c>
      <c r="K2274" s="18"/>
      <c r="L2274" s="18" t="s">
        <v>6419</v>
      </c>
    </row>
    <row r="2275">
      <c r="A2275" s="18" t="s">
        <v>7781</v>
      </c>
      <c r="B2275" s="18" t="s">
        <v>791</v>
      </c>
      <c r="C2275" s="18" t="s">
        <v>7782</v>
      </c>
      <c r="D2275" s="18"/>
      <c r="E2275" s="24">
        <v>8.560645554E10</v>
      </c>
      <c r="F2275" s="24">
        <v>1.0</v>
      </c>
      <c r="G2275" s="18" t="s">
        <v>7782</v>
      </c>
      <c r="H2275" s="18"/>
      <c r="I2275" s="24">
        <v>8.560645554E10</v>
      </c>
      <c r="J2275" s="18" t="s">
        <v>4156</v>
      </c>
      <c r="K2275" s="18"/>
      <c r="L2275" s="18" t="s">
        <v>3053</v>
      </c>
    </row>
    <row r="2276">
      <c r="A2276" s="18" t="s">
        <v>1098</v>
      </c>
      <c r="B2276" s="18" t="s">
        <v>791</v>
      </c>
      <c r="C2276" s="18" t="s">
        <v>1100</v>
      </c>
      <c r="D2276" s="18" t="s">
        <v>1096</v>
      </c>
      <c r="E2276" s="24">
        <v>8.1336304421E10</v>
      </c>
      <c r="F2276" s="24">
        <v>1.0</v>
      </c>
      <c r="G2276" s="18" t="s">
        <v>1100</v>
      </c>
      <c r="H2276" s="18" t="s">
        <v>1096</v>
      </c>
      <c r="I2276" s="24">
        <v>8.1336304421E10</v>
      </c>
      <c r="J2276" s="18" t="s">
        <v>1099</v>
      </c>
      <c r="K2276" s="18" t="s">
        <v>1099</v>
      </c>
      <c r="L2276" s="18" t="s">
        <v>1101</v>
      </c>
    </row>
    <row r="2277">
      <c r="A2277" s="18" t="s">
        <v>7783</v>
      </c>
      <c r="B2277" s="18" t="s">
        <v>791</v>
      </c>
      <c r="C2277" s="18" t="s">
        <v>7784</v>
      </c>
      <c r="D2277" s="18"/>
      <c r="E2277" s="24">
        <v>8.5889171005E10</v>
      </c>
      <c r="F2277" s="24">
        <v>1.0</v>
      </c>
      <c r="G2277" s="18" t="s">
        <v>7784</v>
      </c>
      <c r="H2277" s="18"/>
      <c r="I2277" s="24">
        <v>8.5889171005E10</v>
      </c>
      <c r="J2277" s="18" t="s">
        <v>7785</v>
      </c>
      <c r="K2277" s="18"/>
      <c r="L2277" s="18" t="s">
        <v>4270</v>
      </c>
    </row>
    <row r="2278">
      <c r="A2278" s="18" t="s">
        <v>7786</v>
      </c>
      <c r="B2278" s="18" t="s">
        <v>791</v>
      </c>
      <c r="C2278" s="18" t="s">
        <v>7787</v>
      </c>
      <c r="D2278" s="18"/>
      <c r="E2278" s="24">
        <v>8.1556467515E10</v>
      </c>
      <c r="F2278" s="24">
        <v>1.0</v>
      </c>
      <c r="G2278" s="18" t="s">
        <v>7787</v>
      </c>
      <c r="H2278" s="18"/>
      <c r="I2278" s="24">
        <v>8.1556467515E10</v>
      </c>
      <c r="J2278" s="18" t="s">
        <v>7788</v>
      </c>
      <c r="K2278" s="18"/>
      <c r="L2278" s="18" t="s">
        <v>5848</v>
      </c>
    </row>
    <row r="2279">
      <c r="A2279" s="18" t="s">
        <v>7789</v>
      </c>
      <c r="B2279" s="18" t="s">
        <v>791</v>
      </c>
      <c r="C2279" s="18" t="s">
        <v>7790</v>
      </c>
      <c r="D2279" s="18"/>
      <c r="E2279" s="24">
        <v>8.5607375867E10</v>
      </c>
      <c r="F2279" s="24">
        <v>1.0</v>
      </c>
      <c r="G2279" s="18" t="s">
        <v>7790</v>
      </c>
      <c r="H2279" s="18"/>
      <c r="I2279" s="24">
        <v>8.5607375867E10</v>
      </c>
      <c r="J2279" s="18" t="s">
        <v>7791</v>
      </c>
      <c r="K2279" s="18"/>
      <c r="L2279" s="18" t="s">
        <v>5880</v>
      </c>
    </row>
    <row r="2280">
      <c r="A2280" s="18" t="s">
        <v>7032</v>
      </c>
      <c r="B2280" s="18" t="s">
        <v>791</v>
      </c>
      <c r="C2280" s="18" t="s">
        <v>7034</v>
      </c>
      <c r="D2280" s="18"/>
      <c r="E2280" s="24">
        <v>0.0</v>
      </c>
      <c r="F2280" s="24">
        <v>1.0</v>
      </c>
      <c r="G2280" s="18" t="s">
        <v>7034</v>
      </c>
      <c r="H2280" s="18"/>
      <c r="I2280" s="24">
        <v>0.0</v>
      </c>
      <c r="J2280" s="18" t="s">
        <v>7036</v>
      </c>
      <c r="K2280" s="18"/>
      <c r="L2280" s="18" t="s">
        <v>7038</v>
      </c>
    </row>
    <row r="2281">
      <c r="A2281" s="18" t="s">
        <v>7792</v>
      </c>
      <c r="B2281" s="18" t="s">
        <v>791</v>
      </c>
      <c r="C2281" s="18" t="s">
        <v>7793</v>
      </c>
      <c r="D2281" s="18"/>
      <c r="E2281" s="24">
        <v>8.523455327E10</v>
      </c>
      <c r="F2281" s="24">
        <v>1.0</v>
      </c>
      <c r="G2281" s="18" t="s">
        <v>7793</v>
      </c>
      <c r="H2281" s="18"/>
      <c r="I2281" s="24">
        <v>8.523455327E10</v>
      </c>
      <c r="J2281" s="18" t="s">
        <v>4777</v>
      </c>
      <c r="K2281" s="18"/>
      <c r="L2281" s="18" t="s">
        <v>7794</v>
      </c>
    </row>
    <row r="2282">
      <c r="A2282" s="18" t="s">
        <v>7795</v>
      </c>
      <c r="B2282" s="18" t="s">
        <v>791</v>
      </c>
      <c r="C2282" s="18" t="s">
        <v>7790</v>
      </c>
      <c r="D2282" s="18"/>
      <c r="E2282" s="24">
        <v>8.5229882641E10</v>
      </c>
      <c r="F2282" s="24">
        <v>1.0</v>
      </c>
      <c r="G2282" s="18" t="s">
        <v>7790</v>
      </c>
      <c r="H2282" s="18"/>
      <c r="I2282" s="24">
        <v>8.5229882641E10</v>
      </c>
      <c r="J2282" s="18" t="s">
        <v>7796</v>
      </c>
      <c r="K2282" s="18"/>
      <c r="L2282" s="18" t="s">
        <v>3452</v>
      </c>
    </row>
    <row r="2283">
      <c r="A2283" s="18" t="s">
        <v>7797</v>
      </c>
      <c r="B2283" s="18" t="s">
        <v>791</v>
      </c>
      <c r="C2283" s="18" t="s">
        <v>7793</v>
      </c>
      <c r="D2283" s="18"/>
      <c r="E2283" s="18"/>
      <c r="F2283" s="24">
        <v>1.0</v>
      </c>
      <c r="G2283" s="18" t="s">
        <v>7793</v>
      </c>
      <c r="H2283" s="18"/>
      <c r="I2283" s="18"/>
      <c r="J2283" s="18" t="s">
        <v>6593</v>
      </c>
      <c r="K2283" s="18"/>
      <c r="L2283" s="18"/>
    </row>
    <row r="2284">
      <c r="A2284" s="18" t="s">
        <v>7798</v>
      </c>
      <c r="B2284" s="18" t="s">
        <v>791</v>
      </c>
      <c r="C2284" s="18" t="s">
        <v>7799</v>
      </c>
      <c r="D2284" s="18"/>
      <c r="E2284" s="24">
        <v>8.135714728E10</v>
      </c>
      <c r="F2284" s="24">
        <v>1.0</v>
      </c>
      <c r="G2284" s="18" t="s">
        <v>7799</v>
      </c>
      <c r="H2284" s="18"/>
      <c r="I2284" s="24">
        <v>8.135714728E10</v>
      </c>
      <c r="J2284" s="18" t="s">
        <v>5479</v>
      </c>
      <c r="K2284" s="18"/>
      <c r="L2284" s="18" t="s">
        <v>2666</v>
      </c>
    </row>
    <row r="2285">
      <c r="A2285" s="18" t="s">
        <v>7800</v>
      </c>
      <c r="B2285" s="18" t="s">
        <v>791</v>
      </c>
      <c r="C2285" s="18" t="s">
        <v>7801</v>
      </c>
      <c r="D2285" s="18"/>
      <c r="E2285" s="24">
        <v>8.2245861001E10</v>
      </c>
      <c r="F2285" s="24">
        <v>1.0</v>
      </c>
      <c r="G2285" s="18" t="s">
        <v>7801</v>
      </c>
      <c r="H2285" s="18"/>
      <c r="I2285" s="24">
        <v>8.2245861001E10</v>
      </c>
      <c r="J2285" s="18" t="s">
        <v>7802</v>
      </c>
      <c r="K2285" s="18"/>
      <c r="L2285" s="18" t="s">
        <v>2795</v>
      </c>
    </row>
    <row r="2286">
      <c r="A2286" s="18" t="s">
        <v>7803</v>
      </c>
      <c r="B2286" s="18" t="s">
        <v>791</v>
      </c>
      <c r="C2286" s="18" t="s">
        <v>7804</v>
      </c>
      <c r="D2286" s="18"/>
      <c r="E2286" s="24">
        <v>8.1335903738E10</v>
      </c>
      <c r="F2286" s="24">
        <v>1.0</v>
      </c>
      <c r="G2286" s="18" t="s">
        <v>7804</v>
      </c>
      <c r="H2286" s="18"/>
      <c r="I2286" s="24">
        <v>8.1335903738E10</v>
      </c>
      <c r="J2286" s="18" t="s">
        <v>7805</v>
      </c>
      <c r="K2286" s="18"/>
      <c r="L2286" s="18" t="s">
        <v>4387</v>
      </c>
    </row>
    <row r="2287">
      <c r="A2287" s="18" t="s">
        <v>7157</v>
      </c>
      <c r="B2287" s="18" t="s">
        <v>791</v>
      </c>
      <c r="C2287" s="18" t="s">
        <v>7158</v>
      </c>
      <c r="D2287" s="18"/>
      <c r="E2287" s="24">
        <v>8.12592628E9</v>
      </c>
      <c r="F2287" s="24">
        <v>1.0</v>
      </c>
      <c r="G2287" s="18" t="s">
        <v>7158</v>
      </c>
      <c r="H2287" s="18"/>
      <c r="I2287" s="24">
        <v>8.12592628E9</v>
      </c>
      <c r="J2287" s="18" t="s">
        <v>7160</v>
      </c>
      <c r="K2287" s="18"/>
      <c r="L2287" s="18" t="s">
        <v>4866</v>
      </c>
    </row>
    <row r="2288">
      <c r="A2288" s="18" t="s">
        <v>7806</v>
      </c>
      <c r="B2288" s="18" t="s">
        <v>791</v>
      </c>
      <c r="C2288" s="18" t="s">
        <v>7807</v>
      </c>
      <c r="D2288" s="18"/>
      <c r="E2288" s="24">
        <v>8.580684218E10</v>
      </c>
      <c r="F2288" s="24">
        <v>1.0</v>
      </c>
      <c r="G2288" s="18" t="s">
        <v>7807</v>
      </c>
      <c r="H2288" s="18"/>
      <c r="I2288" s="24">
        <v>8.580684218E10</v>
      </c>
      <c r="J2288" s="18" t="s">
        <v>5586</v>
      </c>
      <c r="K2288" s="18"/>
      <c r="L2288" s="18" t="s">
        <v>1850</v>
      </c>
    </row>
    <row r="2289">
      <c r="A2289" s="18" t="s">
        <v>7808</v>
      </c>
      <c r="B2289" s="18" t="s">
        <v>791</v>
      </c>
      <c r="C2289" s="18" t="s">
        <v>7809</v>
      </c>
      <c r="D2289" s="18"/>
      <c r="E2289" s="24">
        <v>8.1335760149E10</v>
      </c>
      <c r="F2289" s="24">
        <v>1.0</v>
      </c>
      <c r="G2289" s="18" t="s">
        <v>7809</v>
      </c>
      <c r="H2289" s="18"/>
      <c r="I2289" s="24">
        <v>8.1335760149E10</v>
      </c>
      <c r="J2289" s="18" t="s">
        <v>5219</v>
      </c>
      <c r="K2289" s="18"/>
      <c r="L2289" s="18" t="s">
        <v>2458</v>
      </c>
    </row>
    <row r="2290">
      <c r="A2290" s="18" t="s">
        <v>7810</v>
      </c>
      <c r="B2290" s="18" t="s">
        <v>791</v>
      </c>
      <c r="C2290" s="18" t="s">
        <v>7811</v>
      </c>
      <c r="D2290" s="18"/>
      <c r="E2290" s="24">
        <v>8.5334913739E10</v>
      </c>
      <c r="F2290" s="24">
        <v>1.0</v>
      </c>
      <c r="G2290" s="18" t="s">
        <v>7811</v>
      </c>
      <c r="H2290" s="18"/>
      <c r="I2290" s="24">
        <v>8.5334913739E10</v>
      </c>
      <c r="J2290" s="18" t="s">
        <v>6380</v>
      </c>
      <c r="K2290" s="18"/>
      <c r="L2290" s="18" t="s">
        <v>1681</v>
      </c>
    </row>
    <row r="2291">
      <c r="A2291" s="18" t="s">
        <v>7812</v>
      </c>
      <c r="B2291" s="18" t="s">
        <v>791</v>
      </c>
      <c r="C2291" s="18" t="s">
        <v>7813</v>
      </c>
      <c r="D2291" s="18"/>
      <c r="E2291" s="24">
        <v>8.5259755878E10</v>
      </c>
      <c r="F2291" s="24">
        <v>1.0</v>
      </c>
      <c r="G2291" s="18" t="s">
        <v>7813</v>
      </c>
      <c r="H2291" s="18"/>
      <c r="I2291" s="24">
        <v>8.5259755878E10</v>
      </c>
      <c r="J2291" s="18" t="s">
        <v>7814</v>
      </c>
      <c r="K2291" s="18"/>
      <c r="L2291" s="18" t="s">
        <v>3154</v>
      </c>
    </row>
    <row r="2292">
      <c r="A2292" s="18" t="s">
        <v>7815</v>
      </c>
      <c r="B2292" s="18" t="s">
        <v>791</v>
      </c>
      <c r="C2292" s="18" t="s">
        <v>7816</v>
      </c>
      <c r="D2292" s="18"/>
      <c r="E2292" s="24">
        <v>8.5234446671E10</v>
      </c>
      <c r="F2292" s="24">
        <v>1.0</v>
      </c>
      <c r="G2292" s="18" t="s">
        <v>7816</v>
      </c>
      <c r="H2292" s="18"/>
      <c r="I2292" s="24">
        <v>8.5234446671E10</v>
      </c>
      <c r="J2292" s="18" t="s">
        <v>7817</v>
      </c>
      <c r="K2292" s="18"/>
      <c r="L2292" s="18" t="s">
        <v>1609</v>
      </c>
    </row>
    <row r="2293">
      <c r="A2293" s="18" t="s">
        <v>7818</v>
      </c>
      <c r="B2293" s="18" t="s">
        <v>791</v>
      </c>
      <c r="C2293" s="18" t="s">
        <v>7819</v>
      </c>
      <c r="D2293" s="18"/>
      <c r="E2293" s="24">
        <v>8.5236233096E10</v>
      </c>
      <c r="F2293" s="24">
        <v>1.0</v>
      </c>
      <c r="G2293" s="18" t="s">
        <v>7819</v>
      </c>
      <c r="H2293" s="18"/>
      <c r="I2293" s="24">
        <v>8.5236233096E10</v>
      </c>
      <c r="J2293" s="18" t="s">
        <v>6174</v>
      </c>
      <c r="K2293" s="18"/>
      <c r="L2293" s="18" t="s">
        <v>7820</v>
      </c>
    </row>
    <row r="2294">
      <c r="A2294" s="18" t="s">
        <v>7821</v>
      </c>
      <c r="B2294" s="18" t="s">
        <v>791</v>
      </c>
      <c r="C2294" s="18" t="s">
        <v>7822</v>
      </c>
      <c r="D2294" s="18"/>
      <c r="E2294" s="24">
        <v>8.1335564498E10</v>
      </c>
      <c r="F2294" s="24">
        <v>1.0</v>
      </c>
      <c r="G2294" s="18" t="s">
        <v>7822</v>
      </c>
      <c r="H2294" s="18"/>
      <c r="I2294" s="24">
        <v>8.1335564498E10</v>
      </c>
      <c r="J2294" s="18" t="s">
        <v>7671</v>
      </c>
      <c r="K2294" s="18"/>
      <c r="L2294" s="18" t="s">
        <v>3350</v>
      </c>
    </row>
    <row r="2295">
      <c r="A2295" s="18" t="s">
        <v>7823</v>
      </c>
      <c r="B2295" s="18" t="s">
        <v>791</v>
      </c>
      <c r="C2295" s="18" t="s">
        <v>7824</v>
      </c>
      <c r="D2295" s="18"/>
      <c r="E2295" s="24">
        <v>8.1335760149E10</v>
      </c>
      <c r="F2295" s="24">
        <v>1.0</v>
      </c>
      <c r="G2295" s="18" t="s">
        <v>7824</v>
      </c>
      <c r="H2295" s="18"/>
      <c r="I2295" s="24">
        <v>8.1335760149E10</v>
      </c>
      <c r="J2295" s="18" t="s">
        <v>7825</v>
      </c>
      <c r="K2295" s="18"/>
      <c r="L2295" s="18" t="s">
        <v>2458</v>
      </c>
    </row>
    <row r="2296">
      <c r="A2296" s="18" t="s">
        <v>7826</v>
      </c>
      <c r="B2296" s="18" t="s">
        <v>791</v>
      </c>
      <c r="C2296" s="18" t="s">
        <v>7827</v>
      </c>
      <c r="D2296" s="18"/>
      <c r="E2296" s="18"/>
      <c r="F2296" s="24">
        <v>1.0</v>
      </c>
      <c r="G2296" s="18" t="s">
        <v>7827</v>
      </c>
      <c r="H2296" s="18"/>
      <c r="I2296" s="18"/>
      <c r="J2296" s="18" t="s">
        <v>6974</v>
      </c>
      <c r="K2296" s="18"/>
      <c r="L2296" s="18"/>
    </row>
    <row r="2297">
      <c r="A2297" s="18" t="s">
        <v>7828</v>
      </c>
      <c r="B2297" s="18" t="s">
        <v>791</v>
      </c>
      <c r="C2297" s="18" t="s">
        <v>7829</v>
      </c>
      <c r="D2297" s="18"/>
      <c r="E2297" s="24">
        <v>8.5708105999E10</v>
      </c>
      <c r="F2297" s="24">
        <v>1.0</v>
      </c>
      <c r="G2297" s="18" t="s">
        <v>7829</v>
      </c>
      <c r="H2297" s="18"/>
      <c r="I2297" s="24">
        <v>8.5708105999E10</v>
      </c>
      <c r="J2297" s="18" t="s">
        <v>7830</v>
      </c>
      <c r="K2297" s="18"/>
      <c r="L2297" s="18" t="s">
        <v>2523</v>
      </c>
    </row>
    <row r="2298">
      <c r="A2298" s="18" t="s">
        <v>7831</v>
      </c>
      <c r="B2298" s="18" t="s">
        <v>791</v>
      </c>
      <c r="C2298" s="18" t="s">
        <v>7832</v>
      </c>
      <c r="D2298" s="18"/>
      <c r="E2298" s="24">
        <v>8.2336649669E10</v>
      </c>
      <c r="F2298" s="24">
        <v>1.0</v>
      </c>
      <c r="G2298" s="18" t="s">
        <v>7832</v>
      </c>
      <c r="H2298" s="18"/>
      <c r="I2298" s="24">
        <v>8.2336649669E10</v>
      </c>
      <c r="J2298" s="18" t="s">
        <v>7833</v>
      </c>
      <c r="K2298" s="18"/>
      <c r="L2298" s="18" t="s">
        <v>1730</v>
      </c>
    </row>
    <row r="2299">
      <c r="A2299" s="18" t="s">
        <v>7834</v>
      </c>
      <c r="B2299" s="18" t="s">
        <v>791</v>
      </c>
      <c r="C2299" s="18" t="s">
        <v>7835</v>
      </c>
      <c r="D2299" s="18"/>
      <c r="E2299" s="24">
        <v>8.5103373232E10</v>
      </c>
      <c r="F2299" s="24">
        <v>1.0</v>
      </c>
      <c r="G2299" s="18" t="s">
        <v>7835</v>
      </c>
      <c r="H2299" s="18"/>
      <c r="I2299" s="24">
        <v>8.5103373232E10</v>
      </c>
      <c r="J2299" s="18" t="s">
        <v>7708</v>
      </c>
      <c r="K2299" s="18"/>
      <c r="L2299" s="18" t="s">
        <v>1519</v>
      </c>
    </row>
    <row r="2300">
      <c r="A2300" s="18" t="s">
        <v>7836</v>
      </c>
      <c r="B2300" s="18" t="s">
        <v>791</v>
      </c>
      <c r="C2300" s="18" t="s">
        <v>7837</v>
      </c>
      <c r="D2300" s="18"/>
      <c r="E2300" s="24">
        <v>8.2230706447E10</v>
      </c>
      <c r="F2300" s="24">
        <v>1.0</v>
      </c>
      <c r="G2300" s="18" t="s">
        <v>7837</v>
      </c>
      <c r="H2300" s="18"/>
      <c r="I2300" s="24">
        <v>8.2230706447E10</v>
      </c>
      <c r="J2300" s="18" t="s">
        <v>7838</v>
      </c>
      <c r="K2300" s="18"/>
      <c r="L2300" s="18" t="s">
        <v>1186</v>
      </c>
    </row>
    <row r="2301">
      <c r="A2301" s="18" t="s">
        <v>7839</v>
      </c>
      <c r="B2301" s="18" t="s">
        <v>791</v>
      </c>
      <c r="C2301" s="18" t="s">
        <v>7840</v>
      </c>
      <c r="D2301" s="18"/>
      <c r="E2301" s="18"/>
      <c r="F2301" s="24">
        <v>1.0</v>
      </c>
      <c r="G2301" s="18" t="s">
        <v>7840</v>
      </c>
      <c r="H2301" s="18"/>
      <c r="I2301" s="18"/>
      <c r="J2301" s="18" t="s">
        <v>6951</v>
      </c>
      <c r="K2301" s="18"/>
      <c r="L2301" s="18"/>
    </row>
    <row r="2302">
      <c r="A2302" s="18" t="s">
        <v>7841</v>
      </c>
      <c r="B2302" s="18" t="s">
        <v>791</v>
      </c>
      <c r="C2302" s="18" t="s">
        <v>7842</v>
      </c>
      <c r="D2302" s="18"/>
      <c r="E2302" s="24">
        <v>8.1227636271E10</v>
      </c>
      <c r="F2302" s="24">
        <v>1.0</v>
      </c>
      <c r="G2302" s="18" t="s">
        <v>7842</v>
      </c>
      <c r="H2302" s="18"/>
      <c r="I2302" s="24">
        <v>8.1227636271E10</v>
      </c>
      <c r="J2302" s="18" t="s">
        <v>7843</v>
      </c>
      <c r="K2302" s="18"/>
      <c r="L2302" s="18" t="s">
        <v>129</v>
      </c>
    </row>
    <row r="2303">
      <c r="A2303" s="18" t="s">
        <v>7844</v>
      </c>
      <c r="B2303" s="18" t="s">
        <v>791</v>
      </c>
      <c r="C2303" s="18" t="s">
        <v>7842</v>
      </c>
      <c r="D2303" s="18"/>
      <c r="E2303" s="24">
        <v>8.570857555E10</v>
      </c>
      <c r="F2303" s="24">
        <v>1.0</v>
      </c>
      <c r="G2303" s="18" t="s">
        <v>7842</v>
      </c>
      <c r="H2303" s="18"/>
      <c r="I2303" s="24">
        <v>8.570857555E10</v>
      </c>
      <c r="J2303" s="18" t="s">
        <v>4941</v>
      </c>
      <c r="K2303" s="18"/>
      <c r="L2303" s="18" t="s">
        <v>4504</v>
      </c>
    </row>
    <row r="2304">
      <c r="A2304" s="18" t="s">
        <v>7845</v>
      </c>
      <c r="B2304" s="18" t="s">
        <v>791</v>
      </c>
      <c r="C2304" s="18" t="s">
        <v>7846</v>
      </c>
      <c r="D2304" s="18"/>
      <c r="E2304" s="24">
        <v>8.1360664455E10</v>
      </c>
      <c r="F2304" s="24">
        <v>1.0</v>
      </c>
      <c r="G2304" s="18" t="s">
        <v>7846</v>
      </c>
      <c r="H2304" s="18"/>
      <c r="I2304" s="24">
        <v>8.1360664455E10</v>
      </c>
      <c r="J2304" s="18" t="s">
        <v>7847</v>
      </c>
      <c r="K2304" s="18"/>
      <c r="L2304" s="18" t="s">
        <v>6868</v>
      </c>
    </row>
    <row r="2305">
      <c r="A2305" s="18" t="s">
        <v>7848</v>
      </c>
      <c r="B2305" s="18" t="s">
        <v>791</v>
      </c>
      <c r="C2305" s="18" t="s">
        <v>7849</v>
      </c>
      <c r="D2305" s="18"/>
      <c r="E2305" s="24">
        <v>8.5334913739E10</v>
      </c>
      <c r="F2305" s="24">
        <v>1.0</v>
      </c>
      <c r="G2305" s="18" t="s">
        <v>7849</v>
      </c>
      <c r="H2305" s="18"/>
      <c r="I2305" s="24">
        <v>8.5334913739E10</v>
      </c>
      <c r="J2305" s="18" t="s">
        <v>6501</v>
      </c>
      <c r="K2305" s="18"/>
      <c r="L2305" s="18" t="s">
        <v>1681</v>
      </c>
    </row>
    <row r="2306">
      <c r="A2306" s="18" t="s">
        <v>7850</v>
      </c>
      <c r="B2306" s="18" t="s">
        <v>791</v>
      </c>
      <c r="C2306" s="18" t="s">
        <v>7851</v>
      </c>
      <c r="D2306" s="18"/>
      <c r="E2306" s="24">
        <v>8.214212742E10</v>
      </c>
      <c r="F2306" s="24">
        <v>1.0</v>
      </c>
      <c r="G2306" s="18" t="s">
        <v>7851</v>
      </c>
      <c r="H2306" s="18"/>
      <c r="I2306" s="24">
        <v>8.214212742E10</v>
      </c>
      <c r="J2306" s="18" t="s">
        <v>7852</v>
      </c>
      <c r="K2306" s="18"/>
      <c r="L2306" s="18" t="s">
        <v>5271</v>
      </c>
    </row>
    <row r="2307">
      <c r="A2307" s="18" t="s">
        <v>7853</v>
      </c>
      <c r="B2307" s="18" t="s">
        <v>791</v>
      </c>
      <c r="C2307" s="18" t="s">
        <v>7854</v>
      </c>
      <c r="D2307" s="18"/>
      <c r="E2307" s="24">
        <v>8.5334913739E10</v>
      </c>
      <c r="F2307" s="24">
        <v>1.0</v>
      </c>
      <c r="G2307" s="18" t="s">
        <v>7854</v>
      </c>
      <c r="H2307" s="18"/>
      <c r="I2307" s="24">
        <v>8.5334913739E10</v>
      </c>
      <c r="J2307" s="18" t="s">
        <v>6590</v>
      </c>
      <c r="K2307" s="18"/>
      <c r="L2307" s="18" t="s">
        <v>1681</v>
      </c>
    </row>
    <row r="2308">
      <c r="A2308" s="18" t="s">
        <v>7855</v>
      </c>
      <c r="B2308" s="18" t="s">
        <v>791</v>
      </c>
      <c r="C2308" s="18" t="s">
        <v>7856</v>
      </c>
      <c r="D2308" s="18"/>
      <c r="E2308" s="24">
        <v>8.1217731632E10</v>
      </c>
      <c r="F2308" s="24">
        <v>1.0</v>
      </c>
      <c r="G2308" s="18" t="s">
        <v>7856</v>
      </c>
      <c r="H2308" s="18"/>
      <c r="I2308" s="24">
        <v>8.1217731632E10</v>
      </c>
      <c r="J2308" s="18" t="s">
        <v>7857</v>
      </c>
      <c r="K2308" s="18"/>
      <c r="L2308" s="18" t="s">
        <v>7858</v>
      </c>
    </row>
    <row r="2309">
      <c r="A2309" s="18" t="s">
        <v>7859</v>
      </c>
      <c r="B2309" s="18" t="s">
        <v>791</v>
      </c>
      <c r="C2309" s="18" t="s">
        <v>7860</v>
      </c>
      <c r="D2309" s="18"/>
      <c r="E2309" s="24">
        <v>8.12595819E10</v>
      </c>
      <c r="F2309" s="24">
        <v>1.0</v>
      </c>
      <c r="G2309" s="18" t="s">
        <v>7860</v>
      </c>
      <c r="H2309" s="18"/>
      <c r="I2309" s="24">
        <v>8.12595819E10</v>
      </c>
      <c r="J2309" s="18" t="s">
        <v>7861</v>
      </c>
      <c r="K2309" s="18"/>
      <c r="L2309" s="18" t="s">
        <v>7862</v>
      </c>
    </row>
    <row r="2310">
      <c r="A2310" s="18" t="s">
        <v>7863</v>
      </c>
      <c r="B2310" s="18" t="s">
        <v>791</v>
      </c>
      <c r="C2310" s="18" t="s">
        <v>7864</v>
      </c>
      <c r="D2310" s="18"/>
      <c r="E2310" s="24">
        <v>8.5859010022E10</v>
      </c>
      <c r="F2310" s="24">
        <v>1.0</v>
      </c>
      <c r="G2310" s="18" t="s">
        <v>7864</v>
      </c>
      <c r="H2310" s="18"/>
      <c r="I2310" s="24">
        <v>8.5859010022E10</v>
      </c>
      <c r="J2310" s="18" t="s">
        <v>7078</v>
      </c>
      <c r="K2310" s="18"/>
      <c r="L2310" s="18" t="s">
        <v>7865</v>
      </c>
    </row>
    <row r="2311">
      <c r="A2311" s="18" t="s">
        <v>7866</v>
      </c>
      <c r="B2311" s="18" t="s">
        <v>791</v>
      </c>
      <c r="C2311" s="18" t="s">
        <v>7867</v>
      </c>
      <c r="D2311" s="18"/>
      <c r="E2311" s="24">
        <v>8.523362704E10</v>
      </c>
      <c r="F2311" s="24">
        <v>1.0</v>
      </c>
      <c r="G2311" s="18" t="s">
        <v>7867</v>
      </c>
      <c r="H2311" s="18"/>
      <c r="I2311" s="24">
        <v>8.523362704E10</v>
      </c>
      <c r="J2311" s="18" t="s">
        <v>7868</v>
      </c>
      <c r="K2311" s="18"/>
      <c r="L2311" s="18" t="s">
        <v>3721</v>
      </c>
    </row>
    <row r="2312">
      <c r="A2312" s="18" t="s">
        <v>7869</v>
      </c>
      <c r="B2312" s="18" t="s">
        <v>791</v>
      </c>
      <c r="C2312" s="18" t="s">
        <v>7870</v>
      </c>
      <c r="D2312" s="18"/>
      <c r="E2312" s="24">
        <v>8.5806778428E10</v>
      </c>
      <c r="F2312" s="24">
        <v>1.0</v>
      </c>
      <c r="G2312" s="18" t="s">
        <v>7870</v>
      </c>
      <c r="H2312" s="18"/>
      <c r="I2312" s="24">
        <v>8.5806778428E10</v>
      </c>
      <c r="J2312" s="18" t="s">
        <v>6612</v>
      </c>
      <c r="K2312" s="18"/>
      <c r="L2312" s="18" t="s">
        <v>3664</v>
      </c>
    </row>
    <row r="2313">
      <c r="A2313" s="18" t="s">
        <v>7872</v>
      </c>
      <c r="B2313" s="18" t="s">
        <v>791</v>
      </c>
      <c r="C2313" s="18" t="s">
        <v>7873</v>
      </c>
      <c r="D2313" s="18"/>
      <c r="E2313" s="24">
        <v>8.5231216124E10</v>
      </c>
      <c r="F2313" s="24">
        <v>1.0</v>
      </c>
      <c r="G2313" s="18" t="s">
        <v>7873</v>
      </c>
      <c r="H2313" s="18"/>
      <c r="I2313" s="24">
        <v>8.5231216124E10</v>
      </c>
      <c r="J2313" s="24">
        <v>3.52101031085E15</v>
      </c>
      <c r="K2313" s="18"/>
      <c r="L2313" s="18" t="s">
        <v>7874</v>
      </c>
    </row>
    <row r="2314">
      <c r="A2314" s="18" t="s">
        <v>7875</v>
      </c>
      <c r="B2314" s="18" t="s">
        <v>791</v>
      </c>
      <c r="C2314" s="18" t="s">
        <v>7876</v>
      </c>
      <c r="D2314" s="18"/>
      <c r="E2314" s="24">
        <v>8.1335208487E10</v>
      </c>
      <c r="F2314" s="24">
        <v>1.0</v>
      </c>
      <c r="G2314" s="18" t="s">
        <v>7876</v>
      </c>
      <c r="H2314" s="18"/>
      <c r="I2314" s="24">
        <v>8.1335208487E10</v>
      </c>
      <c r="J2314" s="18" t="s">
        <v>5929</v>
      </c>
      <c r="K2314" s="18"/>
      <c r="L2314" s="18" t="s">
        <v>1850</v>
      </c>
    </row>
    <row r="2315">
      <c r="A2315" s="18" t="s">
        <v>7877</v>
      </c>
      <c r="B2315" s="18" t="s">
        <v>791</v>
      </c>
      <c r="C2315" s="18" t="s">
        <v>7878</v>
      </c>
      <c r="D2315" s="18"/>
      <c r="E2315" s="18"/>
      <c r="F2315" s="24">
        <v>1.0</v>
      </c>
      <c r="G2315" s="18" t="s">
        <v>7878</v>
      </c>
      <c r="H2315" s="18"/>
      <c r="I2315" s="18"/>
      <c r="J2315" s="18" t="s">
        <v>7879</v>
      </c>
      <c r="K2315" s="18"/>
      <c r="L2315" s="18"/>
    </row>
    <row r="2316">
      <c r="A2316" s="18" t="s">
        <v>7880</v>
      </c>
      <c r="B2316" s="18" t="s">
        <v>791</v>
      </c>
      <c r="C2316" s="18" t="s">
        <v>7881</v>
      </c>
      <c r="D2316" s="18"/>
      <c r="E2316" s="24">
        <v>8.1330348474E10</v>
      </c>
      <c r="F2316" s="24">
        <v>1.0</v>
      </c>
      <c r="G2316" s="18" t="s">
        <v>7881</v>
      </c>
      <c r="H2316" s="18"/>
      <c r="I2316" s="24">
        <v>8.1330348474E10</v>
      </c>
      <c r="J2316" s="18" t="s">
        <v>7140</v>
      </c>
      <c r="K2316" s="18"/>
      <c r="L2316" s="18" t="s">
        <v>3480</v>
      </c>
    </row>
    <row r="2317">
      <c r="A2317" s="18" t="s">
        <v>7882</v>
      </c>
      <c r="B2317" s="18" t="s">
        <v>791</v>
      </c>
      <c r="C2317" s="18" t="s">
        <v>7883</v>
      </c>
      <c r="D2317" s="18"/>
      <c r="E2317" s="24">
        <v>8.1230515353E10</v>
      </c>
      <c r="F2317" s="24">
        <v>1.0</v>
      </c>
      <c r="G2317" s="18" t="s">
        <v>7883</v>
      </c>
      <c r="H2317" s="18"/>
      <c r="I2317" s="24">
        <v>8.1230515353E10</v>
      </c>
      <c r="J2317" s="18" t="s">
        <v>7884</v>
      </c>
      <c r="K2317" s="18"/>
      <c r="L2317" s="18" t="s">
        <v>3342</v>
      </c>
    </row>
    <row r="2318">
      <c r="A2318" s="18" t="s">
        <v>7885</v>
      </c>
      <c r="B2318" s="18" t="s">
        <v>791</v>
      </c>
      <c r="C2318" s="18" t="s">
        <v>7886</v>
      </c>
      <c r="D2318" s="18"/>
      <c r="E2318" s="24">
        <v>8.5259755878E10</v>
      </c>
      <c r="F2318" s="24">
        <v>1.0</v>
      </c>
      <c r="G2318" s="18" t="s">
        <v>7886</v>
      </c>
      <c r="H2318" s="18"/>
      <c r="I2318" s="24">
        <v>8.5259755878E10</v>
      </c>
      <c r="J2318" s="18" t="s">
        <v>7887</v>
      </c>
      <c r="K2318" s="18"/>
      <c r="L2318" s="18" t="s">
        <v>3154</v>
      </c>
    </row>
    <row r="2319">
      <c r="A2319" s="18" t="s">
        <v>7888</v>
      </c>
      <c r="B2319" s="18" t="s">
        <v>791</v>
      </c>
      <c r="C2319" s="18" t="s">
        <v>7889</v>
      </c>
      <c r="D2319" s="18"/>
      <c r="E2319" s="24">
        <v>8.2335239616E10</v>
      </c>
      <c r="F2319" s="24">
        <v>1.0</v>
      </c>
      <c r="G2319" s="18" t="s">
        <v>7889</v>
      </c>
      <c r="H2319" s="18"/>
      <c r="I2319" s="24">
        <v>8.2335239616E10</v>
      </c>
      <c r="J2319" s="18" t="s">
        <v>7890</v>
      </c>
      <c r="K2319" s="18"/>
      <c r="L2319" s="18" t="s">
        <v>2125</v>
      </c>
    </row>
    <row r="2320">
      <c r="A2320" s="18" t="s">
        <v>7891</v>
      </c>
      <c r="B2320" s="18" t="s">
        <v>791</v>
      </c>
      <c r="C2320" s="18" t="s">
        <v>7892</v>
      </c>
      <c r="D2320" s="18"/>
      <c r="E2320" s="24">
        <v>8.5141565285E10</v>
      </c>
      <c r="F2320" s="24">
        <v>1.0</v>
      </c>
      <c r="G2320" s="18" t="s">
        <v>7892</v>
      </c>
      <c r="H2320" s="18"/>
      <c r="I2320" s="24">
        <v>8.5141565285E10</v>
      </c>
      <c r="J2320" s="18" t="s">
        <v>7893</v>
      </c>
      <c r="K2320" s="18"/>
      <c r="L2320" s="18" t="s">
        <v>3188</v>
      </c>
    </row>
    <row r="2321">
      <c r="A2321" s="18" t="s">
        <v>7894</v>
      </c>
      <c r="B2321" s="18" t="s">
        <v>791</v>
      </c>
      <c r="C2321" s="18" t="s">
        <v>7895</v>
      </c>
      <c r="D2321" s="18"/>
      <c r="E2321" s="24">
        <v>8.5334751073E10</v>
      </c>
      <c r="F2321" s="24">
        <v>1.0</v>
      </c>
      <c r="G2321" s="18" t="s">
        <v>7895</v>
      </c>
      <c r="H2321" s="18"/>
      <c r="I2321" s="24">
        <v>8.5334751073E10</v>
      </c>
      <c r="J2321" s="18" t="s">
        <v>7320</v>
      </c>
      <c r="K2321" s="18"/>
      <c r="L2321" s="18" t="s">
        <v>1546</v>
      </c>
    </row>
    <row r="2322">
      <c r="A2322" s="18" t="s">
        <v>7896</v>
      </c>
      <c r="B2322" s="18" t="s">
        <v>791</v>
      </c>
      <c r="C2322" s="18" t="s">
        <v>7897</v>
      </c>
      <c r="D2322" s="18"/>
      <c r="E2322" s="24">
        <v>8.5235782242E10</v>
      </c>
      <c r="F2322" s="24">
        <v>1.0</v>
      </c>
      <c r="G2322" s="18" t="s">
        <v>7897</v>
      </c>
      <c r="H2322" s="18"/>
      <c r="I2322" s="24">
        <v>8.5235782242E10</v>
      </c>
      <c r="J2322" s="18" t="s">
        <v>7898</v>
      </c>
      <c r="K2322" s="18"/>
      <c r="L2322" s="18" t="s">
        <v>3286</v>
      </c>
    </row>
    <row r="2323">
      <c r="A2323" s="18" t="s">
        <v>7899</v>
      </c>
      <c r="B2323" s="18" t="s">
        <v>791</v>
      </c>
      <c r="C2323" s="18" t="s">
        <v>7900</v>
      </c>
      <c r="D2323" s="18"/>
      <c r="E2323" s="24">
        <v>8.1332084559E10</v>
      </c>
      <c r="F2323" s="24">
        <v>1.0</v>
      </c>
      <c r="G2323" s="18" t="s">
        <v>7900</v>
      </c>
      <c r="H2323" s="18"/>
      <c r="I2323" s="24">
        <v>8.1332084559E10</v>
      </c>
      <c r="J2323" s="18" t="s">
        <v>7901</v>
      </c>
      <c r="K2323" s="18"/>
      <c r="L2323" s="18" t="s">
        <v>2843</v>
      </c>
    </row>
    <row r="2324">
      <c r="A2324" s="18" t="s">
        <v>7902</v>
      </c>
      <c r="B2324" s="18" t="s">
        <v>791</v>
      </c>
      <c r="C2324" s="18" t="s">
        <v>7903</v>
      </c>
      <c r="D2324" s="18"/>
      <c r="E2324" s="24">
        <v>8.233733496E10</v>
      </c>
      <c r="F2324" s="24">
        <v>1.0</v>
      </c>
      <c r="G2324" s="18" t="s">
        <v>7903</v>
      </c>
      <c r="H2324" s="18"/>
      <c r="I2324" s="24">
        <v>8.233733496E10</v>
      </c>
      <c r="J2324" s="18" t="s">
        <v>7904</v>
      </c>
      <c r="K2324" s="18"/>
      <c r="L2324" s="18" t="s">
        <v>6306</v>
      </c>
    </row>
    <row r="2325">
      <c r="A2325" s="18" t="s">
        <v>7905</v>
      </c>
      <c r="B2325" s="18" t="s">
        <v>791</v>
      </c>
      <c r="C2325" s="18" t="s">
        <v>7906</v>
      </c>
      <c r="D2325" s="18"/>
      <c r="E2325" s="24">
        <v>8.2338373115E10</v>
      </c>
      <c r="F2325" s="24">
        <v>1.0</v>
      </c>
      <c r="G2325" s="18" t="s">
        <v>7906</v>
      </c>
      <c r="H2325" s="18"/>
      <c r="I2325" s="24">
        <v>8.2338373115E10</v>
      </c>
      <c r="J2325" s="18" t="s">
        <v>7091</v>
      </c>
      <c r="K2325" s="18"/>
      <c r="L2325" s="18" t="s">
        <v>4641</v>
      </c>
    </row>
    <row r="2326">
      <c r="A2326" s="18" t="s">
        <v>7907</v>
      </c>
      <c r="B2326" s="18" t="s">
        <v>791</v>
      </c>
      <c r="C2326" s="18" t="s">
        <v>7908</v>
      </c>
      <c r="D2326" s="18"/>
      <c r="E2326" s="24">
        <v>8.1335208487E10</v>
      </c>
      <c r="F2326" s="24">
        <v>1.0</v>
      </c>
      <c r="G2326" s="18" t="s">
        <v>7908</v>
      </c>
      <c r="H2326" s="18"/>
      <c r="I2326" s="24">
        <v>8.1335208487E10</v>
      </c>
      <c r="J2326" s="18" t="s">
        <v>6360</v>
      </c>
      <c r="K2326" s="18"/>
      <c r="L2326" s="18" t="s">
        <v>1850</v>
      </c>
    </row>
    <row r="2327">
      <c r="A2327" s="18" t="s">
        <v>7909</v>
      </c>
      <c r="B2327" s="18" t="s">
        <v>791</v>
      </c>
      <c r="C2327" s="18" t="s">
        <v>7910</v>
      </c>
      <c r="D2327" s="18"/>
      <c r="E2327" s="24">
        <v>8.156716156E9</v>
      </c>
      <c r="F2327" s="24">
        <v>1.0</v>
      </c>
      <c r="G2327" s="18" t="s">
        <v>7910</v>
      </c>
      <c r="H2327" s="18"/>
      <c r="I2327" s="24">
        <v>8.156716156E9</v>
      </c>
      <c r="J2327" s="18" t="s">
        <v>7911</v>
      </c>
      <c r="K2327" s="18"/>
      <c r="L2327" s="18" t="s">
        <v>2903</v>
      </c>
    </row>
    <row r="2328">
      <c r="A2328" s="18" t="s">
        <v>7912</v>
      </c>
      <c r="B2328" s="18" t="s">
        <v>791</v>
      </c>
      <c r="C2328" s="18" t="s">
        <v>7913</v>
      </c>
      <c r="D2328" s="18"/>
      <c r="E2328" s="24">
        <v>8.5372550555E10</v>
      </c>
      <c r="F2328" s="24">
        <v>1.0</v>
      </c>
      <c r="G2328" s="18" t="s">
        <v>7913</v>
      </c>
      <c r="H2328" s="18"/>
      <c r="I2328" s="24">
        <v>8.5372550555E10</v>
      </c>
      <c r="J2328" s="18" t="s">
        <v>7914</v>
      </c>
      <c r="K2328" s="18"/>
      <c r="L2328" s="18" t="s">
        <v>2339</v>
      </c>
    </row>
    <row r="2329">
      <c r="A2329" s="18" t="s">
        <v>7915</v>
      </c>
      <c r="B2329" s="18" t="s">
        <v>791</v>
      </c>
      <c r="C2329" s="18" t="s">
        <v>7916</v>
      </c>
      <c r="D2329" s="18"/>
      <c r="E2329" s="24">
        <v>8.2335239616E10</v>
      </c>
      <c r="F2329" s="24">
        <v>1.0</v>
      </c>
      <c r="G2329" s="18" t="s">
        <v>7916</v>
      </c>
      <c r="H2329" s="18"/>
      <c r="I2329" s="24">
        <v>8.2335239616E10</v>
      </c>
      <c r="J2329" s="18" t="s">
        <v>7871</v>
      </c>
      <c r="K2329" s="18"/>
      <c r="L2329" s="18" t="s">
        <v>2125</v>
      </c>
    </row>
    <row r="2330">
      <c r="A2330" s="18" t="s">
        <v>7917</v>
      </c>
      <c r="B2330" s="18" t="s">
        <v>791</v>
      </c>
      <c r="C2330" s="18" t="s">
        <v>7918</v>
      </c>
      <c r="D2330" s="18"/>
      <c r="E2330" s="18"/>
      <c r="F2330" s="24">
        <v>1.0</v>
      </c>
      <c r="G2330" s="18" t="s">
        <v>7918</v>
      </c>
      <c r="H2330" s="18"/>
      <c r="I2330" s="18"/>
      <c r="J2330" s="18" t="s">
        <v>6731</v>
      </c>
      <c r="K2330" s="18"/>
      <c r="L2330" s="18"/>
    </row>
    <row r="2331">
      <c r="A2331" s="18" t="s">
        <v>7919</v>
      </c>
      <c r="B2331" s="18" t="s">
        <v>791</v>
      </c>
      <c r="C2331" s="18" t="s">
        <v>7920</v>
      </c>
      <c r="D2331" s="18"/>
      <c r="E2331" s="24">
        <v>8.5335292897E10</v>
      </c>
      <c r="F2331" s="24">
        <v>1.0</v>
      </c>
      <c r="G2331" s="18" t="s">
        <v>7920</v>
      </c>
      <c r="H2331" s="18"/>
      <c r="I2331" s="24">
        <v>8.5335292897E10</v>
      </c>
      <c r="J2331" s="18" t="s">
        <v>7921</v>
      </c>
      <c r="K2331" s="18"/>
      <c r="L2331" s="18" t="s">
        <v>7922</v>
      </c>
    </row>
    <row r="2332">
      <c r="A2332" s="18" t="s">
        <v>7923</v>
      </c>
      <c r="B2332" s="18" t="s">
        <v>791</v>
      </c>
      <c r="C2332" s="18" t="s">
        <v>7920</v>
      </c>
      <c r="D2332" s="18"/>
      <c r="E2332" s="24">
        <v>8.5229792099E10</v>
      </c>
      <c r="F2332" s="24">
        <v>1.0</v>
      </c>
      <c r="G2332" s="18" t="s">
        <v>7920</v>
      </c>
      <c r="H2332" s="18"/>
      <c r="I2332" s="24">
        <v>8.5229792099E10</v>
      </c>
      <c r="J2332" s="18" t="s">
        <v>7924</v>
      </c>
      <c r="K2332" s="18"/>
      <c r="L2332" s="18" t="s">
        <v>1186</v>
      </c>
    </row>
    <row r="2333">
      <c r="A2333" s="18" t="s">
        <v>7179</v>
      </c>
      <c r="B2333" s="18" t="s">
        <v>791</v>
      </c>
      <c r="C2333" s="18" t="s">
        <v>7181</v>
      </c>
      <c r="D2333" s="18"/>
      <c r="E2333" s="24">
        <v>8.125990493E9</v>
      </c>
      <c r="F2333" s="24">
        <v>1.0</v>
      </c>
      <c r="G2333" s="18" t="s">
        <v>7181</v>
      </c>
      <c r="H2333" s="18"/>
      <c r="I2333" s="24">
        <v>8.125990493E9</v>
      </c>
      <c r="J2333" s="18" t="s">
        <v>7183</v>
      </c>
      <c r="K2333" s="18"/>
      <c r="L2333" s="18" t="s">
        <v>7184</v>
      </c>
    </row>
    <row r="2334">
      <c r="A2334" s="18" t="s">
        <v>7925</v>
      </c>
      <c r="B2334" s="18" t="s">
        <v>791</v>
      </c>
      <c r="C2334" s="18" t="s">
        <v>7926</v>
      </c>
      <c r="D2334" s="18"/>
      <c r="E2334" s="24">
        <v>8.133527466E10</v>
      </c>
      <c r="F2334" s="24">
        <v>1.0</v>
      </c>
      <c r="G2334" s="18" t="s">
        <v>7926</v>
      </c>
      <c r="H2334" s="18"/>
      <c r="I2334" s="24">
        <v>8.133527466E10</v>
      </c>
      <c r="J2334" s="18" t="s">
        <v>7539</v>
      </c>
      <c r="K2334" s="18"/>
      <c r="L2334" s="18" t="s">
        <v>1777</v>
      </c>
    </row>
    <row r="2335">
      <c r="A2335" s="18" t="s">
        <v>7927</v>
      </c>
      <c r="B2335" s="18" t="s">
        <v>791</v>
      </c>
      <c r="C2335" s="18" t="s">
        <v>7926</v>
      </c>
      <c r="D2335" s="18"/>
      <c r="E2335" s="24">
        <v>8.5806778428E10</v>
      </c>
      <c r="F2335" s="24">
        <v>1.0</v>
      </c>
      <c r="G2335" s="18" t="s">
        <v>7926</v>
      </c>
      <c r="H2335" s="18"/>
      <c r="I2335" s="24">
        <v>8.5806778428E10</v>
      </c>
      <c r="J2335" s="18" t="s">
        <v>6780</v>
      </c>
      <c r="K2335" s="18"/>
      <c r="L2335" s="18" t="s">
        <v>3664</v>
      </c>
    </row>
    <row r="2336">
      <c r="A2336" s="18" t="s">
        <v>7928</v>
      </c>
      <c r="B2336" s="18" t="s">
        <v>791</v>
      </c>
      <c r="C2336" s="18" t="s">
        <v>7172</v>
      </c>
      <c r="D2336" s="18"/>
      <c r="E2336" s="24">
        <v>8.1359758842E10</v>
      </c>
      <c r="F2336" s="24">
        <v>1.0</v>
      </c>
      <c r="G2336" s="18" t="s">
        <v>7172</v>
      </c>
      <c r="H2336" s="18"/>
      <c r="I2336" s="24">
        <v>8.1359758842E10</v>
      </c>
      <c r="J2336" s="18" t="s">
        <v>7929</v>
      </c>
      <c r="K2336" s="18"/>
      <c r="L2336" s="18" t="s">
        <v>7930</v>
      </c>
    </row>
    <row r="2337">
      <c r="A2337" s="18" t="s">
        <v>7931</v>
      </c>
      <c r="B2337" s="18" t="s">
        <v>791</v>
      </c>
      <c r="C2337" s="18" t="s">
        <v>7172</v>
      </c>
      <c r="D2337" s="18"/>
      <c r="E2337" s="24">
        <v>8.1336973383E10</v>
      </c>
      <c r="F2337" s="24">
        <v>1.0</v>
      </c>
      <c r="G2337" s="18" t="s">
        <v>7172</v>
      </c>
      <c r="H2337" s="18"/>
      <c r="I2337" s="24">
        <v>8.1336973383E10</v>
      </c>
      <c r="J2337" s="18" t="s">
        <v>7932</v>
      </c>
      <c r="K2337" s="18"/>
      <c r="L2337" s="18" t="s">
        <v>2125</v>
      </c>
    </row>
    <row r="2338">
      <c r="A2338" s="18" t="s">
        <v>7933</v>
      </c>
      <c r="B2338" s="18" t="s">
        <v>791</v>
      </c>
      <c r="C2338" s="18" t="s">
        <v>7934</v>
      </c>
      <c r="D2338" s="18"/>
      <c r="E2338" s="24">
        <v>8.1335770213E10</v>
      </c>
      <c r="F2338" s="24">
        <v>1.0</v>
      </c>
      <c r="G2338" s="18" t="s">
        <v>7934</v>
      </c>
      <c r="H2338" s="18"/>
      <c r="I2338" s="24">
        <v>8.1335770213E10</v>
      </c>
      <c r="J2338" s="18" t="s">
        <v>7935</v>
      </c>
      <c r="K2338" s="18"/>
      <c r="L2338" s="18" t="s">
        <v>7936</v>
      </c>
    </row>
    <row r="2339">
      <c r="A2339" s="18" t="s">
        <v>7937</v>
      </c>
      <c r="B2339" s="18" t="s">
        <v>791</v>
      </c>
      <c r="C2339" s="18" t="s">
        <v>7172</v>
      </c>
      <c r="D2339" s="18"/>
      <c r="E2339" s="24">
        <v>8.5735098691E10</v>
      </c>
      <c r="F2339" s="24">
        <v>1.0</v>
      </c>
      <c r="G2339" s="18" t="s">
        <v>7172</v>
      </c>
      <c r="H2339" s="18"/>
      <c r="I2339" s="24">
        <v>8.5735098691E10</v>
      </c>
      <c r="J2339" s="18" t="s">
        <v>7938</v>
      </c>
      <c r="K2339" s="18"/>
      <c r="L2339" s="18" t="s">
        <v>2132</v>
      </c>
    </row>
    <row r="2340">
      <c r="A2340" s="18" t="s">
        <v>7171</v>
      </c>
      <c r="B2340" s="18" t="s">
        <v>791</v>
      </c>
      <c r="C2340" s="18" t="s">
        <v>7172</v>
      </c>
      <c r="D2340" s="18"/>
      <c r="E2340" s="24">
        <v>8.125949144E9</v>
      </c>
      <c r="F2340" s="24">
        <v>1.0</v>
      </c>
      <c r="G2340" s="18" t="s">
        <v>7172</v>
      </c>
      <c r="H2340" s="18"/>
      <c r="I2340" s="24">
        <v>8.125949144E9</v>
      </c>
      <c r="J2340" s="18" t="s">
        <v>7174</v>
      </c>
      <c r="K2340" s="18"/>
      <c r="L2340" s="18" t="s">
        <v>5573</v>
      </c>
    </row>
    <row r="2341">
      <c r="A2341" s="18" t="s">
        <v>7939</v>
      </c>
      <c r="B2341" s="18" t="s">
        <v>791</v>
      </c>
      <c r="C2341" s="18" t="s">
        <v>7940</v>
      </c>
      <c r="D2341" s="18"/>
      <c r="E2341" s="24">
        <v>8.5784676494E10</v>
      </c>
      <c r="F2341" s="24">
        <v>1.0</v>
      </c>
      <c r="G2341" s="18" t="s">
        <v>7940</v>
      </c>
      <c r="H2341" s="18"/>
      <c r="I2341" s="24">
        <v>8.5784676494E10</v>
      </c>
      <c r="J2341" s="18" t="s">
        <v>7534</v>
      </c>
      <c r="K2341" s="18"/>
      <c r="L2341" s="18" t="s">
        <v>6488</v>
      </c>
    </row>
    <row r="2342">
      <c r="A2342" s="18" t="s">
        <v>7941</v>
      </c>
      <c r="B2342" s="18" t="s">
        <v>791</v>
      </c>
      <c r="C2342" s="18" t="s">
        <v>7942</v>
      </c>
      <c r="D2342" s="18"/>
      <c r="E2342" s="24">
        <v>8.1335596408E10</v>
      </c>
      <c r="F2342" s="24">
        <v>1.0</v>
      </c>
      <c r="G2342" s="18" t="s">
        <v>7942</v>
      </c>
      <c r="H2342" s="18"/>
      <c r="I2342" s="24">
        <v>8.1335596408E10</v>
      </c>
      <c r="J2342" s="18" t="s">
        <v>7943</v>
      </c>
      <c r="K2342" s="18"/>
      <c r="L2342" s="18" t="s">
        <v>7944</v>
      </c>
    </row>
    <row r="2343">
      <c r="A2343" s="18" t="s">
        <v>7945</v>
      </c>
      <c r="B2343" s="18" t="s">
        <v>791</v>
      </c>
      <c r="C2343" s="18" t="s">
        <v>7946</v>
      </c>
      <c r="D2343" s="18"/>
      <c r="E2343" s="24">
        <v>8.5235672001E10</v>
      </c>
      <c r="F2343" s="24">
        <v>1.0</v>
      </c>
      <c r="G2343" s="18" t="s">
        <v>7946</v>
      </c>
      <c r="H2343" s="18"/>
      <c r="I2343" s="24">
        <v>8.5235672001E10</v>
      </c>
      <c r="J2343" s="18" t="s">
        <v>7947</v>
      </c>
      <c r="K2343" s="18"/>
      <c r="L2343" s="18" t="s">
        <v>3552</v>
      </c>
    </row>
    <row r="2344">
      <c r="A2344" s="18" t="s">
        <v>7948</v>
      </c>
      <c r="B2344" s="18" t="s">
        <v>791</v>
      </c>
      <c r="C2344" s="18" t="s">
        <v>7949</v>
      </c>
      <c r="D2344" s="18"/>
      <c r="E2344" s="24">
        <v>8.125245787E10</v>
      </c>
      <c r="F2344" s="24">
        <v>1.0</v>
      </c>
      <c r="G2344" s="18" t="s">
        <v>7949</v>
      </c>
      <c r="H2344" s="18"/>
      <c r="I2344" s="24">
        <v>8.125245787E10</v>
      </c>
      <c r="J2344" s="18" t="s">
        <v>7951</v>
      </c>
      <c r="K2344" s="18"/>
      <c r="L2344" s="18" t="s">
        <v>3115</v>
      </c>
    </row>
    <row r="2345">
      <c r="A2345" s="18" t="s">
        <v>7952</v>
      </c>
      <c r="B2345" s="18" t="s">
        <v>791</v>
      </c>
      <c r="C2345" s="18" t="s">
        <v>7953</v>
      </c>
      <c r="D2345" s="18"/>
      <c r="E2345" s="24">
        <v>8.5735745996E10</v>
      </c>
      <c r="F2345" s="24">
        <v>1.0</v>
      </c>
      <c r="G2345" s="18" t="s">
        <v>7953</v>
      </c>
      <c r="H2345" s="18"/>
      <c r="I2345" s="24">
        <v>8.5735745996E10</v>
      </c>
      <c r="J2345" s="18" t="s">
        <v>7954</v>
      </c>
      <c r="K2345" s="18"/>
      <c r="L2345" s="18" t="s">
        <v>7955</v>
      </c>
    </row>
    <row r="2346">
      <c r="A2346" s="18" t="s">
        <v>7956</v>
      </c>
      <c r="B2346" s="18" t="s">
        <v>791</v>
      </c>
      <c r="C2346" s="18" t="s">
        <v>7957</v>
      </c>
      <c r="D2346" s="18"/>
      <c r="E2346" s="24">
        <v>8.5228023581E10</v>
      </c>
      <c r="F2346" s="24">
        <v>1.0</v>
      </c>
      <c r="G2346" s="18" t="s">
        <v>7957</v>
      </c>
      <c r="H2346" s="18"/>
      <c r="I2346" s="24">
        <v>8.5228023581E10</v>
      </c>
      <c r="J2346" s="18" t="s">
        <v>7959</v>
      </c>
      <c r="K2346" s="18"/>
      <c r="L2346" s="18" t="s">
        <v>2237</v>
      </c>
    </row>
    <row r="2347">
      <c r="A2347" s="18" t="s">
        <v>7960</v>
      </c>
      <c r="B2347" s="18" t="s">
        <v>791</v>
      </c>
      <c r="C2347" s="18" t="s">
        <v>7961</v>
      </c>
      <c r="D2347" s="18"/>
      <c r="E2347" s="24">
        <v>8.2332409958E10</v>
      </c>
      <c r="F2347" s="24">
        <v>1.0</v>
      </c>
      <c r="G2347" s="18" t="s">
        <v>7961</v>
      </c>
      <c r="H2347" s="18"/>
      <c r="I2347" s="24">
        <v>8.2332409958E10</v>
      </c>
      <c r="J2347" s="18" t="s">
        <v>7962</v>
      </c>
      <c r="K2347" s="18"/>
      <c r="L2347" s="18" t="s">
        <v>2098</v>
      </c>
    </row>
    <row r="2348">
      <c r="A2348" s="18" t="s">
        <v>7963</v>
      </c>
      <c r="B2348" s="18" t="s">
        <v>791</v>
      </c>
      <c r="C2348" s="18" t="s">
        <v>7964</v>
      </c>
      <c r="D2348" s="18"/>
      <c r="E2348" s="18"/>
      <c r="F2348" s="24">
        <v>1.0</v>
      </c>
      <c r="G2348" s="18" t="s">
        <v>7964</v>
      </c>
      <c r="H2348" s="18"/>
      <c r="I2348" s="18"/>
      <c r="J2348" s="18" t="s">
        <v>6610</v>
      </c>
      <c r="K2348" s="18"/>
      <c r="L2348" s="18"/>
    </row>
    <row r="2349">
      <c r="A2349" s="18" t="s">
        <v>7965</v>
      </c>
      <c r="B2349" s="18" t="s">
        <v>791</v>
      </c>
      <c r="C2349" s="18" t="s">
        <v>7966</v>
      </c>
      <c r="D2349" s="18"/>
      <c r="E2349" s="24">
        <v>8.572993633E10</v>
      </c>
      <c r="F2349" s="24">
        <v>1.0</v>
      </c>
      <c r="G2349" s="18" t="s">
        <v>7966</v>
      </c>
      <c r="H2349" s="18"/>
      <c r="I2349" s="24">
        <v>8.572993633E10</v>
      </c>
      <c r="J2349" s="18" t="s">
        <v>7967</v>
      </c>
      <c r="K2349" s="18"/>
      <c r="L2349" s="18" t="s">
        <v>2903</v>
      </c>
    </row>
    <row r="2350">
      <c r="A2350" s="18" t="s">
        <v>7968</v>
      </c>
      <c r="B2350" s="18" t="s">
        <v>791</v>
      </c>
      <c r="C2350" s="18" t="s">
        <v>7966</v>
      </c>
      <c r="D2350" s="18"/>
      <c r="E2350" s="18"/>
      <c r="F2350" s="24">
        <v>1.0</v>
      </c>
      <c r="G2350" s="18" t="s">
        <v>7966</v>
      </c>
      <c r="H2350" s="18"/>
      <c r="I2350" s="18"/>
      <c r="J2350" s="18" t="s">
        <v>7969</v>
      </c>
      <c r="K2350" s="18"/>
      <c r="L2350" s="18"/>
    </row>
    <row r="2351">
      <c r="A2351" s="18" t="s">
        <v>7970</v>
      </c>
      <c r="B2351" s="18" t="s">
        <v>791</v>
      </c>
      <c r="C2351" s="18" t="s">
        <v>7964</v>
      </c>
      <c r="D2351" s="18"/>
      <c r="E2351" s="24">
        <v>8.1335208487E10</v>
      </c>
      <c r="F2351" s="24">
        <v>1.0</v>
      </c>
      <c r="G2351" s="18" t="s">
        <v>7964</v>
      </c>
      <c r="H2351" s="18"/>
      <c r="I2351" s="24">
        <v>8.1335208487E10</v>
      </c>
      <c r="J2351" s="18" t="s">
        <v>5662</v>
      </c>
      <c r="K2351" s="18"/>
      <c r="L2351" s="18" t="s">
        <v>1850</v>
      </c>
    </row>
    <row r="2352">
      <c r="A2352" s="18" t="s">
        <v>7971</v>
      </c>
      <c r="B2352" s="18" t="s">
        <v>791</v>
      </c>
      <c r="C2352" s="18" t="s">
        <v>7966</v>
      </c>
      <c r="D2352" s="18"/>
      <c r="E2352" s="24">
        <v>8.570857555E10</v>
      </c>
      <c r="F2352" s="24">
        <v>1.0</v>
      </c>
      <c r="G2352" s="18" t="s">
        <v>7966</v>
      </c>
      <c r="H2352" s="18"/>
      <c r="I2352" s="24">
        <v>8.570857555E10</v>
      </c>
      <c r="J2352" s="18" t="s">
        <v>6243</v>
      </c>
      <c r="K2352" s="18"/>
      <c r="L2352" s="18" t="s">
        <v>4504</v>
      </c>
    </row>
    <row r="2353">
      <c r="A2353" s="18" t="s">
        <v>7972</v>
      </c>
      <c r="B2353" s="18" t="s">
        <v>791</v>
      </c>
      <c r="C2353" s="18" t="s">
        <v>7964</v>
      </c>
      <c r="D2353" s="18"/>
      <c r="E2353" s="24">
        <v>8.2338196831E10</v>
      </c>
      <c r="F2353" s="24">
        <v>1.0</v>
      </c>
      <c r="G2353" s="18" t="s">
        <v>7964</v>
      </c>
      <c r="H2353" s="18"/>
      <c r="I2353" s="24">
        <v>8.2338196831E10</v>
      </c>
      <c r="J2353" s="18" t="s">
        <v>7581</v>
      </c>
      <c r="K2353" s="18"/>
      <c r="L2353" s="18" t="s">
        <v>2332</v>
      </c>
    </row>
    <row r="2354">
      <c r="A2354" s="18" t="s">
        <v>7973</v>
      </c>
      <c r="B2354" s="18" t="s">
        <v>791</v>
      </c>
      <c r="C2354" s="18" t="s">
        <v>7974</v>
      </c>
      <c r="D2354" s="18"/>
      <c r="E2354" s="24">
        <v>8.1335320057E10</v>
      </c>
      <c r="F2354" s="24">
        <v>1.0</v>
      </c>
      <c r="G2354" s="18" t="s">
        <v>7974</v>
      </c>
      <c r="H2354" s="18"/>
      <c r="I2354" s="24">
        <v>8.1335320057E10</v>
      </c>
      <c r="J2354" s="18" t="s">
        <v>7312</v>
      </c>
      <c r="K2354" s="18"/>
      <c r="L2354" s="18" t="s">
        <v>1474</v>
      </c>
    </row>
    <row r="2355">
      <c r="A2355" s="18" t="s">
        <v>7975</v>
      </c>
      <c r="B2355" s="18" t="s">
        <v>791</v>
      </c>
      <c r="C2355" s="18" t="s">
        <v>7976</v>
      </c>
      <c r="D2355" s="18"/>
      <c r="E2355" s="18"/>
      <c r="F2355" s="24">
        <v>1.0</v>
      </c>
      <c r="G2355" s="18" t="s">
        <v>7976</v>
      </c>
      <c r="H2355" s="18"/>
      <c r="I2355" s="18"/>
      <c r="J2355" s="18" t="s">
        <v>902</v>
      </c>
      <c r="K2355" s="18"/>
      <c r="L2355" s="18"/>
    </row>
    <row r="2356">
      <c r="A2356" s="18" t="s">
        <v>1060</v>
      </c>
      <c r="B2356" s="18" t="s">
        <v>791</v>
      </c>
      <c r="C2356" s="18" t="s">
        <v>1062</v>
      </c>
      <c r="D2356" s="18" t="s">
        <v>279</v>
      </c>
      <c r="E2356" s="24">
        <v>8.123449241E9</v>
      </c>
      <c r="F2356" s="24">
        <v>1.0</v>
      </c>
      <c r="G2356" s="18" t="s">
        <v>1062</v>
      </c>
      <c r="H2356" s="18" t="s">
        <v>279</v>
      </c>
      <c r="I2356" s="24">
        <v>8.123449241E9</v>
      </c>
      <c r="J2356" s="18" t="s">
        <v>1061</v>
      </c>
      <c r="K2356" s="18" t="s">
        <v>1061</v>
      </c>
      <c r="L2356" s="18" t="s">
        <v>1059</v>
      </c>
    </row>
    <row r="2357">
      <c r="A2357" s="18" t="s">
        <v>7977</v>
      </c>
      <c r="B2357" s="18" t="s">
        <v>791</v>
      </c>
      <c r="C2357" s="18" t="s">
        <v>7978</v>
      </c>
      <c r="D2357" s="18"/>
      <c r="E2357" s="24">
        <v>8.5736622942E10</v>
      </c>
      <c r="F2357" s="24">
        <v>1.0</v>
      </c>
      <c r="G2357" s="18" t="s">
        <v>7978</v>
      </c>
      <c r="H2357" s="18"/>
      <c r="I2357" s="24">
        <v>8.5736622942E10</v>
      </c>
      <c r="J2357" s="18" t="s">
        <v>7979</v>
      </c>
      <c r="K2357" s="18"/>
      <c r="L2357" s="18" t="s">
        <v>7980</v>
      </c>
    </row>
    <row r="2358">
      <c r="A2358" s="18" t="s">
        <v>7981</v>
      </c>
      <c r="B2358" s="18" t="s">
        <v>791</v>
      </c>
      <c r="C2358" s="18" t="s">
        <v>7982</v>
      </c>
      <c r="D2358" s="18"/>
      <c r="E2358" s="24">
        <v>8.2257793879E10</v>
      </c>
      <c r="F2358" s="24">
        <v>1.0</v>
      </c>
      <c r="G2358" s="18" t="s">
        <v>7982</v>
      </c>
      <c r="H2358" s="18"/>
      <c r="I2358" s="24">
        <v>8.2257793879E10</v>
      </c>
      <c r="J2358" s="18" t="s">
        <v>7983</v>
      </c>
      <c r="K2358" s="18"/>
      <c r="L2358" s="18" t="s">
        <v>1052</v>
      </c>
    </row>
    <row r="2359">
      <c r="A2359" s="18" t="s">
        <v>7984</v>
      </c>
      <c r="B2359" s="18" t="s">
        <v>791</v>
      </c>
      <c r="C2359" s="18" t="s">
        <v>7985</v>
      </c>
      <c r="D2359" s="18"/>
      <c r="E2359" s="24">
        <v>8.5103373232E10</v>
      </c>
      <c r="F2359" s="24">
        <v>1.0</v>
      </c>
      <c r="G2359" s="18" t="s">
        <v>7985</v>
      </c>
      <c r="H2359" s="18"/>
      <c r="I2359" s="24">
        <v>8.5103373232E10</v>
      </c>
      <c r="J2359" s="18" t="s">
        <v>7700</v>
      </c>
      <c r="K2359" s="18"/>
      <c r="L2359" s="18" t="s">
        <v>1519</v>
      </c>
    </row>
    <row r="2360">
      <c r="A2360" s="18" t="s">
        <v>7986</v>
      </c>
      <c r="B2360" s="18" t="s">
        <v>791</v>
      </c>
      <c r="C2360" s="18" t="s">
        <v>7987</v>
      </c>
      <c r="D2360" s="18"/>
      <c r="E2360" s="24">
        <v>8.5335270123E10</v>
      </c>
      <c r="F2360" s="24">
        <v>1.0</v>
      </c>
      <c r="G2360" s="18" t="s">
        <v>7987</v>
      </c>
      <c r="H2360" s="18"/>
      <c r="I2360" s="24">
        <v>8.5335270123E10</v>
      </c>
      <c r="J2360" s="18" t="s">
        <v>7988</v>
      </c>
      <c r="K2360" s="18"/>
      <c r="L2360" s="18" t="s">
        <v>7862</v>
      </c>
    </row>
    <row r="2361">
      <c r="A2361" s="18" t="s">
        <v>7989</v>
      </c>
      <c r="B2361" s="18" t="s">
        <v>791</v>
      </c>
      <c r="C2361" s="18" t="s">
        <v>7990</v>
      </c>
      <c r="D2361" s="18"/>
      <c r="E2361" s="24">
        <v>8.5649162982E10</v>
      </c>
      <c r="F2361" s="24">
        <v>1.0</v>
      </c>
      <c r="G2361" s="18" t="s">
        <v>7990</v>
      </c>
      <c r="H2361" s="18"/>
      <c r="I2361" s="24">
        <v>8.5649162982E10</v>
      </c>
      <c r="J2361" s="18" t="s">
        <v>7134</v>
      </c>
      <c r="K2361" s="18"/>
      <c r="L2361" s="18" t="s">
        <v>4540</v>
      </c>
    </row>
    <row r="2362">
      <c r="A2362" s="18" t="s">
        <v>7991</v>
      </c>
      <c r="B2362" s="18" t="s">
        <v>791</v>
      </c>
      <c r="C2362" s="18" t="s">
        <v>7992</v>
      </c>
      <c r="D2362" s="18"/>
      <c r="E2362" s="24">
        <v>8.5303510261E10</v>
      </c>
      <c r="F2362" s="24">
        <v>1.0</v>
      </c>
      <c r="G2362" s="18" t="s">
        <v>7992</v>
      </c>
      <c r="H2362" s="18"/>
      <c r="I2362" s="24">
        <v>8.5303510261E10</v>
      </c>
      <c r="J2362" s="18" t="s">
        <v>7993</v>
      </c>
      <c r="K2362" s="18"/>
      <c r="L2362" s="18" t="s">
        <v>1493</v>
      </c>
    </row>
    <row r="2363">
      <c r="A2363" s="18" t="s">
        <v>7994</v>
      </c>
      <c r="B2363" s="18" t="s">
        <v>791</v>
      </c>
      <c r="C2363" s="18" t="s">
        <v>7995</v>
      </c>
      <c r="D2363" s="18"/>
      <c r="E2363" s="24">
        <v>8.2143210221E10</v>
      </c>
      <c r="F2363" s="24">
        <v>1.0</v>
      </c>
      <c r="G2363" s="18" t="s">
        <v>7995</v>
      </c>
      <c r="H2363" s="18"/>
      <c r="I2363" s="24">
        <v>8.2143210221E10</v>
      </c>
      <c r="J2363" s="18" t="s">
        <v>7950</v>
      </c>
      <c r="K2363" s="18"/>
      <c r="L2363" s="18" t="s">
        <v>2110</v>
      </c>
    </row>
    <row r="2364">
      <c r="A2364" s="18" t="s">
        <v>7996</v>
      </c>
      <c r="B2364" s="18" t="s">
        <v>791</v>
      </c>
      <c r="C2364" s="18" t="s">
        <v>7997</v>
      </c>
      <c r="D2364" s="18"/>
      <c r="E2364" s="24">
        <v>8.580684218E10</v>
      </c>
      <c r="F2364" s="24">
        <v>1.0</v>
      </c>
      <c r="G2364" s="18" t="s">
        <v>7997</v>
      </c>
      <c r="H2364" s="18"/>
      <c r="I2364" s="24">
        <v>8.580684218E10</v>
      </c>
      <c r="J2364" s="18" t="s">
        <v>6549</v>
      </c>
      <c r="K2364" s="18"/>
      <c r="L2364" s="18" t="s">
        <v>1850</v>
      </c>
    </row>
    <row r="2365">
      <c r="A2365" s="18" t="s">
        <v>7998</v>
      </c>
      <c r="B2365" s="18" t="s">
        <v>791</v>
      </c>
      <c r="C2365" s="18" t="s">
        <v>7999</v>
      </c>
      <c r="D2365" s="18"/>
      <c r="E2365" s="24">
        <v>8.5236233096E10</v>
      </c>
      <c r="F2365" s="24">
        <v>1.0</v>
      </c>
      <c r="G2365" s="18" t="s">
        <v>7999</v>
      </c>
      <c r="H2365" s="18"/>
      <c r="I2365" s="24">
        <v>8.5236233096E10</v>
      </c>
      <c r="J2365" s="18" t="s">
        <v>6345</v>
      </c>
      <c r="K2365" s="18"/>
      <c r="L2365" s="18" t="s">
        <v>1850</v>
      </c>
    </row>
    <row r="2366">
      <c r="A2366" s="18" t="s">
        <v>8000</v>
      </c>
      <c r="B2366" s="18" t="s">
        <v>791</v>
      </c>
      <c r="C2366" s="18" t="s">
        <v>8001</v>
      </c>
      <c r="D2366" s="18"/>
      <c r="E2366" s="24">
        <v>8.5235343675E10</v>
      </c>
      <c r="F2366" s="24">
        <v>1.0</v>
      </c>
      <c r="G2366" s="18" t="s">
        <v>8001</v>
      </c>
      <c r="H2366" s="18"/>
      <c r="I2366" s="24">
        <v>8.5235343675E10</v>
      </c>
      <c r="J2366" s="18" t="s">
        <v>7226</v>
      </c>
      <c r="K2366" s="18"/>
      <c r="L2366" s="18" t="s">
        <v>1470</v>
      </c>
    </row>
    <row r="2367">
      <c r="A2367" s="18" t="s">
        <v>1020</v>
      </c>
      <c r="B2367" s="18" t="s">
        <v>791</v>
      </c>
      <c r="C2367" s="18" t="s">
        <v>1022</v>
      </c>
      <c r="D2367" s="18" t="s">
        <v>683</v>
      </c>
      <c r="E2367" s="24">
        <v>8.2335984151E10</v>
      </c>
      <c r="F2367" s="24">
        <v>1.0</v>
      </c>
      <c r="G2367" s="18" t="s">
        <v>1022</v>
      </c>
      <c r="H2367" s="18" t="s">
        <v>683</v>
      </c>
      <c r="I2367" s="24">
        <v>8.2335984151E10</v>
      </c>
      <c r="J2367" s="18" t="s">
        <v>1021</v>
      </c>
      <c r="K2367" s="18" t="s">
        <v>1021</v>
      </c>
      <c r="L2367" s="18" t="s">
        <v>1025</v>
      </c>
    </row>
    <row r="2368">
      <c r="A2368" s="18" t="s">
        <v>8002</v>
      </c>
      <c r="B2368" s="18" t="s">
        <v>791</v>
      </c>
      <c r="C2368" s="18" t="s">
        <v>8003</v>
      </c>
      <c r="D2368" s="18"/>
      <c r="E2368" s="24">
        <v>8.2335164088E10</v>
      </c>
      <c r="F2368" s="24">
        <v>1.0</v>
      </c>
      <c r="G2368" s="18" t="s">
        <v>8003</v>
      </c>
      <c r="H2368" s="18"/>
      <c r="I2368" s="24">
        <v>8.2335164088E10</v>
      </c>
      <c r="J2368" s="18" t="s">
        <v>8004</v>
      </c>
      <c r="K2368" s="18"/>
      <c r="L2368" s="18" t="s">
        <v>4949</v>
      </c>
    </row>
    <row r="2369">
      <c r="A2369" s="18" t="s">
        <v>8005</v>
      </c>
      <c r="B2369" s="18" t="s">
        <v>791</v>
      </c>
      <c r="C2369" s="18" t="s">
        <v>8006</v>
      </c>
      <c r="D2369" s="18"/>
      <c r="E2369" s="24">
        <v>8.1359559982E10</v>
      </c>
      <c r="F2369" s="24">
        <v>1.0</v>
      </c>
      <c r="G2369" s="18" t="s">
        <v>8006</v>
      </c>
      <c r="H2369" s="18"/>
      <c r="I2369" s="24">
        <v>8.1359559982E10</v>
      </c>
      <c r="J2369" s="18" t="s">
        <v>8007</v>
      </c>
      <c r="K2369" s="18"/>
      <c r="L2369" s="18" t="s">
        <v>3367</v>
      </c>
    </row>
    <row r="2370">
      <c r="A2370" s="18" t="s">
        <v>8008</v>
      </c>
      <c r="B2370" s="18" t="s">
        <v>791</v>
      </c>
      <c r="C2370" s="18" t="s">
        <v>8006</v>
      </c>
      <c r="D2370" s="18"/>
      <c r="E2370" s="24">
        <v>8.2137436753E10</v>
      </c>
      <c r="F2370" s="24">
        <v>1.0</v>
      </c>
      <c r="G2370" s="18" t="s">
        <v>8006</v>
      </c>
      <c r="H2370" s="18"/>
      <c r="I2370" s="24">
        <v>8.2137436753E10</v>
      </c>
      <c r="J2370" s="18" t="s">
        <v>8009</v>
      </c>
      <c r="K2370" s="18"/>
      <c r="L2370" s="18" t="s">
        <v>2339</v>
      </c>
    </row>
    <row r="2371">
      <c r="A2371" s="18" t="s">
        <v>8010</v>
      </c>
      <c r="B2371" s="18" t="s">
        <v>791</v>
      </c>
      <c r="C2371" s="18" t="s">
        <v>8011</v>
      </c>
      <c r="D2371" s="18"/>
      <c r="E2371" s="18"/>
      <c r="F2371" s="24">
        <v>1.0</v>
      </c>
      <c r="G2371" s="18" t="s">
        <v>8011</v>
      </c>
      <c r="H2371" s="18"/>
      <c r="I2371" s="18"/>
      <c r="J2371" s="18" t="s">
        <v>8012</v>
      </c>
      <c r="K2371" s="18"/>
      <c r="L2371" s="18"/>
    </row>
    <row r="2372">
      <c r="A2372" s="18" t="s">
        <v>8013</v>
      </c>
      <c r="B2372" s="18" t="s">
        <v>791</v>
      </c>
      <c r="C2372" s="18" t="s">
        <v>8014</v>
      </c>
      <c r="D2372" s="18"/>
      <c r="E2372" s="24">
        <v>8.5104622991E10</v>
      </c>
      <c r="F2372" s="24">
        <v>1.0</v>
      </c>
      <c r="G2372" s="18" t="s">
        <v>8014</v>
      </c>
      <c r="H2372" s="18"/>
      <c r="I2372" s="24">
        <v>8.5104622991E10</v>
      </c>
      <c r="J2372" s="18" t="s">
        <v>7958</v>
      </c>
      <c r="K2372" s="18"/>
      <c r="L2372" s="18" t="s">
        <v>2022</v>
      </c>
    </row>
    <row r="2373">
      <c r="A2373" s="18" t="s">
        <v>8015</v>
      </c>
      <c r="B2373" s="18" t="s">
        <v>791</v>
      </c>
      <c r="C2373" s="18" t="s">
        <v>8016</v>
      </c>
      <c r="D2373" s="18"/>
      <c r="E2373" s="24">
        <v>8.5235256947E10</v>
      </c>
      <c r="F2373" s="24">
        <v>1.0</v>
      </c>
      <c r="G2373" s="18" t="s">
        <v>8016</v>
      </c>
      <c r="H2373" s="18"/>
      <c r="I2373" s="24">
        <v>8.5235256947E10</v>
      </c>
      <c r="J2373" s="18" t="s">
        <v>8017</v>
      </c>
      <c r="K2373" s="18"/>
      <c r="L2373" s="18" t="s">
        <v>2689</v>
      </c>
    </row>
    <row r="2374">
      <c r="A2374" s="18" t="s">
        <v>8018</v>
      </c>
      <c r="B2374" s="18" t="s">
        <v>791</v>
      </c>
      <c r="C2374" s="18" t="s">
        <v>8019</v>
      </c>
      <c r="D2374" s="18"/>
      <c r="E2374" s="24">
        <v>8.5234553947E10</v>
      </c>
      <c r="F2374" s="24">
        <v>1.0</v>
      </c>
      <c r="G2374" s="18" t="s">
        <v>8019</v>
      </c>
      <c r="H2374" s="18"/>
      <c r="I2374" s="24">
        <v>8.5234553947E10</v>
      </c>
      <c r="J2374" s="18" t="s">
        <v>8020</v>
      </c>
      <c r="K2374" s="18"/>
      <c r="L2374" s="18" t="s">
        <v>8021</v>
      </c>
    </row>
    <row r="2375">
      <c r="A2375" s="18" t="s">
        <v>1026</v>
      </c>
      <c r="B2375" s="18" t="s">
        <v>791</v>
      </c>
      <c r="C2375" s="18" t="s">
        <v>1030</v>
      </c>
      <c r="D2375" s="18" t="s">
        <v>683</v>
      </c>
      <c r="E2375" s="24">
        <v>8.5645163601E10</v>
      </c>
      <c r="F2375" s="24">
        <v>1.0</v>
      </c>
      <c r="G2375" s="18" t="s">
        <v>1030</v>
      </c>
      <c r="H2375" s="18" t="s">
        <v>683</v>
      </c>
      <c r="I2375" s="24">
        <v>8.5645163601E10</v>
      </c>
      <c r="J2375" s="18" t="s">
        <v>1028</v>
      </c>
      <c r="K2375" s="18" t="s">
        <v>1028</v>
      </c>
      <c r="L2375" s="18" t="s">
        <v>1032</v>
      </c>
    </row>
    <row r="2376">
      <c r="A2376" s="18" t="s">
        <v>8022</v>
      </c>
      <c r="B2376" s="18" t="s">
        <v>791</v>
      </c>
      <c r="C2376" s="18" t="s">
        <v>8023</v>
      </c>
      <c r="D2376" s="18"/>
      <c r="E2376" s="24">
        <v>8.1247236487E10</v>
      </c>
      <c r="F2376" s="24">
        <v>1.0</v>
      </c>
      <c r="G2376" s="18" t="s">
        <v>8023</v>
      </c>
      <c r="H2376" s="18"/>
      <c r="I2376" s="24">
        <v>8.1247236487E10</v>
      </c>
      <c r="J2376" s="18" t="s">
        <v>8024</v>
      </c>
      <c r="K2376" s="18"/>
      <c r="L2376" s="18" t="s">
        <v>2075</v>
      </c>
    </row>
    <row r="2377">
      <c r="A2377" s="18" t="s">
        <v>8025</v>
      </c>
      <c r="B2377" s="18" t="s">
        <v>791</v>
      </c>
      <c r="C2377" s="18" t="s">
        <v>8026</v>
      </c>
      <c r="D2377" s="18"/>
      <c r="E2377" s="24">
        <v>8.1335035149E10</v>
      </c>
      <c r="F2377" s="24">
        <v>1.0</v>
      </c>
      <c r="G2377" s="18" t="s">
        <v>8026</v>
      </c>
      <c r="H2377" s="18"/>
      <c r="I2377" s="24">
        <v>8.1335035149E10</v>
      </c>
      <c r="J2377" s="18" t="s">
        <v>8027</v>
      </c>
      <c r="K2377" s="18"/>
      <c r="L2377" s="18" t="s">
        <v>8028</v>
      </c>
    </row>
    <row r="2378">
      <c r="A2378" s="18" t="s">
        <v>8029</v>
      </c>
      <c r="B2378" s="18" t="s">
        <v>791</v>
      </c>
      <c r="C2378" s="18" t="s">
        <v>8030</v>
      </c>
      <c r="D2378" s="18"/>
      <c r="E2378" s="24">
        <v>8.1335389595E10</v>
      </c>
      <c r="F2378" s="24">
        <v>1.0</v>
      </c>
      <c r="G2378" s="18" t="s">
        <v>8030</v>
      </c>
      <c r="H2378" s="18"/>
      <c r="I2378" s="24">
        <v>8.1335389595E10</v>
      </c>
      <c r="J2378" s="18" t="s">
        <v>6946</v>
      </c>
      <c r="K2378" s="18"/>
      <c r="L2378" s="18" t="s">
        <v>1986</v>
      </c>
    </row>
    <row r="2379">
      <c r="A2379" s="18" t="s">
        <v>8031</v>
      </c>
      <c r="B2379" s="18" t="s">
        <v>791</v>
      </c>
      <c r="C2379" s="18" t="s">
        <v>8032</v>
      </c>
      <c r="D2379" s="18" t="s">
        <v>2201</v>
      </c>
      <c r="E2379" s="24">
        <v>8.55658586E8</v>
      </c>
      <c r="F2379" s="24">
        <v>1.0</v>
      </c>
      <c r="G2379" s="18" t="s">
        <v>8032</v>
      </c>
      <c r="H2379" s="18" t="s">
        <v>2201</v>
      </c>
      <c r="I2379" s="24">
        <v>8.55658586E8</v>
      </c>
      <c r="J2379" s="18" t="s">
        <v>8033</v>
      </c>
      <c r="K2379" s="18" t="s">
        <v>8033</v>
      </c>
      <c r="L2379" s="18" t="s">
        <v>8034</v>
      </c>
    </row>
    <row r="2380">
      <c r="A2380" s="18" t="s">
        <v>8035</v>
      </c>
      <c r="B2380" s="18" t="s">
        <v>791</v>
      </c>
      <c r="C2380" s="18" t="s">
        <v>8036</v>
      </c>
      <c r="D2380" s="18"/>
      <c r="E2380" s="24">
        <v>8.5742348562E10</v>
      </c>
      <c r="F2380" s="24">
        <v>1.0</v>
      </c>
      <c r="G2380" s="18" t="s">
        <v>8036</v>
      </c>
      <c r="H2380" s="18"/>
      <c r="I2380" s="24">
        <v>8.5742348562E10</v>
      </c>
      <c r="J2380" s="18" t="s">
        <v>7152</v>
      </c>
      <c r="K2380" s="18"/>
      <c r="L2380" s="18" t="s">
        <v>1553</v>
      </c>
    </row>
    <row r="2381">
      <c r="A2381" s="18" t="s">
        <v>8037</v>
      </c>
      <c r="B2381" s="18" t="s">
        <v>791</v>
      </c>
      <c r="C2381" s="18" t="s">
        <v>8038</v>
      </c>
      <c r="D2381" s="18"/>
      <c r="E2381" s="24">
        <v>8.3845898317E10</v>
      </c>
      <c r="F2381" s="24">
        <v>1.0</v>
      </c>
      <c r="G2381" s="18" t="s">
        <v>8038</v>
      </c>
      <c r="H2381" s="18"/>
      <c r="I2381" s="24">
        <v>8.3845898317E10</v>
      </c>
      <c r="J2381" s="18" t="s">
        <v>8039</v>
      </c>
      <c r="K2381" s="18"/>
      <c r="L2381" s="18" t="s">
        <v>949</v>
      </c>
    </row>
    <row r="2382">
      <c r="A2382" s="18" t="s">
        <v>8040</v>
      </c>
      <c r="B2382" s="18" t="s">
        <v>791</v>
      </c>
      <c r="C2382" s="18" t="s">
        <v>8041</v>
      </c>
      <c r="D2382" s="18"/>
      <c r="E2382" s="18"/>
      <c r="F2382" s="24">
        <v>1.0</v>
      </c>
      <c r="G2382" s="18" t="s">
        <v>8041</v>
      </c>
      <c r="H2382" s="18"/>
      <c r="I2382" s="18"/>
      <c r="J2382" s="18" t="s">
        <v>6874</v>
      </c>
      <c r="K2382" s="18"/>
      <c r="L2382" s="18"/>
    </row>
    <row r="2383">
      <c r="A2383" s="18" t="s">
        <v>8042</v>
      </c>
      <c r="B2383" s="18" t="s">
        <v>791</v>
      </c>
      <c r="C2383" s="18" t="s">
        <v>8043</v>
      </c>
      <c r="D2383" s="18"/>
      <c r="E2383" s="24">
        <v>8.1232531254E10</v>
      </c>
      <c r="F2383" s="24">
        <v>1.0</v>
      </c>
      <c r="G2383" s="18" t="s">
        <v>8043</v>
      </c>
      <c r="H2383" s="18"/>
      <c r="I2383" s="24">
        <v>8.1232531254E10</v>
      </c>
      <c r="J2383" s="18" t="s">
        <v>8044</v>
      </c>
      <c r="K2383" s="18"/>
      <c r="L2383" s="18" t="s">
        <v>5984</v>
      </c>
    </row>
    <row r="2384">
      <c r="A2384" s="18" t="s">
        <v>8045</v>
      </c>
      <c r="B2384" s="18" t="s">
        <v>791</v>
      </c>
      <c r="C2384" s="18" t="s">
        <v>8046</v>
      </c>
      <c r="D2384" s="18"/>
      <c r="E2384" s="24">
        <v>8.5141565285E10</v>
      </c>
      <c r="F2384" s="24">
        <v>1.0</v>
      </c>
      <c r="G2384" s="18" t="s">
        <v>8046</v>
      </c>
      <c r="H2384" s="18"/>
      <c r="I2384" s="24">
        <v>8.5141565285E10</v>
      </c>
      <c r="J2384" s="18" t="s">
        <v>8047</v>
      </c>
      <c r="K2384" s="18"/>
      <c r="L2384" s="18" t="s">
        <v>3188</v>
      </c>
    </row>
    <row r="2385">
      <c r="A2385" s="18" t="s">
        <v>1102</v>
      </c>
      <c r="B2385" s="18" t="s">
        <v>791</v>
      </c>
      <c r="C2385" s="18" t="s">
        <v>1104</v>
      </c>
      <c r="D2385" s="18" t="s">
        <v>1096</v>
      </c>
      <c r="E2385" s="24">
        <v>8.1235730137E10</v>
      </c>
      <c r="F2385" s="24">
        <v>1.0</v>
      </c>
      <c r="G2385" s="18" t="s">
        <v>1104</v>
      </c>
      <c r="H2385" s="18" t="s">
        <v>1096</v>
      </c>
      <c r="I2385" s="24">
        <v>8.1235730137E10</v>
      </c>
      <c r="J2385" s="18" t="s">
        <v>1103</v>
      </c>
      <c r="K2385" s="18" t="s">
        <v>1103</v>
      </c>
      <c r="L2385" s="18" t="s">
        <v>1105</v>
      </c>
    </row>
    <row r="2386">
      <c r="A2386" s="18" t="s">
        <v>8048</v>
      </c>
      <c r="B2386" s="18" t="s">
        <v>791</v>
      </c>
      <c r="C2386" s="18" t="s">
        <v>8049</v>
      </c>
      <c r="D2386" s="18"/>
      <c r="E2386" s="24">
        <v>8.155545449E10</v>
      </c>
      <c r="F2386" s="24">
        <v>1.0</v>
      </c>
      <c r="G2386" s="18" t="s">
        <v>8049</v>
      </c>
      <c r="H2386" s="18"/>
      <c r="I2386" s="24">
        <v>8.155545449E10</v>
      </c>
      <c r="J2386" s="18" t="s">
        <v>6709</v>
      </c>
      <c r="K2386" s="18"/>
      <c r="L2386" s="18" t="s">
        <v>5614</v>
      </c>
    </row>
    <row r="2387">
      <c r="A2387" s="18" t="s">
        <v>8050</v>
      </c>
      <c r="B2387" s="18" t="s">
        <v>791</v>
      </c>
      <c r="C2387" s="18" t="s">
        <v>8051</v>
      </c>
      <c r="D2387" s="18"/>
      <c r="E2387" s="24">
        <v>8.127535007E10</v>
      </c>
      <c r="F2387" s="24">
        <v>1.0</v>
      </c>
      <c r="G2387" s="18" t="s">
        <v>8051</v>
      </c>
      <c r="H2387" s="18"/>
      <c r="I2387" s="24">
        <v>8.127535007E10</v>
      </c>
      <c r="J2387" s="18" t="s">
        <v>8052</v>
      </c>
      <c r="K2387" s="18"/>
      <c r="L2387" s="18" t="s">
        <v>2711</v>
      </c>
    </row>
    <row r="2388">
      <c r="A2388" s="18" t="s">
        <v>8053</v>
      </c>
      <c r="B2388" s="18" t="s">
        <v>791</v>
      </c>
      <c r="C2388" s="18" t="s">
        <v>8054</v>
      </c>
      <c r="D2388" s="18"/>
      <c r="E2388" s="24">
        <v>8.1359023919E10</v>
      </c>
      <c r="F2388" s="24">
        <v>1.0</v>
      </c>
      <c r="G2388" s="18" t="s">
        <v>8054</v>
      </c>
      <c r="H2388" s="18"/>
      <c r="I2388" s="24">
        <v>8.1359023919E10</v>
      </c>
      <c r="J2388" s="18" t="s">
        <v>8055</v>
      </c>
      <c r="K2388" s="18"/>
      <c r="L2388" s="18" t="s">
        <v>2412</v>
      </c>
    </row>
    <row r="2389">
      <c r="A2389" s="18" t="s">
        <v>8056</v>
      </c>
      <c r="B2389" s="18" t="s">
        <v>791</v>
      </c>
      <c r="C2389" s="18" t="s">
        <v>8057</v>
      </c>
      <c r="D2389" s="18"/>
      <c r="E2389" s="24">
        <v>8.5806778428E10</v>
      </c>
      <c r="F2389" s="24">
        <v>1.0</v>
      </c>
      <c r="G2389" s="18" t="s">
        <v>8057</v>
      </c>
      <c r="H2389" s="18"/>
      <c r="I2389" s="24">
        <v>8.5806778428E10</v>
      </c>
      <c r="J2389" s="18" t="s">
        <v>6978</v>
      </c>
      <c r="K2389" s="18"/>
      <c r="L2389" s="18" t="s">
        <v>3664</v>
      </c>
    </row>
    <row r="2390">
      <c r="A2390" s="18" t="s">
        <v>8058</v>
      </c>
      <c r="B2390" s="18" t="s">
        <v>791</v>
      </c>
      <c r="C2390" s="18" t="s">
        <v>8059</v>
      </c>
      <c r="D2390" s="18"/>
      <c r="E2390" s="24">
        <v>8.5303510261E10</v>
      </c>
      <c r="F2390" s="24">
        <v>1.0</v>
      </c>
      <c r="G2390" s="18" t="s">
        <v>8059</v>
      </c>
      <c r="H2390" s="18"/>
      <c r="I2390" s="24">
        <v>8.5303510261E10</v>
      </c>
      <c r="J2390" s="18" t="s">
        <v>8060</v>
      </c>
      <c r="K2390" s="18"/>
      <c r="L2390" s="18" t="s">
        <v>1493</v>
      </c>
    </row>
    <row r="2391">
      <c r="A2391" s="18" t="s">
        <v>8061</v>
      </c>
      <c r="B2391" s="18" t="s">
        <v>791</v>
      </c>
      <c r="C2391" s="18" t="s">
        <v>8062</v>
      </c>
      <c r="D2391" s="18"/>
      <c r="E2391" s="18"/>
      <c r="F2391" s="24">
        <v>1.0</v>
      </c>
      <c r="G2391" s="18" t="s">
        <v>8062</v>
      </c>
      <c r="H2391" s="18"/>
      <c r="I2391" s="18"/>
      <c r="J2391" s="18" t="s">
        <v>6697</v>
      </c>
      <c r="K2391" s="18"/>
      <c r="L2391" s="18"/>
    </row>
    <row r="2392">
      <c r="A2392" s="18" t="s">
        <v>8063</v>
      </c>
      <c r="B2392" s="18" t="s">
        <v>791</v>
      </c>
      <c r="C2392" s="18" t="s">
        <v>8064</v>
      </c>
      <c r="D2392" s="18"/>
      <c r="E2392" s="18"/>
      <c r="F2392" s="24">
        <v>1.0</v>
      </c>
      <c r="G2392" s="18" t="s">
        <v>8064</v>
      </c>
      <c r="H2392" s="18"/>
      <c r="I2392" s="18"/>
      <c r="J2392" s="18" t="s">
        <v>7278</v>
      </c>
      <c r="K2392" s="18"/>
      <c r="L2392" s="18"/>
    </row>
    <row r="2393">
      <c r="A2393" s="18" t="s">
        <v>8065</v>
      </c>
      <c r="B2393" s="18" t="s">
        <v>791</v>
      </c>
      <c r="C2393" s="18" t="s">
        <v>8066</v>
      </c>
      <c r="D2393" s="18"/>
      <c r="E2393" s="24">
        <v>8.1335428544E10</v>
      </c>
      <c r="F2393" s="24">
        <v>1.0</v>
      </c>
      <c r="G2393" s="18" t="s">
        <v>8066</v>
      </c>
      <c r="H2393" s="18"/>
      <c r="I2393" s="24">
        <v>8.1335428544E10</v>
      </c>
      <c r="J2393" s="18" t="s">
        <v>8067</v>
      </c>
      <c r="K2393" s="18"/>
      <c r="L2393" s="18" t="s">
        <v>2237</v>
      </c>
    </row>
    <row r="2394">
      <c r="A2394" s="18" t="s">
        <v>8068</v>
      </c>
      <c r="B2394" s="18" t="s">
        <v>791</v>
      </c>
      <c r="C2394" s="18" t="s">
        <v>8069</v>
      </c>
      <c r="D2394" s="18"/>
      <c r="E2394" s="24">
        <v>8.5257077661E10</v>
      </c>
      <c r="F2394" s="24">
        <v>1.0</v>
      </c>
      <c r="G2394" s="18" t="s">
        <v>8069</v>
      </c>
      <c r="H2394" s="18"/>
      <c r="I2394" s="24">
        <v>8.5257077661E10</v>
      </c>
      <c r="J2394" s="18" t="s">
        <v>7712</v>
      </c>
      <c r="K2394" s="18"/>
      <c r="L2394" s="18" t="s">
        <v>2332</v>
      </c>
    </row>
    <row r="2395">
      <c r="A2395" s="18" t="s">
        <v>8070</v>
      </c>
      <c r="B2395" s="18" t="s">
        <v>791</v>
      </c>
      <c r="C2395" s="18" t="s">
        <v>8071</v>
      </c>
      <c r="D2395" s="18"/>
      <c r="E2395" s="24">
        <v>8.2331695666E10</v>
      </c>
      <c r="F2395" s="24">
        <v>1.0</v>
      </c>
      <c r="G2395" s="18" t="s">
        <v>8071</v>
      </c>
      <c r="H2395" s="18"/>
      <c r="I2395" s="24">
        <v>8.2331695666E10</v>
      </c>
      <c r="J2395" s="18" t="s">
        <v>7491</v>
      </c>
      <c r="K2395" s="18"/>
      <c r="L2395" s="18" t="s">
        <v>1958</v>
      </c>
    </row>
    <row r="2396">
      <c r="A2396" s="18" t="s">
        <v>8072</v>
      </c>
      <c r="B2396" s="18" t="s">
        <v>791</v>
      </c>
      <c r="C2396" s="18" t="s">
        <v>8073</v>
      </c>
      <c r="D2396" s="18"/>
      <c r="E2396" s="18"/>
      <c r="F2396" s="24">
        <v>1.0</v>
      </c>
      <c r="G2396" s="18" t="s">
        <v>8073</v>
      </c>
      <c r="H2396" s="18"/>
      <c r="I2396" s="18"/>
      <c r="J2396" s="18" t="s">
        <v>6705</v>
      </c>
      <c r="K2396" s="18"/>
      <c r="L2396" s="18"/>
    </row>
    <row r="2397">
      <c r="A2397" s="18" t="s">
        <v>8074</v>
      </c>
      <c r="B2397" s="18" t="s">
        <v>791</v>
      </c>
      <c r="C2397" s="18" t="s">
        <v>8075</v>
      </c>
      <c r="D2397" s="18"/>
      <c r="E2397" s="24">
        <v>8.5235040123E10</v>
      </c>
      <c r="F2397" s="24">
        <v>1.0</v>
      </c>
      <c r="G2397" s="18" t="s">
        <v>8075</v>
      </c>
      <c r="H2397" s="18"/>
      <c r="I2397" s="24">
        <v>8.5235040123E10</v>
      </c>
      <c r="J2397" s="18" t="s">
        <v>8076</v>
      </c>
      <c r="K2397" s="18"/>
      <c r="L2397" s="18" t="s">
        <v>4472</v>
      </c>
    </row>
    <row r="2398">
      <c r="A2398" s="18" t="s">
        <v>8077</v>
      </c>
      <c r="B2398" s="18" t="s">
        <v>791</v>
      </c>
      <c r="C2398" s="18" t="s">
        <v>8078</v>
      </c>
      <c r="D2398" s="18"/>
      <c r="E2398" s="24">
        <v>8.5655755138E10</v>
      </c>
      <c r="F2398" s="24">
        <v>1.0</v>
      </c>
      <c r="G2398" s="18" t="s">
        <v>8078</v>
      </c>
      <c r="H2398" s="18"/>
      <c r="I2398" s="24">
        <v>8.5655755138E10</v>
      </c>
      <c r="J2398" s="18" t="s">
        <v>8079</v>
      </c>
      <c r="K2398" s="18"/>
      <c r="L2398" s="18" t="s">
        <v>7543</v>
      </c>
    </row>
    <row r="2399">
      <c r="A2399" s="18" t="s">
        <v>8080</v>
      </c>
      <c r="B2399" s="18" t="s">
        <v>791</v>
      </c>
      <c r="C2399" s="18" t="s">
        <v>8081</v>
      </c>
      <c r="D2399" s="18"/>
      <c r="E2399" s="24">
        <v>8.2141311315E10</v>
      </c>
      <c r="F2399" s="24">
        <v>1.0</v>
      </c>
      <c r="G2399" s="18" t="s">
        <v>8081</v>
      </c>
      <c r="H2399" s="18"/>
      <c r="I2399" s="24">
        <v>8.2141311315E10</v>
      </c>
      <c r="J2399" s="18" t="s">
        <v>7286</v>
      </c>
      <c r="K2399" s="18"/>
      <c r="L2399" s="18" t="s">
        <v>84</v>
      </c>
    </row>
    <row r="2400">
      <c r="A2400" s="18" t="s">
        <v>8082</v>
      </c>
      <c r="B2400" s="18" t="s">
        <v>791</v>
      </c>
      <c r="C2400" s="18" t="s">
        <v>8083</v>
      </c>
      <c r="D2400" s="18"/>
      <c r="E2400" s="24">
        <v>8.1335208487E10</v>
      </c>
      <c r="F2400" s="24">
        <v>1.0</v>
      </c>
      <c r="G2400" s="18" t="s">
        <v>8083</v>
      </c>
      <c r="H2400" s="18"/>
      <c r="I2400" s="24">
        <v>8.1335208487E10</v>
      </c>
      <c r="J2400" s="18" t="s">
        <v>6339</v>
      </c>
      <c r="K2400" s="18"/>
      <c r="L2400" s="18" t="s">
        <v>1850</v>
      </c>
    </row>
    <row r="2401">
      <c r="A2401" s="18" t="s">
        <v>8084</v>
      </c>
      <c r="B2401" s="18" t="s">
        <v>791</v>
      </c>
      <c r="C2401" s="18" t="s">
        <v>8085</v>
      </c>
      <c r="D2401" s="18"/>
      <c r="E2401" s="24">
        <v>8.5736710759E10</v>
      </c>
      <c r="F2401" s="24">
        <v>1.0</v>
      </c>
      <c r="G2401" s="18" t="s">
        <v>8085</v>
      </c>
      <c r="H2401" s="18"/>
      <c r="I2401" s="24">
        <v>8.5736710759E10</v>
      </c>
      <c r="J2401" s="18" t="s">
        <v>7099</v>
      </c>
      <c r="K2401" s="18"/>
      <c r="L2401" s="18" t="s">
        <v>8086</v>
      </c>
    </row>
    <row r="2402">
      <c r="A2402" s="18" t="s">
        <v>8087</v>
      </c>
      <c r="B2402" s="18" t="s">
        <v>791</v>
      </c>
      <c r="C2402" s="18" t="s">
        <v>8088</v>
      </c>
      <c r="D2402" s="18" t="s">
        <v>2210</v>
      </c>
      <c r="E2402" s="24">
        <v>8.2212345678E10</v>
      </c>
      <c r="F2402" s="24">
        <v>1.0</v>
      </c>
      <c r="G2402" s="18" t="s">
        <v>8088</v>
      </c>
      <c r="H2402" s="18" t="s">
        <v>2210</v>
      </c>
      <c r="I2402" s="24">
        <v>8.2212345678E10</v>
      </c>
      <c r="J2402" s="18" t="s">
        <v>8089</v>
      </c>
      <c r="K2402" s="18" t="s">
        <v>8089</v>
      </c>
      <c r="L2402" s="18" t="s">
        <v>8090</v>
      </c>
    </row>
    <row r="2403">
      <c r="A2403" s="18" t="s">
        <v>8091</v>
      </c>
      <c r="B2403" s="18" t="s">
        <v>791</v>
      </c>
      <c r="C2403" s="18" t="s">
        <v>8092</v>
      </c>
      <c r="D2403" s="18"/>
      <c r="E2403" s="24">
        <v>8.5328804105E10</v>
      </c>
      <c r="F2403" s="24">
        <v>1.0</v>
      </c>
      <c r="G2403" s="18" t="s">
        <v>8092</v>
      </c>
      <c r="H2403" s="18"/>
      <c r="I2403" s="24">
        <v>8.5328804105E10</v>
      </c>
      <c r="J2403" s="18" t="s">
        <v>8093</v>
      </c>
      <c r="K2403" s="18"/>
      <c r="L2403" s="18" t="s">
        <v>4366</v>
      </c>
    </row>
  </sheetData>
  <autoFilter ref="$A$1:$L$240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88"/>
    <col customWidth="1" min="2" max="2" width="14.38"/>
    <col customWidth="1" min="3" max="3" width="20.38"/>
    <col customWidth="1" min="4" max="4" width="67.0"/>
  </cols>
  <sheetData>
    <row r="1">
      <c r="C1" s="41" t="s">
        <v>1450</v>
      </c>
      <c r="D1" s="42" t="s">
        <v>4</v>
      </c>
    </row>
    <row r="2" hidden="1">
      <c r="C2" s="40" t="str">
        <f>IFERROR(__xludf.DUMMYFUNCTION("TEXTJOIN("", "",TRUE,UNIQUE(FILTER('Data Master'!$B$2:$B1887,'Data Master'!$C$2:$C1887=A2)))"),"penyuluh")</f>
        <v>penyuluh</v>
      </c>
      <c r="D2" s="40" t="str">
        <f>IFERROR(__xludf.DUMMYFUNCTION("TEXTJOIN("", "",TRUE,UNIQUE(FILTER('Data Master'!$D$2:$D1887,'Data Master'!$C$2:$C1887=A2)))"),"Amien")</f>
        <v>Amien</v>
      </c>
    </row>
    <row r="3" hidden="1">
      <c r="C3" s="40" t="str">
        <f>IFERROR(__xludf.DUMMYFUNCTION("TEXTJOIN("", "",TRUE,UNIQUE(FILTER('Data Master'!$B$2:$B1887,'Data Master'!$C$2:$C1887=A3)))"),"penyuluh")</f>
        <v>penyuluh</v>
      </c>
      <c r="D3" s="40" t="str">
        <f>IFERROR(__xludf.DUMMYFUNCTION("TEXTJOIN("", "",TRUE,UNIQUE(FILTER('Data Master'!$D$2:$D1887,'Data Master'!$C$2:$C1887=A3)))"),"Jarjit")</f>
        <v>Jarjit</v>
      </c>
    </row>
    <row r="4" hidden="1">
      <c r="C4" s="40" t="str">
        <f>IFERROR(__xludf.DUMMYFUNCTION("TEXTJOIN("", "",TRUE,UNIQUE(FILTER('Data Master'!$B$2:$B1887,'Data Master'!$C$2:$C1887=A4)))"),"petani")</f>
        <v>petani</v>
      </c>
      <c r="D4" s="40" t="str">
        <f>IFERROR(__xludf.DUMMYFUNCTION("TEXTJOIN("", "",TRUE,UNIQUE(FILTER('Data Master'!$D$2:$D1887,'Data Master'!$C$2:$C1887=A4)))"),"rahmawatiyuni@gmail.com")</f>
        <v>rahmawatiyuni@gmail.com</v>
      </c>
    </row>
    <row r="5" hidden="1">
      <c r="C5" s="40" t="str">
        <f>IFERROR(__xludf.DUMMYFUNCTION("TEXTJOIN("", "",TRUE,UNIQUE(FILTER('Data Master'!$B$2:$B1887,'Data Master'!$C$2:$C1887=A5)))"),"petani")</f>
        <v>petani</v>
      </c>
      <c r="D5" s="40" t="str">
        <f>IFERROR(__xludf.DUMMYFUNCTION("TEXTJOIN("", "",TRUE,UNIQUE(FILTER('Data Master'!$D$2:$D1887,'Data Master'!$C$2:$C1887=A5)))"),"")</f>
        <v/>
      </c>
    </row>
    <row r="6" hidden="1">
      <c r="C6" s="40" t="str">
        <f>IFERROR(__xludf.DUMMYFUNCTION("TEXTJOIN("", "",TRUE,UNIQUE(FILTER('Data Master'!$B$2:$B1887,'Data Master'!$C$2:$C1887=A6)))"),"petani")</f>
        <v>petani</v>
      </c>
      <c r="D6" s="40" t="str">
        <f>IFERROR(__xludf.DUMMYFUNCTION("TEXTJOIN("", "",TRUE,UNIQUE(FILTER('Data Master'!$D$2:$D1887,'Data Master'!$C$2:$C1887=A6)))"),"")</f>
        <v/>
      </c>
    </row>
    <row r="7" hidden="1">
      <c r="C7" s="40" t="str">
        <f>IFERROR(__xludf.DUMMYFUNCTION("TEXTJOIN("", "",TRUE,UNIQUE(FILTER('Data Master'!$B$2:$B1887,'Data Master'!$C$2:$C1887=A7)))"),"petani")</f>
        <v>petani</v>
      </c>
      <c r="D7" s="40" t="str">
        <f>IFERROR(__xludf.DUMMYFUNCTION("TEXTJOIN("", "",TRUE,UNIQUE(FILTER('Data Master'!$D$2:$D1887,'Data Master'!$C$2:$C1887=A7)))"),"")</f>
        <v/>
      </c>
    </row>
    <row r="8" hidden="1">
      <c r="C8" s="40" t="str">
        <f>IFERROR(__xludf.DUMMYFUNCTION("TEXTJOIN("", "",TRUE,UNIQUE(FILTER('Data Master'!$B$2:$B1887,'Data Master'!$C$2:$C1887=A8)))"),"petani")</f>
        <v>petani</v>
      </c>
      <c r="D8" s="40" t="str">
        <f>IFERROR(__xludf.DUMMYFUNCTION("TEXTJOIN("", "",TRUE,UNIQUE(FILTER('Data Master'!$D$2:$D1887,'Data Master'!$C$2:$C1887=A8)))"),"")</f>
        <v/>
      </c>
    </row>
    <row r="9" hidden="1">
      <c r="C9" s="40" t="str">
        <f>IFERROR(__xludf.DUMMYFUNCTION("TEXTJOIN("", "",TRUE,UNIQUE(FILTER('Data Master'!$B$2:$B1887,'Data Master'!$C$2:$C1887=A9)))"),"petani")</f>
        <v>petani</v>
      </c>
      <c r="D9" s="40" t="str">
        <f>IFERROR(__xludf.DUMMYFUNCTION("TEXTJOIN("", "",TRUE,UNIQUE(FILTER('Data Master'!$D$2:$D1887,'Data Master'!$C$2:$C1887=A9)))"),"")</f>
        <v/>
      </c>
    </row>
    <row r="10" hidden="1">
      <c r="C10" s="40" t="str">
        <f>IFERROR(__xludf.DUMMYFUNCTION("TEXTJOIN("", "",TRUE,UNIQUE(FILTER('Data Master'!$B$2:$B1887,'Data Master'!$C$2:$C1887=A10)))"),"petani")</f>
        <v>petani</v>
      </c>
      <c r="D10" s="40" t="str">
        <f>IFERROR(__xludf.DUMMYFUNCTION("TEXTJOIN("", "",TRUE,UNIQUE(FILTER('Data Master'!$D$2:$D1887,'Data Master'!$C$2:$C1887=A10)))"),"")</f>
        <v/>
      </c>
    </row>
    <row r="11" hidden="1">
      <c r="C11" s="40" t="str">
        <f>IFERROR(__xludf.DUMMYFUNCTION("TEXTJOIN("", "",TRUE,UNIQUE(FILTER('Data Master'!$B$2:$B1887,'Data Master'!$C$2:$C1887=A11)))"),"petani")</f>
        <v>petani</v>
      </c>
      <c r="D11" s="40" t="str">
        <f>IFERROR(__xludf.DUMMYFUNCTION("TEXTJOIN("", "",TRUE,UNIQUE(FILTER('Data Master'!$D$2:$D1887,'Data Master'!$C$2:$C1887=A11)))"),"")</f>
        <v/>
      </c>
    </row>
    <row r="12" hidden="1">
      <c r="C12" s="40" t="str">
        <f>IFERROR(__xludf.DUMMYFUNCTION("TEXTJOIN("", "",TRUE,UNIQUE(FILTER('Data Master'!$B$2:$B1887,'Data Master'!$C$2:$C1887=A12)))"),"petani")</f>
        <v>petani</v>
      </c>
      <c r="D12" s="40" t="str">
        <f>IFERROR(__xludf.DUMMYFUNCTION("TEXTJOIN("", "",TRUE,UNIQUE(FILTER('Data Master'!$D$2:$D1887,'Data Master'!$C$2:$C1887=A12)))"),"")</f>
        <v/>
      </c>
    </row>
    <row r="13" hidden="1">
      <c r="C13" s="40" t="str">
        <f>IFERROR(__xludf.DUMMYFUNCTION("TEXTJOIN("", "",TRUE,UNIQUE(FILTER('Data Master'!$B$2:$B1887,'Data Master'!$C$2:$C1887=A13)))"),"petani")</f>
        <v>petani</v>
      </c>
      <c r="D13" s="40" t="str">
        <f>IFERROR(__xludf.DUMMYFUNCTION("TEXTJOIN("", "",TRUE,UNIQUE(FILTER('Data Master'!$D$2:$D1887,'Data Master'!$C$2:$C1887=A13)))"),"")</f>
        <v/>
      </c>
    </row>
    <row r="14" hidden="1">
      <c r="C14" s="40" t="str">
        <f>IFERROR(__xludf.DUMMYFUNCTION("TEXTJOIN("", "",TRUE,UNIQUE(FILTER('Data Master'!$B$2:$B1887,'Data Master'!$C$2:$C1887=A14)))"),"petani")</f>
        <v>petani</v>
      </c>
      <c r="D14" s="40" t="str">
        <f>IFERROR(__xludf.DUMMYFUNCTION("TEXTJOIN("", "",TRUE,UNIQUE(FILTER('Data Master'!$D$2:$D1887,'Data Master'!$C$2:$C1887=A14)))"),"")</f>
        <v/>
      </c>
    </row>
    <row r="15" hidden="1">
      <c r="C15" s="40" t="str">
        <f>IFERROR(__xludf.DUMMYFUNCTION("TEXTJOIN("", "",TRUE,UNIQUE(FILTER('Data Master'!$B$2:$B1887,'Data Master'!$C$2:$C1887=A15)))"),"petani")</f>
        <v>petani</v>
      </c>
      <c r="D15" s="40" t="str">
        <f>IFERROR(__xludf.DUMMYFUNCTION("TEXTJOIN("", "",TRUE,UNIQUE(FILTER('Data Master'!$D$2:$D1887,'Data Master'!$C$2:$C1887=A15)))"),"")</f>
        <v/>
      </c>
    </row>
    <row r="16" hidden="1">
      <c r="C16" s="40" t="str">
        <f>IFERROR(__xludf.DUMMYFUNCTION("TEXTJOIN("", "",TRUE,UNIQUE(FILTER('Data Master'!$B$2:$B1887,'Data Master'!$C$2:$C1887=A16)))"),"petani")</f>
        <v>petani</v>
      </c>
      <c r="D16" s="40" t="str">
        <f>IFERROR(__xludf.DUMMYFUNCTION("TEXTJOIN("", "",TRUE,UNIQUE(FILTER('Data Master'!$D$2:$D1887,'Data Master'!$C$2:$C1887=A16)))"),"")</f>
        <v/>
      </c>
    </row>
    <row r="17" hidden="1">
      <c r="C17" s="40" t="str">
        <f>IFERROR(__xludf.DUMMYFUNCTION("TEXTJOIN("", "",TRUE,UNIQUE(FILTER('Data Master'!$B$2:$B1887,'Data Master'!$C$2:$C1887=A17)))"),"petani")</f>
        <v>petani</v>
      </c>
      <c r="D17" s="40" t="str">
        <f>IFERROR(__xludf.DUMMYFUNCTION("TEXTJOIN("", "",TRUE,UNIQUE(FILTER('Data Master'!$D$2:$D1887,'Data Master'!$C$2:$C1887=A17)))"),"")</f>
        <v/>
      </c>
    </row>
    <row r="18" hidden="1">
      <c r="C18" s="40" t="str">
        <f>IFERROR(__xludf.DUMMYFUNCTION("TEXTJOIN("", "",TRUE,UNIQUE(FILTER('Data Master'!$B$2:$B1887,'Data Master'!$C$2:$C1887=A18)))"),"petani")</f>
        <v>petani</v>
      </c>
      <c r="D18" s="40" t="str">
        <f>IFERROR(__xludf.DUMMYFUNCTION("TEXTJOIN("", "",TRUE,UNIQUE(FILTER('Data Master'!$D$2:$D1887,'Data Master'!$C$2:$C1887=A18)))"),"")</f>
        <v/>
      </c>
    </row>
    <row r="19" hidden="1">
      <c r="C19" s="40" t="str">
        <f>IFERROR(__xludf.DUMMYFUNCTION("TEXTJOIN("", "",TRUE,UNIQUE(FILTER('Data Master'!$B$2:$B1887,'Data Master'!$C$2:$C1887=A19)))"),"petani")</f>
        <v>petani</v>
      </c>
      <c r="D19" s="40" t="str">
        <f>IFERROR(__xludf.DUMMYFUNCTION("TEXTJOIN("", "",TRUE,UNIQUE(FILTER('Data Master'!$D$2:$D1887,'Data Master'!$C$2:$C1887=A19)))"),"")</f>
        <v/>
      </c>
    </row>
    <row r="20" hidden="1">
      <c r="C20" s="40" t="str">
        <f>IFERROR(__xludf.DUMMYFUNCTION("TEXTJOIN("", "",TRUE,UNIQUE(FILTER('Data Master'!$B$2:$B1887,'Data Master'!$C$2:$C1887=A20)))"),"petani")</f>
        <v>petani</v>
      </c>
      <c r="D20" s="40" t="str">
        <f>IFERROR(__xludf.DUMMYFUNCTION("TEXTJOIN("", "",TRUE,UNIQUE(FILTER('Data Master'!$D$2:$D1887,'Data Master'!$C$2:$C1887=A20)))"),"")</f>
        <v/>
      </c>
    </row>
    <row r="21" hidden="1">
      <c r="C21" s="40" t="str">
        <f>IFERROR(__xludf.DUMMYFUNCTION("TEXTJOIN("", "",TRUE,UNIQUE(FILTER('Data Master'!$B$2:$B1887,'Data Master'!$C$2:$C1887=A21)))"),"petani")</f>
        <v>petani</v>
      </c>
      <c r="D21" s="40" t="str">
        <f>IFERROR(__xludf.DUMMYFUNCTION("TEXTJOIN("", "",TRUE,UNIQUE(FILTER('Data Master'!$D$2:$D1887,'Data Master'!$C$2:$C1887=A21)))"),"")</f>
        <v/>
      </c>
    </row>
    <row r="22" hidden="1">
      <c r="C22" s="40" t="str">
        <f>IFERROR(__xludf.DUMMYFUNCTION("TEXTJOIN("", "",TRUE,UNIQUE(FILTER('Data Master'!$B$2:$B1887,'Data Master'!$C$2:$C1887=A22)))"),"petani")</f>
        <v>petani</v>
      </c>
      <c r="D22" s="40" t="str">
        <f>IFERROR(__xludf.DUMMYFUNCTION("TEXTJOIN("", "",TRUE,UNIQUE(FILTER('Data Master'!$D$2:$D1887,'Data Master'!$C$2:$C1887=A22)))"),"")</f>
        <v/>
      </c>
    </row>
    <row r="23" hidden="1">
      <c r="C23" s="40" t="str">
        <f>IFERROR(__xludf.DUMMYFUNCTION("TEXTJOIN("", "",TRUE,UNIQUE(FILTER('Data Master'!$B$2:$B1887,'Data Master'!$C$2:$C1887=A23)))"),"petani")</f>
        <v>petani</v>
      </c>
      <c r="D23" s="40" t="str">
        <f>IFERROR(__xludf.DUMMYFUNCTION("TEXTJOIN("", "",TRUE,UNIQUE(FILTER('Data Master'!$D$2:$D1887,'Data Master'!$C$2:$C1887=A23)))"),"")</f>
        <v/>
      </c>
    </row>
    <row r="24" hidden="1">
      <c r="C24" s="40" t="str">
        <f>IFERROR(__xludf.DUMMYFUNCTION("TEXTJOIN("", "",TRUE,UNIQUE(FILTER('Data Master'!$B$2:$B1887,'Data Master'!$C$2:$C1887=A24)))"),"petani")</f>
        <v>petani</v>
      </c>
      <c r="D24" s="40" t="str">
        <f>IFERROR(__xludf.DUMMYFUNCTION("TEXTJOIN("", "",TRUE,UNIQUE(FILTER('Data Master'!$D$2:$D1887,'Data Master'!$C$2:$C1887=A24)))"),"")</f>
        <v/>
      </c>
    </row>
    <row r="25" hidden="1">
      <c r="C25" s="40" t="str">
        <f>IFERROR(__xludf.DUMMYFUNCTION("TEXTJOIN("", "",TRUE,UNIQUE(FILTER('Data Master'!$B$2:$B1887,'Data Master'!$C$2:$C1887=A25)))"),"petani")</f>
        <v>petani</v>
      </c>
      <c r="D25" s="40" t="str">
        <f>IFERROR(__xludf.DUMMYFUNCTION("TEXTJOIN("", "",TRUE,UNIQUE(FILTER('Data Master'!$D$2:$D1887,'Data Master'!$C$2:$C1887=A25)))"),"")</f>
        <v/>
      </c>
    </row>
    <row r="26" hidden="1">
      <c r="C26" s="40" t="str">
        <f>IFERROR(__xludf.DUMMYFUNCTION("TEXTJOIN("", "",TRUE,UNIQUE(FILTER('Data Master'!$B$2:$B1887,'Data Master'!$C$2:$C1887=A26)))"),"petani")</f>
        <v>petani</v>
      </c>
      <c r="D26" s="40" t="str">
        <f>IFERROR(__xludf.DUMMYFUNCTION("TEXTJOIN("", "",TRUE,UNIQUE(FILTER('Data Master'!$D$2:$D1887,'Data Master'!$C$2:$C1887=A26)))"),"")</f>
        <v/>
      </c>
    </row>
    <row r="27" hidden="1">
      <c r="C27" s="40" t="str">
        <f>IFERROR(__xludf.DUMMYFUNCTION("TEXTJOIN("", "",TRUE,UNIQUE(FILTER('Data Master'!$B$2:$B1887,'Data Master'!$C$2:$C1887=A27)))"),"petani")</f>
        <v>petani</v>
      </c>
      <c r="D27" s="40" t="str">
        <f>IFERROR(__xludf.DUMMYFUNCTION("TEXTJOIN("", "",TRUE,UNIQUE(FILTER('Data Master'!$D$2:$D1887,'Data Master'!$C$2:$C1887=A27)))"),"")</f>
        <v/>
      </c>
    </row>
    <row r="28" hidden="1">
      <c r="C28" s="40" t="str">
        <f>IFERROR(__xludf.DUMMYFUNCTION("TEXTJOIN("", "",TRUE,UNIQUE(FILTER('Data Master'!$B$2:$B1887,'Data Master'!$C$2:$C1887=A28)))"),"petani")</f>
        <v>petani</v>
      </c>
      <c r="D28" s="40" t="str">
        <f>IFERROR(__xludf.DUMMYFUNCTION("TEXTJOIN("", "",TRUE,UNIQUE(FILTER('Data Master'!$D$2:$D1887,'Data Master'!$C$2:$C1887=A28)))"),"")</f>
        <v/>
      </c>
    </row>
    <row r="29" hidden="1">
      <c r="C29" s="40" t="str">
        <f>IFERROR(__xludf.DUMMYFUNCTION("TEXTJOIN("", "",TRUE,UNIQUE(FILTER('Data Master'!$B$2:$B1887,'Data Master'!$C$2:$C1887=A29)))"),"petani")</f>
        <v>petani</v>
      </c>
      <c r="D29" s="40" t="str">
        <f>IFERROR(__xludf.DUMMYFUNCTION("TEXTJOIN("", "",TRUE,UNIQUE(FILTER('Data Master'!$D$2:$D1887,'Data Master'!$C$2:$C1887=A29)))"),"")</f>
        <v/>
      </c>
    </row>
    <row r="30" hidden="1">
      <c r="C30" s="40" t="str">
        <f>IFERROR(__xludf.DUMMYFUNCTION("TEXTJOIN("", "",TRUE,UNIQUE(FILTER('Data Master'!$B$2:$B1887,'Data Master'!$C$2:$C1887=A30)))"),"petani")</f>
        <v>petani</v>
      </c>
      <c r="D30" s="40" t="str">
        <f>IFERROR(__xludf.DUMMYFUNCTION("TEXTJOIN("", "",TRUE,UNIQUE(FILTER('Data Master'!$D$2:$D1887,'Data Master'!$C$2:$C1887=A30)))"),"")</f>
        <v/>
      </c>
    </row>
    <row r="31" hidden="1">
      <c r="C31" s="40" t="str">
        <f>IFERROR(__xludf.DUMMYFUNCTION("TEXTJOIN("", "",TRUE,UNIQUE(FILTER('Data Master'!$B$2:$B1887,'Data Master'!$C$2:$C1887=A31)))"),"petani")</f>
        <v>petani</v>
      </c>
      <c r="D31" s="40" t="str">
        <f>IFERROR(__xludf.DUMMYFUNCTION("TEXTJOIN("", "",TRUE,UNIQUE(FILTER('Data Master'!$D$2:$D1887,'Data Master'!$C$2:$C1887=A31)))"),"")</f>
        <v/>
      </c>
    </row>
    <row r="32" hidden="1">
      <c r="C32" s="40" t="str">
        <f>IFERROR(__xludf.DUMMYFUNCTION("TEXTJOIN("", "",TRUE,UNIQUE(FILTER('Data Master'!$B$2:$B1887,'Data Master'!$C$2:$C1887=A32)))"),"petani")</f>
        <v>petani</v>
      </c>
      <c r="D32" s="40" t="str">
        <f>IFERROR(__xludf.DUMMYFUNCTION("TEXTJOIN("", "",TRUE,UNIQUE(FILTER('Data Master'!$D$2:$D1887,'Data Master'!$C$2:$C1887=A32)))"),"")</f>
        <v/>
      </c>
    </row>
    <row r="33" hidden="1">
      <c r="C33" s="40" t="str">
        <f>IFERROR(__xludf.DUMMYFUNCTION("TEXTJOIN("", "",TRUE,UNIQUE(FILTER('Data Master'!$B$2:$B1887,'Data Master'!$C$2:$C1887=A33)))"),"petani")</f>
        <v>petani</v>
      </c>
      <c r="D33" s="40" t="str">
        <f>IFERROR(__xludf.DUMMYFUNCTION("TEXTJOIN("", "",TRUE,UNIQUE(FILTER('Data Master'!$D$2:$D1887,'Data Master'!$C$2:$C1887=A33)))"),"")</f>
        <v/>
      </c>
    </row>
    <row r="34" hidden="1">
      <c r="C34" s="40" t="str">
        <f>IFERROR(__xludf.DUMMYFUNCTION("TEXTJOIN("", "",TRUE,UNIQUE(FILTER('Data Master'!$B$2:$B1887,'Data Master'!$C$2:$C1887=A34)))"),"petani")</f>
        <v>petani</v>
      </c>
      <c r="D34" s="40" t="str">
        <f>IFERROR(__xludf.DUMMYFUNCTION("TEXTJOIN("", "",TRUE,UNIQUE(FILTER('Data Master'!$D$2:$D1887,'Data Master'!$C$2:$C1887=A34)))"),"")</f>
        <v/>
      </c>
    </row>
    <row r="35" hidden="1">
      <c r="C35" s="40" t="str">
        <f>IFERROR(__xludf.DUMMYFUNCTION("TEXTJOIN("", "",TRUE,UNIQUE(FILTER('Data Master'!$B$2:$B1887,'Data Master'!$C$2:$C1887=A35)))"),"petani")</f>
        <v>petani</v>
      </c>
      <c r="D35" s="40" t="str">
        <f>IFERROR(__xludf.DUMMYFUNCTION("TEXTJOIN("", "",TRUE,UNIQUE(FILTER('Data Master'!$D$2:$D1887,'Data Master'!$C$2:$C1887=A35)))"),"")</f>
        <v/>
      </c>
    </row>
    <row r="36" hidden="1">
      <c r="C36" s="40" t="str">
        <f>IFERROR(__xludf.DUMMYFUNCTION("TEXTJOIN("", "",TRUE,UNIQUE(FILTER('Data Master'!$B$2:$B1887,'Data Master'!$C$2:$C1887=A36)))"),"petani")</f>
        <v>petani</v>
      </c>
      <c r="D36" s="40" t="str">
        <f>IFERROR(__xludf.DUMMYFUNCTION("TEXTJOIN("", "",TRUE,UNIQUE(FILTER('Data Master'!$D$2:$D1887,'Data Master'!$C$2:$C1887=A36)))"),"")</f>
        <v/>
      </c>
    </row>
    <row r="37" hidden="1">
      <c r="C37" s="40" t="str">
        <f>IFERROR(__xludf.DUMMYFUNCTION("TEXTJOIN("", "",TRUE,UNIQUE(FILTER('Data Master'!$B$2:$B1887,'Data Master'!$C$2:$C1887=A37)))"),"petani")</f>
        <v>petani</v>
      </c>
      <c r="D37" s="40" t="str">
        <f>IFERROR(__xludf.DUMMYFUNCTION("TEXTJOIN("", "",TRUE,UNIQUE(FILTER('Data Master'!$D$2:$D1887,'Data Master'!$C$2:$C1887=A37)))"),"")</f>
        <v/>
      </c>
    </row>
    <row r="38" hidden="1">
      <c r="C38" s="40" t="str">
        <f>IFERROR(__xludf.DUMMYFUNCTION("TEXTJOIN("", "",TRUE,UNIQUE(FILTER('Data Master'!$B$2:$B1887,'Data Master'!$C$2:$C1887=A38)))"),"petani")</f>
        <v>petani</v>
      </c>
      <c r="D38" s="40" t="str">
        <f>IFERROR(__xludf.DUMMYFUNCTION("TEXTJOIN("", "",TRUE,UNIQUE(FILTER('Data Master'!$D$2:$D1887,'Data Master'!$C$2:$C1887=A38)))"),"")</f>
        <v/>
      </c>
    </row>
    <row r="39" hidden="1">
      <c r="C39" s="40" t="str">
        <f>IFERROR(__xludf.DUMMYFUNCTION("TEXTJOIN("", "",TRUE,UNIQUE(FILTER('Data Master'!$B$2:$B1887,'Data Master'!$C$2:$C1887=A39)))"),"petani")</f>
        <v>petani</v>
      </c>
      <c r="D39" s="40" t="str">
        <f>IFERROR(__xludf.DUMMYFUNCTION("TEXTJOIN("", "",TRUE,UNIQUE(FILTER('Data Master'!$D$2:$D1887,'Data Master'!$C$2:$C1887=A39)))"),"")</f>
        <v/>
      </c>
    </row>
    <row r="40" hidden="1">
      <c r="C40" s="40" t="str">
        <f>IFERROR(__xludf.DUMMYFUNCTION("TEXTJOIN("", "",TRUE,UNIQUE(FILTER('Data Master'!$B$2:$B1887,'Data Master'!$C$2:$C1887=A40)))"),"petani")</f>
        <v>petani</v>
      </c>
      <c r="D40" s="40" t="str">
        <f>IFERROR(__xludf.DUMMYFUNCTION("TEXTJOIN("", "",TRUE,UNIQUE(FILTER('Data Master'!$D$2:$D1887,'Data Master'!$C$2:$C1887=A40)))"),"")</f>
        <v/>
      </c>
    </row>
    <row r="41" hidden="1">
      <c r="C41" s="40" t="str">
        <f>IFERROR(__xludf.DUMMYFUNCTION("TEXTJOIN("", "",TRUE,UNIQUE(FILTER('Data Master'!$B$2:$B1887,'Data Master'!$C$2:$C1887=A41)))"),"petani")</f>
        <v>petani</v>
      </c>
      <c r="D41" s="40" t="str">
        <f>IFERROR(__xludf.DUMMYFUNCTION("TEXTJOIN("", "",TRUE,UNIQUE(FILTER('Data Master'!$D$2:$D1887,'Data Master'!$C$2:$C1887=A41)))"),"")</f>
        <v/>
      </c>
    </row>
    <row r="42" hidden="1">
      <c r="C42" s="40" t="str">
        <f>IFERROR(__xludf.DUMMYFUNCTION("TEXTJOIN("", "",TRUE,UNIQUE(FILTER('Data Master'!$B$2:$B1887,'Data Master'!$C$2:$C1887=A42)))"),"petani")</f>
        <v>petani</v>
      </c>
      <c r="D42" s="40" t="str">
        <f>IFERROR(__xludf.DUMMYFUNCTION("TEXTJOIN("", "",TRUE,UNIQUE(FILTER('Data Master'!$D$2:$D1887,'Data Master'!$C$2:$C1887=A42)))"),"")</f>
        <v/>
      </c>
    </row>
    <row r="43" hidden="1">
      <c r="C43" s="40" t="str">
        <f>IFERROR(__xludf.DUMMYFUNCTION("TEXTJOIN("", "",TRUE,UNIQUE(FILTER('Data Master'!$B$2:$B1887,'Data Master'!$C$2:$C1887=A43)))"),"petani")</f>
        <v>petani</v>
      </c>
      <c r="D43" s="40" t="str">
        <f>IFERROR(__xludf.DUMMYFUNCTION("TEXTJOIN("", "",TRUE,UNIQUE(FILTER('Data Master'!$D$2:$D1887,'Data Master'!$C$2:$C1887=A43)))"),"")</f>
        <v/>
      </c>
    </row>
    <row r="44" hidden="1">
      <c r="C44" s="40" t="str">
        <f>IFERROR(__xludf.DUMMYFUNCTION("TEXTJOIN("", "",TRUE,UNIQUE(FILTER('Data Master'!$B$2:$B1887,'Data Master'!$C$2:$C1887=A44)))"),"petani")</f>
        <v>petani</v>
      </c>
      <c r="D44" s="40" t="str">
        <f>IFERROR(__xludf.DUMMYFUNCTION("TEXTJOIN("", "",TRUE,UNIQUE(FILTER('Data Master'!$D$2:$D1887,'Data Master'!$C$2:$C1887=A44)))"),"")</f>
        <v/>
      </c>
    </row>
    <row r="45" hidden="1">
      <c r="C45" s="40" t="str">
        <f>IFERROR(__xludf.DUMMYFUNCTION("TEXTJOIN("", "",TRUE,UNIQUE(FILTER('Data Master'!$B$2:$B1887,'Data Master'!$C$2:$C1887=A45)))"),"petani")</f>
        <v>petani</v>
      </c>
      <c r="D45" s="40" t="str">
        <f>IFERROR(__xludf.DUMMYFUNCTION("TEXTJOIN("", "",TRUE,UNIQUE(FILTER('Data Master'!$D$2:$D1887,'Data Master'!$C$2:$C1887=A45)))"),"")</f>
        <v/>
      </c>
    </row>
    <row r="46" hidden="1">
      <c r="C46" s="40" t="str">
        <f>IFERROR(__xludf.DUMMYFUNCTION("TEXTJOIN("", "",TRUE,UNIQUE(FILTER('Data Master'!$B$2:$B1887,'Data Master'!$C$2:$C1887=A46)))"),"petani")</f>
        <v>petani</v>
      </c>
      <c r="D46" s="40" t="str">
        <f>IFERROR(__xludf.DUMMYFUNCTION("TEXTJOIN("", "",TRUE,UNIQUE(FILTER('Data Master'!$D$2:$D1887,'Data Master'!$C$2:$C1887=A46)))"),"")</f>
        <v/>
      </c>
    </row>
    <row r="47" hidden="1">
      <c r="C47" s="40" t="str">
        <f>IFERROR(__xludf.DUMMYFUNCTION("TEXTJOIN("", "",TRUE,UNIQUE(FILTER('Data Master'!$B$2:$B1887,'Data Master'!$C$2:$C1887=A47)))"),"petani")</f>
        <v>petani</v>
      </c>
      <c r="D47" s="40" t="str">
        <f>IFERROR(__xludf.DUMMYFUNCTION("TEXTJOIN("", "",TRUE,UNIQUE(FILTER('Data Master'!$D$2:$D1887,'Data Master'!$C$2:$C1887=A47)))"),"")</f>
        <v/>
      </c>
    </row>
    <row r="48" hidden="1">
      <c r="C48" s="40" t="str">
        <f>IFERROR(__xludf.DUMMYFUNCTION("TEXTJOIN("", "",TRUE,UNIQUE(FILTER('Data Master'!$B$2:$B1887,'Data Master'!$C$2:$C1887=A48)))"),"petani")</f>
        <v>petani</v>
      </c>
      <c r="D48" s="40" t="str">
        <f>IFERROR(__xludf.DUMMYFUNCTION("TEXTJOIN("", "",TRUE,UNIQUE(FILTER('Data Master'!$D$2:$D1887,'Data Master'!$C$2:$C1887=A48)))"),"")</f>
        <v/>
      </c>
    </row>
    <row r="49" hidden="1">
      <c r="C49" s="40" t="str">
        <f>IFERROR(__xludf.DUMMYFUNCTION("TEXTJOIN("", "",TRUE,UNIQUE(FILTER('Data Master'!$B$2:$B1887,'Data Master'!$C$2:$C1887=A49)))"),"petani")</f>
        <v>petani</v>
      </c>
      <c r="D49" s="40" t="str">
        <f>IFERROR(__xludf.DUMMYFUNCTION("TEXTJOIN("", "",TRUE,UNIQUE(FILTER('Data Master'!$D$2:$D1887,'Data Master'!$C$2:$C1887=A49)))"),"")</f>
        <v/>
      </c>
    </row>
    <row r="50" hidden="1">
      <c r="C50" s="40" t="str">
        <f>IFERROR(__xludf.DUMMYFUNCTION("TEXTJOIN("", "",TRUE,UNIQUE(FILTER('Data Master'!$B$2:$B1887,'Data Master'!$C$2:$C1887=A50)))"),"petani")</f>
        <v>petani</v>
      </c>
      <c r="D50" s="40" t="str">
        <f>IFERROR(__xludf.DUMMYFUNCTION("TEXTJOIN("", "",TRUE,UNIQUE(FILTER('Data Master'!$D$2:$D1887,'Data Master'!$C$2:$C1887=A50)))"),"")</f>
        <v/>
      </c>
    </row>
    <row r="51" hidden="1">
      <c r="C51" s="40" t="str">
        <f>IFERROR(__xludf.DUMMYFUNCTION("TEXTJOIN("", "",TRUE,UNIQUE(FILTER('Data Master'!$B$2:$B1887,'Data Master'!$C$2:$C1887=A51)))"),"petani")</f>
        <v>petani</v>
      </c>
      <c r="D51" s="40" t="str">
        <f>IFERROR(__xludf.DUMMYFUNCTION("TEXTJOIN("", "",TRUE,UNIQUE(FILTER('Data Master'!$D$2:$D1887,'Data Master'!$C$2:$C1887=A51)))"),"")</f>
        <v/>
      </c>
    </row>
    <row r="52" hidden="1">
      <c r="C52" s="40" t="str">
        <f>IFERROR(__xludf.DUMMYFUNCTION("TEXTJOIN("", "",TRUE,UNIQUE(FILTER('Data Master'!$B$2:$B1887,'Data Master'!$C$2:$C1887=A52)))"),"petani")</f>
        <v>petani</v>
      </c>
      <c r="D52" s="40" t="str">
        <f>IFERROR(__xludf.DUMMYFUNCTION("TEXTJOIN("", "",TRUE,UNIQUE(FILTER('Data Master'!$D$2:$D1887,'Data Master'!$C$2:$C1887=A52)))"),"")</f>
        <v/>
      </c>
    </row>
    <row r="53" hidden="1">
      <c r="C53" s="40" t="str">
        <f>IFERROR(__xludf.DUMMYFUNCTION("TEXTJOIN("", "",TRUE,UNIQUE(FILTER('Data Master'!$B$2:$B1887,'Data Master'!$C$2:$C1887=A53)))"),"penyuluh")</f>
        <v>penyuluh</v>
      </c>
      <c r="D53" s="40" t="str">
        <f>IFERROR(__xludf.DUMMYFUNCTION("TEXTJOIN("", "",TRUE,UNIQUE(FILTER('Data Master'!$D$2:$D1887,'Data Master'!$C$2:$C1887=A53)))"),"mgkiddrock@gmail.com")</f>
        <v>mgkiddrock@gmail.com</v>
      </c>
    </row>
    <row r="54" hidden="1">
      <c r="C54" s="40" t="str">
        <f>IFERROR(__xludf.DUMMYFUNCTION("TEXTJOIN("", "",TRUE,UNIQUE(FILTER('Data Master'!$B$2:$B1887,'Data Master'!$C$2:$C1887=A54)))"),"penyuluh")</f>
        <v>penyuluh</v>
      </c>
      <c r="D54" s="40" t="str">
        <f>IFERROR(__xludf.DUMMYFUNCTION("TEXTJOIN("", "",TRUE,UNIQUE(FILTER('Data Master'!$D$2:$D1887,'Data Master'!$C$2:$C1887=A54)))"),"lifa.widantio20@gmail.com")</f>
        <v>lifa.widantio20@gmail.com</v>
      </c>
    </row>
    <row r="55" hidden="1">
      <c r="C55" s="40" t="str">
        <f>IFERROR(__xludf.DUMMYFUNCTION("TEXTJOIN("", "",TRUE,UNIQUE(FILTER('Data Master'!$B$2:$B1887,'Data Master'!$C$2:$C1887=A55)))"),"petani")</f>
        <v>petani</v>
      </c>
      <c r="D55" s="40" t="str">
        <f>IFERROR(__xludf.DUMMYFUNCTION("TEXTJOIN("", "",TRUE,UNIQUE(FILTER('Data Master'!$D$2:$D1887,'Data Master'!$C$2:$C1887=A55)))"),"")</f>
        <v/>
      </c>
    </row>
    <row r="56" hidden="1">
      <c r="C56" s="40" t="str">
        <f>IFERROR(__xludf.DUMMYFUNCTION("TEXTJOIN("", "",TRUE,UNIQUE(FILTER('Data Master'!$B$2:$B1887,'Data Master'!$C$2:$C1887=A56)))"),"petani")</f>
        <v>petani</v>
      </c>
      <c r="D56" s="40" t="str">
        <f>IFERROR(__xludf.DUMMYFUNCTION("TEXTJOIN("", "",TRUE,UNIQUE(FILTER('Data Master'!$D$2:$D1887,'Data Master'!$C$2:$C1887=A56)))"),"")</f>
        <v/>
      </c>
    </row>
    <row r="57" hidden="1">
      <c r="C57" s="40" t="str">
        <f>IFERROR(__xludf.DUMMYFUNCTION("TEXTJOIN("", "",TRUE,UNIQUE(FILTER('Data Master'!$B$2:$B1887,'Data Master'!$C$2:$C1887=A57)))"),"petani")</f>
        <v>petani</v>
      </c>
      <c r="D57" s="40" t="str">
        <f>IFERROR(__xludf.DUMMYFUNCTION("TEXTJOIN("", "",TRUE,UNIQUE(FILTER('Data Master'!$D$2:$D1887,'Data Master'!$C$2:$C1887=A57)))"),"")</f>
        <v/>
      </c>
    </row>
    <row r="58" hidden="1">
      <c r="C58" s="40" t="str">
        <f>IFERROR(__xludf.DUMMYFUNCTION("TEXTJOIN("", "",TRUE,UNIQUE(FILTER('Data Master'!$B$2:$B1887,'Data Master'!$C$2:$C1887=A58)))"),"petani")</f>
        <v>petani</v>
      </c>
      <c r="D58" s="40" t="str">
        <f>IFERROR(__xludf.DUMMYFUNCTION("TEXTJOIN("", "",TRUE,UNIQUE(FILTER('Data Master'!$D$2:$D1887,'Data Master'!$C$2:$C1887=A58)))"),"")</f>
        <v/>
      </c>
    </row>
    <row r="59" hidden="1">
      <c r="C59" s="40" t="str">
        <f>IFERROR(__xludf.DUMMYFUNCTION("TEXTJOIN("", "",TRUE,UNIQUE(FILTER('Data Master'!$B$2:$B1887,'Data Master'!$C$2:$C1887=A59)))"),"petani")</f>
        <v>petani</v>
      </c>
      <c r="D59" s="40" t="str">
        <f>IFERROR(__xludf.DUMMYFUNCTION("TEXTJOIN("", "",TRUE,UNIQUE(FILTER('Data Master'!$D$2:$D1887,'Data Master'!$C$2:$C1887=A59)))"),"")</f>
        <v/>
      </c>
    </row>
    <row r="60" hidden="1">
      <c r="C60" s="40" t="str">
        <f>IFERROR(__xludf.DUMMYFUNCTION("TEXTJOIN("", "",TRUE,UNIQUE(FILTER('Data Master'!$B$2:$B1887,'Data Master'!$C$2:$C1887=A60)))"),"petani")</f>
        <v>petani</v>
      </c>
      <c r="D60" s="40" t="str">
        <f>IFERROR(__xludf.DUMMYFUNCTION("TEXTJOIN("", "",TRUE,UNIQUE(FILTER('Data Master'!$D$2:$D1887,'Data Master'!$C$2:$C1887=A60)))"),"")</f>
        <v/>
      </c>
    </row>
    <row r="61" hidden="1">
      <c r="C61" s="40" t="str">
        <f>IFERROR(__xludf.DUMMYFUNCTION("TEXTJOIN("", "",TRUE,UNIQUE(FILTER('Data Master'!$B$2:$B1887,'Data Master'!$C$2:$C1887=A61)))"),"petani")</f>
        <v>petani</v>
      </c>
      <c r="D61" s="40" t="str">
        <f>IFERROR(__xludf.DUMMYFUNCTION("TEXTJOIN("", "",TRUE,UNIQUE(FILTER('Data Master'!$D$2:$D1887,'Data Master'!$C$2:$C1887=A61)))"),"")</f>
        <v/>
      </c>
    </row>
    <row r="62" hidden="1">
      <c r="C62" s="40" t="str">
        <f>IFERROR(__xludf.DUMMYFUNCTION("TEXTJOIN("", "",TRUE,UNIQUE(FILTER('Data Master'!$B$2:$B1887,'Data Master'!$C$2:$C1887=A62)))"),"petani")</f>
        <v>petani</v>
      </c>
      <c r="D62" s="40" t="str">
        <f>IFERROR(__xludf.DUMMYFUNCTION("TEXTJOIN("", "",TRUE,UNIQUE(FILTER('Data Master'!$D$2:$D1887,'Data Master'!$C$2:$C1887=A62)))"),"")</f>
        <v/>
      </c>
    </row>
    <row r="63" hidden="1">
      <c r="C63" s="40" t="str">
        <f>IFERROR(__xludf.DUMMYFUNCTION("TEXTJOIN("", "",TRUE,UNIQUE(FILTER('Data Master'!$B$2:$B1887,'Data Master'!$C$2:$C1887=A63)))"),"petani")</f>
        <v>petani</v>
      </c>
      <c r="D63" s="40" t="str">
        <f>IFERROR(__xludf.DUMMYFUNCTION("TEXTJOIN("", "",TRUE,UNIQUE(FILTER('Data Master'!$D$2:$D1887,'Data Master'!$C$2:$C1887=A63)))"),"")</f>
        <v/>
      </c>
    </row>
    <row r="64" hidden="1">
      <c r="C64" s="40" t="str">
        <f>IFERROR(__xludf.DUMMYFUNCTION("TEXTJOIN("", "",TRUE,UNIQUE(FILTER('Data Master'!$B$2:$B1887,'Data Master'!$C$2:$C1887=A64)))"),"petani")</f>
        <v>petani</v>
      </c>
      <c r="D64" s="40" t="str">
        <f>IFERROR(__xludf.DUMMYFUNCTION("TEXTJOIN("", "",TRUE,UNIQUE(FILTER('Data Master'!$D$2:$D1887,'Data Master'!$C$2:$C1887=A64)))"),"")</f>
        <v/>
      </c>
    </row>
    <row r="65" hidden="1">
      <c r="C65" s="40" t="str">
        <f>IFERROR(__xludf.DUMMYFUNCTION("TEXTJOIN("", "",TRUE,UNIQUE(FILTER('Data Master'!$B$2:$B1887,'Data Master'!$C$2:$C1887=A65)))"),"petani")</f>
        <v>petani</v>
      </c>
      <c r="D65" s="40" t="str">
        <f>IFERROR(__xludf.DUMMYFUNCTION("TEXTJOIN("", "",TRUE,UNIQUE(FILTER('Data Master'!$D$2:$D1887,'Data Master'!$C$2:$C1887=A65)))"),"")</f>
        <v/>
      </c>
    </row>
    <row r="66" hidden="1">
      <c r="C66" s="40" t="str">
        <f>IFERROR(__xludf.DUMMYFUNCTION("TEXTJOIN("", "",TRUE,UNIQUE(FILTER('Data Master'!$B$2:$B1887,'Data Master'!$C$2:$C1887=A66)))"),"petani")</f>
        <v>petani</v>
      </c>
      <c r="D66" s="40" t="str">
        <f>IFERROR(__xludf.DUMMYFUNCTION("TEXTJOIN("", "",TRUE,UNIQUE(FILTER('Data Master'!$D$2:$D1887,'Data Master'!$C$2:$C1887=A66)))"),"")</f>
        <v/>
      </c>
    </row>
    <row r="67" hidden="1">
      <c r="C67" s="40" t="str">
        <f>IFERROR(__xludf.DUMMYFUNCTION("TEXTJOIN("", "",TRUE,UNIQUE(FILTER('Data Master'!$B$2:$B1887,'Data Master'!$C$2:$C1887=A67)))"),"petani")</f>
        <v>petani</v>
      </c>
      <c r="D67" s="40" t="str">
        <f>IFERROR(__xludf.DUMMYFUNCTION("TEXTJOIN("", "",TRUE,UNIQUE(FILTER('Data Master'!$D$2:$D1887,'Data Master'!$C$2:$C1887=A67)))"),"")</f>
        <v/>
      </c>
    </row>
    <row r="68" hidden="1">
      <c r="C68" s="40" t="str">
        <f>IFERROR(__xludf.DUMMYFUNCTION("TEXTJOIN("", "",TRUE,UNIQUE(FILTER('Data Master'!$B$2:$B1887,'Data Master'!$C$2:$C1887=A68)))"),"petani")</f>
        <v>petani</v>
      </c>
      <c r="D68" s="40" t="str">
        <f>IFERROR(__xludf.DUMMYFUNCTION("TEXTJOIN("", "",TRUE,UNIQUE(FILTER('Data Master'!$D$2:$D1887,'Data Master'!$C$2:$C1887=A68)))"),"")</f>
        <v/>
      </c>
    </row>
    <row r="69" hidden="1">
      <c r="C69" s="40" t="str">
        <f>IFERROR(__xludf.DUMMYFUNCTION("TEXTJOIN("", "",TRUE,UNIQUE(FILTER('Data Master'!$B$2:$B1887,'Data Master'!$C$2:$C1887=A69)))"),"petani")</f>
        <v>petani</v>
      </c>
      <c r="D69" s="40" t="str">
        <f>IFERROR(__xludf.DUMMYFUNCTION("TEXTJOIN("", "",TRUE,UNIQUE(FILTER('Data Master'!$D$2:$D1887,'Data Master'!$C$2:$C1887=A69)))"),"")</f>
        <v/>
      </c>
    </row>
    <row r="70" hidden="1">
      <c r="C70" s="40" t="str">
        <f>IFERROR(__xludf.DUMMYFUNCTION("TEXTJOIN("", "",TRUE,UNIQUE(FILTER('Data Master'!$B$2:$B1887,'Data Master'!$C$2:$C1887=A70)))"),"petani")</f>
        <v>petani</v>
      </c>
      <c r="D70" s="40" t="str">
        <f>IFERROR(__xludf.DUMMYFUNCTION("TEXTJOIN("", "",TRUE,UNIQUE(FILTER('Data Master'!$D$2:$D1887,'Data Master'!$C$2:$C1887=A70)))"),"")</f>
        <v/>
      </c>
    </row>
    <row r="71" hidden="1">
      <c r="C71" s="40" t="str">
        <f>IFERROR(__xludf.DUMMYFUNCTION("TEXTJOIN("", "",TRUE,UNIQUE(FILTER('Data Master'!$B$2:$B1887,'Data Master'!$C$2:$C1887=A71)))"),"petani")</f>
        <v>petani</v>
      </c>
      <c r="D71" s="40" t="str">
        <f>IFERROR(__xludf.DUMMYFUNCTION("TEXTJOIN("", "",TRUE,UNIQUE(FILTER('Data Master'!$D$2:$D1887,'Data Master'!$C$2:$C1887=A71)))"),"")</f>
        <v/>
      </c>
    </row>
    <row r="72" hidden="1">
      <c r="C72" s="40" t="str">
        <f>IFERROR(__xludf.DUMMYFUNCTION("TEXTJOIN("", "",TRUE,UNIQUE(FILTER('Data Master'!$B$2:$B1887,'Data Master'!$C$2:$C1887=A72)))"),"petani")</f>
        <v>petani</v>
      </c>
      <c r="D72" s="40" t="str">
        <f>IFERROR(__xludf.DUMMYFUNCTION("TEXTJOIN("", "",TRUE,UNIQUE(FILTER('Data Master'!$D$2:$D1887,'Data Master'!$C$2:$C1887=A72)))"),"")</f>
        <v/>
      </c>
    </row>
    <row r="73" hidden="1">
      <c r="C73" s="40" t="str">
        <f>IFERROR(__xludf.DUMMYFUNCTION("TEXTJOIN("", "",TRUE,UNIQUE(FILTER('Data Master'!$B$2:$B1887,'Data Master'!$C$2:$C1887=A73)))"),"petani")</f>
        <v>petani</v>
      </c>
      <c r="D73" s="40" t="str">
        <f>IFERROR(__xludf.DUMMYFUNCTION("TEXTJOIN("", "",TRUE,UNIQUE(FILTER('Data Master'!$D$2:$D1887,'Data Master'!$C$2:$C1887=A73)))"),"")</f>
        <v/>
      </c>
    </row>
    <row r="74" hidden="1">
      <c r="C74" s="40" t="str">
        <f>IFERROR(__xludf.DUMMYFUNCTION("TEXTJOIN("", "",TRUE,UNIQUE(FILTER('Data Master'!$B$2:$B1887,'Data Master'!$C$2:$C1887=A74)))"),"petani")</f>
        <v>petani</v>
      </c>
      <c r="D74" s="40" t="str">
        <f>IFERROR(__xludf.DUMMYFUNCTION("TEXTJOIN("", "",TRUE,UNIQUE(FILTER('Data Master'!$D$2:$D1887,'Data Master'!$C$2:$C1887=A74)))"),"")</f>
        <v/>
      </c>
    </row>
    <row r="75" hidden="1">
      <c r="C75" s="40" t="str">
        <f>IFERROR(__xludf.DUMMYFUNCTION("TEXTJOIN("", "",TRUE,UNIQUE(FILTER('Data Master'!$B$2:$B1887,'Data Master'!$C$2:$C1887=A75)))"),"petani")</f>
        <v>petani</v>
      </c>
      <c r="D75" s="40" t="str">
        <f>IFERROR(__xludf.DUMMYFUNCTION("TEXTJOIN("", "",TRUE,UNIQUE(FILTER('Data Master'!$D$2:$D1887,'Data Master'!$C$2:$C1887=A75)))"),"")</f>
        <v/>
      </c>
    </row>
    <row r="76" hidden="1">
      <c r="C76" s="40" t="str">
        <f>IFERROR(__xludf.DUMMYFUNCTION("TEXTJOIN("", "",TRUE,UNIQUE(FILTER('Data Master'!$B$2:$B1887,'Data Master'!$C$2:$C1887=A76)))"),"petani")</f>
        <v>petani</v>
      </c>
      <c r="D76" s="40" t="str">
        <f>IFERROR(__xludf.DUMMYFUNCTION("TEXTJOIN("", "",TRUE,UNIQUE(FILTER('Data Master'!$D$2:$D1887,'Data Master'!$C$2:$C1887=A76)))"),"")</f>
        <v/>
      </c>
    </row>
    <row r="77" hidden="1">
      <c r="C77" s="40" t="str">
        <f>IFERROR(__xludf.DUMMYFUNCTION("TEXTJOIN("", "",TRUE,UNIQUE(FILTER('Data Master'!$B$2:$B1887,'Data Master'!$C$2:$C1887=A77)))"),"petani")</f>
        <v>petani</v>
      </c>
      <c r="D77" s="40" t="str">
        <f>IFERROR(__xludf.DUMMYFUNCTION("TEXTJOIN("", "",TRUE,UNIQUE(FILTER('Data Master'!$D$2:$D1887,'Data Master'!$C$2:$C1887=A77)))"),"")</f>
        <v/>
      </c>
    </row>
    <row r="78" hidden="1">
      <c r="C78" s="40" t="str">
        <f>IFERROR(__xludf.DUMMYFUNCTION("TEXTJOIN("", "",TRUE,UNIQUE(FILTER('Data Master'!$B$2:$B1887,'Data Master'!$C$2:$C1887=A78)))"),"petani")</f>
        <v>petani</v>
      </c>
      <c r="D78" s="40" t="str">
        <f>IFERROR(__xludf.DUMMYFUNCTION("TEXTJOIN("", "",TRUE,UNIQUE(FILTER('Data Master'!$D$2:$D1887,'Data Master'!$C$2:$C1887=A78)))"),"")</f>
        <v/>
      </c>
    </row>
    <row r="79" hidden="1">
      <c r="C79" s="40" t="str">
        <f>IFERROR(__xludf.DUMMYFUNCTION("TEXTJOIN("", "",TRUE,UNIQUE(FILTER('Data Master'!$B$2:$B1887,'Data Master'!$C$2:$C1887=A79)))"),"petani")</f>
        <v>petani</v>
      </c>
      <c r="D79" s="40" t="str">
        <f>IFERROR(__xludf.DUMMYFUNCTION("TEXTJOIN("", "",TRUE,UNIQUE(FILTER('Data Master'!$D$2:$D1887,'Data Master'!$C$2:$C1887=A79)))"),"")</f>
        <v/>
      </c>
    </row>
    <row r="80" hidden="1">
      <c r="C80" s="40" t="str">
        <f>IFERROR(__xludf.DUMMYFUNCTION("TEXTJOIN("", "",TRUE,UNIQUE(FILTER('Data Master'!$B$2:$B1887,'Data Master'!$C$2:$C1887=A80)))"),"operator admin")</f>
        <v>operator admin</v>
      </c>
      <c r="D80" s="40" t="str">
        <f>IFERROR(__xludf.DUMMYFUNCTION("TEXTJOIN("", "",TRUE,UNIQUE(FILTER('Data Master'!$D$2:$D1887,'Data Master'!$C$2:$C1887=A80)))"),"khai@gmail.com")</f>
        <v>khai@gmail.com</v>
      </c>
    </row>
    <row r="81" hidden="1">
      <c r="C81" s="40" t="str">
        <f>IFERROR(__xludf.DUMMYFUNCTION("TEXTJOIN("", "",TRUE,UNIQUE(FILTER('Data Master'!$B$2:$B1887,'Data Master'!$C$2:$C1887=A81)))"),"petani")</f>
        <v>petani</v>
      </c>
      <c r="D81" s="40" t="str">
        <f>IFERROR(__xludf.DUMMYFUNCTION("TEXTJOIN("", "",TRUE,UNIQUE(FILTER('Data Master'!$D$2:$D1887,'Data Master'!$C$2:$C1887=A81)))"),"")</f>
        <v/>
      </c>
    </row>
    <row r="82" hidden="1">
      <c r="C82" s="40" t="str">
        <f>IFERROR(__xludf.DUMMYFUNCTION("TEXTJOIN("", "",TRUE,UNIQUE(FILTER('Data Master'!$B$2:$B1887,'Data Master'!$C$2:$C1887=A82)))"),"petani")</f>
        <v>petani</v>
      </c>
      <c r="D82" s="40" t="str">
        <f>IFERROR(__xludf.DUMMYFUNCTION("TEXTJOIN("", "",TRUE,UNIQUE(FILTER('Data Master'!$D$2:$D1887,'Data Master'!$C$2:$C1887=A82)))"),"")</f>
        <v/>
      </c>
    </row>
    <row r="83" hidden="1">
      <c r="C83" s="40" t="str">
        <f>IFERROR(__xludf.DUMMYFUNCTION("TEXTJOIN("", "",TRUE,UNIQUE(FILTER('Data Master'!$B$2:$B1887,'Data Master'!$C$2:$C1887=A83)))"),"petani")</f>
        <v>petani</v>
      </c>
      <c r="D83" s="40" t="str">
        <f>IFERROR(__xludf.DUMMYFUNCTION("TEXTJOIN("", "",TRUE,UNIQUE(FILTER('Data Master'!$D$2:$D1887,'Data Master'!$C$2:$C1887=A83)))"),"")</f>
        <v/>
      </c>
    </row>
    <row r="84" hidden="1">
      <c r="C84" s="40" t="str">
        <f>IFERROR(__xludf.DUMMYFUNCTION("TEXTJOIN("", "",TRUE,UNIQUE(FILTER('Data Master'!$B$2:$B1887,'Data Master'!$C$2:$C1887=A84)))"),"petani")</f>
        <v>petani</v>
      </c>
      <c r="D84" s="40" t="str">
        <f>IFERROR(__xludf.DUMMYFUNCTION("TEXTJOIN("", "",TRUE,UNIQUE(FILTER('Data Master'!$D$2:$D1887,'Data Master'!$C$2:$C1887=A84)))"),"")</f>
        <v/>
      </c>
    </row>
    <row r="85" hidden="1">
      <c r="C85" s="40" t="str">
        <f>IFERROR(__xludf.DUMMYFUNCTION("TEXTJOIN("", "",TRUE,UNIQUE(FILTER('Data Master'!$B$2:$B1887,'Data Master'!$C$2:$C1887=A85)))"),"petani")</f>
        <v>petani</v>
      </c>
      <c r="D85" s="40" t="str">
        <f>IFERROR(__xludf.DUMMYFUNCTION("TEXTJOIN("", "",TRUE,UNIQUE(FILTER('Data Master'!$D$2:$D1887,'Data Master'!$C$2:$C1887=A85)))"),"")</f>
        <v/>
      </c>
    </row>
    <row r="86" hidden="1">
      <c r="C86" s="40" t="str">
        <f>IFERROR(__xludf.DUMMYFUNCTION("TEXTJOIN("", "",TRUE,UNIQUE(FILTER('Data Master'!$B$2:$B1887,'Data Master'!$C$2:$C1887=A86)))"),"penyuluh")</f>
        <v>penyuluh</v>
      </c>
      <c r="D86" s="40" t="str">
        <f>IFERROR(__xludf.DUMMYFUNCTION("TEXTJOIN("", "",TRUE,UNIQUE(FILTER('Data Master'!$D$2:$D1887,'Data Master'!$C$2:$C1887=A86)))"),"")</f>
        <v/>
      </c>
    </row>
    <row r="87" hidden="1">
      <c r="C87" s="40" t="str">
        <f>IFERROR(__xludf.DUMMYFUNCTION("TEXTJOIN("", "",TRUE,UNIQUE(FILTER('Data Master'!$B$2:$B1887,'Data Master'!$C$2:$C1887=A87)))"),"petani")</f>
        <v>petani</v>
      </c>
      <c r="D87" s="40" t="str">
        <f>IFERROR(__xludf.DUMMYFUNCTION("TEXTJOIN("", "",TRUE,UNIQUE(FILTER('Data Master'!$D$2:$D1887,'Data Master'!$C$2:$C1887=A87)))"),"")</f>
        <v/>
      </c>
    </row>
    <row r="88" hidden="1">
      <c r="C88" s="40" t="str">
        <f>IFERROR(__xludf.DUMMYFUNCTION("TEXTJOIN("", "",TRUE,UNIQUE(FILTER('Data Master'!$B$2:$B1887,'Data Master'!$C$2:$C1887=A88)))"),"petani")</f>
        <v>petani</v>
      </c>
      <c r="D88" s="40" t="str">
        <f>IFERROR(__xludf.DUMMYFUNCTION("TEXTJOIN("", "",TRUE,UNIQUE(FILTER('Data Master'!$D$2:$D1887,'Data Master'!$C$2:$C1887=A88)))"),"")</f>
        <v/>
      </c>
    </row>
    <row r="89" hidden="1">
      <c r="C89" s="40" t="str">
        <f>IFERROR(__xludf.DUMMYFUNCTION("TEXTJOIN("", "",TRUE,UNIQUE(FILTER('Data Master'!$B$2:$B1887,'Data Master'!$C$2:$C1887=A89)))"),"operator admin, penyuluh")</f>
        <v>operator admin, penyuluh</v>
      </c>
      <c r="D89" s="40" t="str">
        <f>IFERROR(__xludf.DUMMYFUNCTION("TEXTJOIN("", "",TRUE,UNIQUE(FILTER('Data Master'!$D$2:$D1887,'Data Master'!$C$2:$C1887=A89)))"),"jogorogobpp@gmail.com, agnezdyanparamita@gmail.com")</f>
        <v>jogorogobpp@gmail.com, agnezdyanparamita@gmail.com</v>
      </c>
    </row>
    <row r="90" hidden="1">
      <c r="C90" s="40" t="str">
        <f>IFERROR(__xludf.DUMMYFUNCTION("TEXTJOIN("", "",TRUE,UNIQUE(FILTER('Data Master'!$B$2:$B1887,'Data Master'!$C$2:$C1887=A90)))"),"petani")</f>
        <v>petani</v>
      </c>
      <c r="D90" s="40" t="str">
        <f>IFERROR(__xludf.DUMMYFUNCTION("TEXTJOIN("", "",TRUE,UNIQUE(FILTER('Data Master'!$D$2:$D1887,'Data Master'!$C$2:$C1887=A90)))"),"")</f>
        <v/>
      </c>
    </row>
    <row r="91" hidden="1">
      <c r="C91" s="40" t="str">
        <f>IFERROR(__xludf.DUMMYFUNCTION("TEXTJOIN("", "",TRUE,UNIQUE(FILTER('Data Master'!$B$2:$B1887,'Data Master'!$C$2:$C1887=A91)))"),"penyuluh")</f>
        <v>penyuluh</v>
      </c>
      <c r="D91" s="40" t="str">
        <f>IFERROR(__xludf.DUMMYFUNCTION("TEXTJOIN("", "",TRUE,UNIQUE(FILTER('Data Master'!$D$2:$D1887,'Data Master'!$C$2:$C1887=A91)))"),"")</f>
        <v/>
      </c>
    </row>
    <row r="92" hidden="1">
      <c r="C92" s="40" t="str">
        <f>IFERROR(__xludf.DUMMYFUNCTION("TEXTJOIN("", "",TRUE,UNIQUE(FILTER('Data Master'!$B$2:$B1887,'Data Master'!$C$2:$C1887=A92)))"),"penyuluh")</f>
        <v>penyuluh</v>
      </c>
      <c r="D92" s="40" t="str">
        <f>IFERROR(__xludf.DUMMYFUNCTION("TEXTJOIN("", "",TRUE,UNIQUE(FILTER('Data Master'!$D$2:$D1887,'Data Master'!$C$2:$C1887=A92)))"),"tobieputra@gmail.com")</f>
        <v>tobieputra@gmail.com</v>
      </c>
    </row>
    <row r="93" hidden="1">
      <c r="C93" s="40" t="str">
        <f>IFERROR(__xludf.DUMMYFUNCTION("TEXTJOIN("", "",TRUE,UNIQUE(FILTER('Data Master'!$B$2:$B1887,'Data Master'!$C$2:$C1887=A93)))"),"petani")</f>
        <v>petani</v>
      </c>
      <c r="D93" s="40" t="str">
        <f>IFERROR(__xludf.DUMMYFUNCTION("TEXTJOIN("", "",TRUE,UNIQUE(FILTER('Data Master'!$D$2:$D1887,'Data Master'!$C$2:$C1887=A93)))"),"")</f>
        <v/>
      </c>
    </row>
    <row r="94" hidden="1">
      <c r="C94" s="40" t="str">
        <f>IFERROR(__xludf.DUMMYFUNCTION("TEXTJOIN("", "",TRUE,UNIQUE(FILTER('Data Master'!$B$2:$B1887,'Data Master'!$C$2:$C1887=A94)))"),"petani")</f>
        <v>petani</v>
      </c>
      <c r="D94" s="40" t="str">
        <f>IFERROR(__xludf.DUMMYFUNCTION("TEXTJOIN("", "",TRUE,UNIQUE(FILTER('Data Master'!$D$2:$D1887,'Data Master'!$C$2:$C1887=A94)))"),"")</f>
        <v/>
      </c>
    </row>
    <row r="95" hidden="1">
      <c r="C95" s="40" t="str">
        <f>IFERROR(__xludf.DUMMYFUNCTION("TEXTJOIN("", "",TRUE,UNIQUE(FILTER('Data Master'!$B$2:$B1887,'Data Master'!$C$2:$C1887=A95)))"),"petani")</f>
        <v>petani</v>
      </c>
      <c r="D95" s="40" t="str">
        <f>IFERROR(__xludf.DUMMYFUNCTION("TEXTJOIN("", "",TRUE,UNIQUE(FILTER('Data Master'!$D$2:$D1887,'Data Master'!$C$2:$C1887=A95)))"),"")</f>
        <v/>
      </c>
    </row>
    <row r="96" hidden="1">
      <c r="C96" s="40" t="str">
        <f>IFERROR(__xludf.DUMMYFUNCTION("TEXTJOIN("", "",TRUE,UNIQUE(FILTER('Data Master'!$B$2:$B1887,'Data Master'!$C$2:$C1887=A96)))"),"petani")</f>
        <v>petani</v>
      </c>
      <c r="D96" s="40" t="str">
        <f>IFERROR(__xludf.DUMMYFUNCTION("TEXTJOIN("", "",TRUE,UNIQUE(FILTER('Data Master'!$D$2:$D1887,'Data Master'!$C$2:$C1887=A96)))"),"")</f>
        <v/>
      </c>
    </row>
    <row r="97" hidden="1">
      <c r="C97" s="40" t="str">
        <f>IFERROR(__xludf.DUMMYFUNCTION("TEXTJOIN("", "",TRUE,UNIQUE(FILTER('Data Master'!$B$2:$B1887,'Data Master'!$C$2:$C1887=A97)))"),"petani")</f>
        <v>petani</v>
      </c>
      <c r="D97" s="40" t="str">
        <f>IFERROR(__xludf.DUMMYFUNCTION("TEXTJOIN("", "",TRUE,UNIQUE(FILTER('Data Master'!$D$2:$D1887,'Data Master'!$C$2:$C1887=A97)))"),"")</f>
        <v/>
      </c>
    </row>
    <row r="98" hidden="1">
      <c r="C98" s="40" t="str">
        <f>IFERROR(__xludf.DUMMYFUNCTION("TEXTJOIN("", "",TRUE,UNIQUE(FILTER('Data Master'!$B$2:$B1887,'Data Master'!$C$2:$C1887=A98)))"),"petani")</f>
        <v>petani</v>
      </c>
      <c r="D98" s="40" t="str">
        <f>IFERROR(__xludf.DUMMYFUNCTION("TEXTJOIN("", "",TRUE,UNIQUE(FILTER('Data Master'!$D$2:$D1887,'Data Master'!$C$2:$C1887=A98)))"),"")</f>
        <v/>
      </c>
    </row>
    <row r="99" hidden="1">
      <c r="C99" s="40" t="str">
        <f>IFERROR(__xludf.DUMMYFUNCTION("TEXTJOIN("", "",TRUE,UNIQUE(FILTER('Data Master'!$B$2:$B1887,'Data Master'!$C$2:$C1887=A99)))"),"petani")</f>
        <v>petani</v>
      </c>
      <c r="D99" s="40" t="str">
        <f>IFERROR(__xludf.DUMMYFUNCTION("TEXTJOIN("", "",TRUE,UNIQUE(FILTER('Data Master'!$D$2:$D1887,'Data Master'!$C$2:$C1887=A99)))"),"")</f>
        <v/>
      </c>
    </row>
    <row r="100" hidden="1">
      <c r="C100" s="40" t="str">
        <f>IFERROR(__xludf.DUMMYFUNCTION("TEXTJOIN("", "",TRUE,UNIQUE(FILTER('Data Master'!$B$2:$B1887,'Data Master'!$C$2:$C1887=A100)))"),"petani")</f>
        <v>petani</v>
      </c>
      <c r="D100" s="40" t="str">
        <f>IFERROR(__xludf.DUMMYFUNCTION("TEXTJOIN("", "",TRUE,UNIQUE(FILTER('Data Master'!$D$2:$D1887,'Data Master'!$C$2:$C1887=A100)))"),"")</f>
        <v/>
      </c>
    </row>
    <row r="101" hidden="1">
      <c r="C101" s="40" t="str">
        <f>IFERROR(__xludf.DUMMYFUNCTION("TEXTJOIN("", "",TRUE,UNIQUE(FILTER('Data Master'!$B$2:$B1887,'Data Master'!$C$2:$C1887=A101)))"),"petani")</f>
        <v>petani</v>
      </c>
      <c r="D101" s="40" t="str">
        <f>IFERROR(__xludf.DUMMYFUNCTION("TEXTJOIN("", "",TRUE,UNIQUE(FILTER('Data Master'!$D$2:$D1887,'Data Master'!$C$2:$C1887=A101)))"),"")</f>
        <v/>
      </c>
    </row>
    <row r="102">
      <c r="C102" s="43" t="str">
        <f>IFERROR(__xludf.DUMMYFUNCTION("TEXTJOIN("", "",TRUE,UNIQUE(FILTER('Data Master'!$B$2:$B1887,'Data Master'!$C$2:$C1887=A102)))"),"operator admin, penyuluh")</f>
        <v>operator admin, penyuluh</v>
      </c>
      <c r="D102" s="43" t="str">
        <f>IFERROR(__xludf.DUMMYFUNCTION("TEXTJOIN("", "",TRUE,UNIQUE(FILTER('Data Master'!$D$2:$D1887,'Data Master'!$C$2:$C1887=A102)))"),"bppngawi@gmail.com")</f>
        <v>bppngawi@gmail.com</v>
      </c>
    </row>
    <row r="103" hidden="1">
      <c r="C103" s="40" t="str">
        <f>IFERROR(__xludf.DUMMYFUNCTION("TEXTJOIN("", "",TRUE,UNIQUE(FILTER('Data Master'!$B$2:$B1887,'Data Master'!$C$2:$C1887=A103)))"),"petani")</f>
        <v>petani</v>
      </c>
      <c r="D103" s="40" t="str">
        <f>IFERROR(__xludf.DUMMYFUNCTION("TEXTJOIN("", "",TRUE,UNIQUE(FILTER('Data Master'!$D$2:$D1887,'Data Master'!$C$2:$C1887=A103)))"),"")</f>
        <v/>
      </c>
    </row>
    <row r="104" hidden="1">
      <c r="C104" s="40" t="str">
        <f>IFERROR(__xludf.DUMMYFUNCTION("TEXTJOIN("", "",TRUE,UNIQUE(FILTER('Data Master'!$B$2:$B1887,'Data Master'!$C$2:$C1887=A104)))"),"petani")</f>
        <v>petani</v>
      </c>
      <c r="D104" s="40" t="str">
        <f>IFERROR(__xludf.DUMMYFUNCTION("TEXTJOIN("", "",TRUE,UNIQUE(FILTER('Data Master'!$D$2:$D1887,'Data Master'!$C$2:$C1887=A104)))"),"")</f>
        <v/>
      </c>
    </row>
    <row r="105" hidden="1">
      <c r="C105" s="40" t="str">
        <f>IFERROR(__xludf.DUMMYFUNCTION("TEXTJOIN("", "",TRUE,UNIQUE(FILTER('Data Master'!$B$2:$B1887,'Data Master'!$C$2:$C1887=A105)))"),"petani")</f>
        <v>petani</v>
      </c>
      <c r="D105" s="40" t="str">
        <f>IFERROR(__xludf.DUMMYFUNCTION("TEXTJOIN("", "",TRUE,UNIQUE(FILTER('Data Master'!$D$2:$D1887,'Data Master'!$C$2:$C1887=A105)))"),"")</f>
        <v/>
      </c>
    </row>
    <row r="106" hidden="1">
      <c r="C106" s="40" t="str">
        <f>IFERROR(__xludf.DUMMYFUNCTION("TEXTJOIN("", "",TRUE,UNIQUE(FILTER('Data Master'!$B$2:$B1887,'Data Master'!$C$2:$C1887=A106)))"),"petani")</f>
        <v>petani</v>
      </c>
      <c r="D106" s="40" t="str">
        <f>IFERROR(__xludf.DUMMYFUNCTION("TEXTJOIN("", "",TRUE,UNIQUE(FILTER('Data Master'!$D$2:$D1887,'Data Master'!$C$2:$C1887=A106)))"),"")</f>
        <v/>
      </c>
    </row>
    <row r="107" hidden="1">
      <c r="C107" s="40" t="str">
        <f>IFERROR(__xludf.DUMMYFUNCTION("TEXTJOIN("", "",TRUE,UNIQUE(FILTER('Data Master'!$B$2:$B1887,'Data Master'!$C$2:$C1887=A107)))"),"petani")</f>
        <v>petani</v>
      </c>
      <c r="D107" s="40" t="str">
        <f>IFERROR(__xludf.DUMMYFUNCTION("TEXTJOIN("", "",TRUE,UNIQUE(FILTER('Data Master'!$D$2:$D1887,'Data Master'!$C$2:$C1887=A107)))"),"")</f>
        <v/>
      </c>
    </row>
    <row r="108" hidden="1">
      <c r="C108" s="40" t="str">
        <f>IFERROR(__xludf.DUMMYFUNCTION("TEXTJOIN("", "",TRUE,UNIQUE(FILTER('Data Master'!$B$2:$B1887,'Data Master'!$C$2:$C1887=A108)))"),"petani")</f>
        <v>petani</v>
      </c>
      <c r="D108" s="40" t="str">
        <f>IFERROR(__xludf.DUMMYFUNCTION("TEXTJOIN("", "",TRUE,UNIQUE(FILTER('Data Master'!$D$2:$D1887,'Data Master'!$C$2:$C1887=A108)))"),"")</f>
        <v/>
      </c>
    </row>
    <row r="109" hidden="1">
      <c r="C109" s="40" t="str">
        <f>IFERROR(__xludf.DUMMYFUNCTION("TEXTJOIN("", "",TRUE,UNIQUE(FILTER('Data Master'!$B$2:$B1887,'Data Master'!$C$2:$C1887=A109)))"),"petani")</f>
        <v>petani</v>
      </c>
      <c r="D109" s="40" t="str">
        <f>IFERROR(__xludf.DUMMYFUNCTION("TEXTJOIN("", "",TRUE,UNIQUE(FILTER('Data Master'!$D$2:$D1887,'Data Master'!$C$2:$C1887=A109)))"),"")</f>
        <v/>
      </c>
    </row>
    <row r="110" hidden="1">
      <c r="C110" s="40" t="str">
        <f>IFERROR(__xludf.DUMMYFUNCTION("TEXTJOIN("", "",TRUE,UNIQUE(FILTER('Data Master'!$B$2:$B1887,'Data Master'!$C$2:$C1887=A110)))"),"petani")</f>
        <v>petani</v>
      </c>
      <c r="D110" s="40" t="str">
        <f>IFERROR(__xludf.DUMMYFUNCTION("TEXTJOIN("", "",TRUE,UNIQUE(FILTER('Data Master'!$D$2:$D1887,'Data Master'!$C$2:$C1887=A110)))"),"")</f>
        <v/>
      </c>
    </row>
    <row r="111" hidden="1">
      <c r="C111" s="40" t="str">
        <f>IFERROR(__xludf.DUMMYFUNCTION("TEXTJOIN("", "",TRUE,UNIQUE(FILTER('Data Master'!$B$2:$B1887,'Data Master'!$C$2:$C1887=A111)))"),"petani")</f>
        <v>petani</v>
      </c>
      <c r="D111" s="40" t="str">
        <f>IFERROR(__xludf.DUMMYFUNCTION("TEXTJOIN("", "",TRUE,UNIQUE(FILTER('Data Master'!$D$2:$D1887,'Data Master'!$C$2:$C1887=A111)))"),"")</f>
        <v/>
      </c>
    </row>
    <row r="112" hidden="1">
      <c r="C112" s="40" t="str">
        <f>IFERROR(__xludf.DUMMYFUNCTION("TEXTJOIN("", "",TRUE,UNIQUE(FILTER('Data Master'!$B$2:$B1887,'Data Master'!$C$2:$C1887=A112)))"),"petani")</f>
        <v>petani</v>
      </c>
      <c r="D112" s="40" t="str">
        <f>IFERROR(__xludf.DUMMYFUNCTION("TEXTJOIN("", "",TRUE,UNIQUE(FILTER('Data Master'!$D$2:$D1887,'Data Master'!$C$2:$C1887=A112)))"),"")</f>
        <v/>
      </c>
    </row>
    <row r="113" hidden="1">
      <c r="C113" s="40" t="str">
        <f>IFERROR(__xludf.DUMMYFUNCTION("TEXTJOIN("", "",TRUE,UNIQUE(FILTER('Data Master'!$B$2:$B1887,'Data Master'!$C$2:$C1887=A113)))"),"petani")</f>
        <v>petani</v>
      </c>
      <c r="D113" s="40" t="str">
        <f>IFERROR(__xludf.DUMMYFUNCTION("TEXTJOIN("", "",TRUE,UNIQUE(FILTER('Data Master'!$D$2:$D1887,'Data Master'!$C$2:$C1887=A113)))"),"")</f>
        <v/>
      </c>
    </row>
    <row r="114" hidden="1">
      <c r="C114" s="40" t="str">
        <f>IFERROR(__xludf.DUMMYFUNCTION("TEXTJOIN("", "",TRUE,UNIQUE(FILTER('Data Master'!$B$2:$B1887,'Data Master'!$C$2:$C1887=A114)))"),"petani")</f>
        <v>petani</v>
      </c>
      <c r="D114" s="40" t="str">
        <f>IFERROR(__xludf.DUMMYFUNCTION("TEXTJOIN("", "",TRUE,UNIQUE(FILTER('Data Master'!$D$2:$D1887,'Data Master'!$C$2:$C1887=A114)))"),"")</f>
        <v/>
      </c>
    </row>
    <row r="115" hidden="1">
      <c r="C115" s="40" t="str">
        <f>IFERROR(__xludf.DUMMYFUNCTION("TEXTJOIN("", "",TRUE,UNIQUE(FILTER('Data Master'!$B$2:$B1887,'Data Master'!$C$2:$C1887=A115)))"),"petani")</f>
        <v>petani</v>
      </c>
      <c r="D115" s="40" t="str">
        <f>IFERROR(__xludf.DUMMYFUNCTION("TEXTJOIN("", "",TRUE,UNIQUE(FILTER('Data Master'!$D$2:$D1887,'Data Master'!$C$2:$C1887=A115)))"),"")</f>
        <v/>
      </c>
    </row>
    <row r="116" hidden="1">
      <c r="C116" s="40" t="str">
        <f>IFERROR(__xludf.DUMMYFUNCTION("TEXTJOIN("", "",TRUE,UNIQUE(FILTER('Data Master'!$B$2:$B1887,'Data Master'!$C$2:$C1887=A116)))"),"petani")</f>
        <v>petani</v>
      </c>
      <c r="D116" s="40" t="str">
        <f>IFERROR(__xludf.DUMMYFUNCTION("TEXTJOIN("", "",TRUE,UNIQUE(FILTER('Data Master'!$D$2:$D1887,'Data Master'!$C$2:$C1887=A116)))"),"")</f>
        <v/>
      </c>
    </row>
    <row r="117" hidden="1">
      <c r="C117" s="40" t="str">
        <f>IFERROR(__xludf.DUMMYFUNCTION("TEXTJOIN("", "",TRUE,UNIQUE(FILTER('Data Master'!$B$2:$B1887,'Data Master'!$C$2:$C1887=A117)))"),"petani")</f>
        <v>petani</v>
      </c>
      <c r="D117" s="40" t="str">
        <f>IFERROR(__xludf.DUMMYFUNCTION("TEXTJOIN("", "",TRUE,UNIQUE(FILTER('Data Master'!$D$2:$D1887,'Data Master'!$C$2:$C1887=A117)))"),"")</f>
        <v/>
      </c>
    </row>
    <row r="118" hidden="1">
      <c r="C118" s="40" t="str">
        <f>IFERROR(__xludf.DUMMYFUNCTION("TEXTJOIN("", "",TRUE,UNIQUE(FILTER('Data Master'!$B$2:$B1887,'Data Master'!$C$2:$C1887=A118)))"),"petani")</f>
        <v>petani</v>
      </c>
      <c r="D118" s="40" t="str">
        <f>IFERROR(__xludf.DUMMYFUNCTION("TEXTJOIN("", "",TRUE,UNIQUE(FILTER('Data Master'!$D$2:$D1887,'Data Master'!$C$2:$C1887=A118)))"),"")</f>
        <v/>
      </c>
    </row>
    <row r="119" hidden="1">
      <c r="C119" s="40" t="str">
        <f>IFERROR(__xludf.DUMMYFUNCTION("TEXTJOIN("", "",TRUE,UNIQUE(FILTER('Data Master'!$B$2:$B1887,'Data Master'!$C$2:$C1887=A119)))"),"petani")</f>
        <v>petani</v>
      </c>
      <c r="D119" s="40" t="str">
        <f>IFERROR(__xludf.DUMMYFUNCTION("TEXTJOIN("", "",TRUE,UNIQUE(FILTER('Data Master'!$D$2:$D1887,'Data Master'!$C$2:$C1887=A119)))"),"")</f>
        <v/>
      </c>
    </row>
    <row r="120" hidden="1">
      <c r="C120" s="40" t="str">
        <f>IFERROR(__xludf.DUMMYFUNCTION("TEXTJOIN("", "",TRUE,UNIQUE(FILTER('Data Master'!$B$2:$B1887,'Data Master'!$C$2:$C1887=A120)))"),"petani")</f>
        <v>petani</v>
      </c>
      <c r="D120" s="40" t="str">
        <f>IFERROR(__xludf.DUMMYFUNCTION("TEXTJOIN("", "",TRUE,UNIQUE(FILTER('Data Master'!$D$2:$D1887,'Data Master'!$C$2:$C1887=A120)))"),"")</f>
        <v/>
      </c>
    </row>
    <row r="121" hidden="1">
      <c r="C121" s="40" t="str">
        <f>IFERROR(__xludf.DUMMYFUNCTION("TEXTJOIN("", "",TRUE,UNIQUE(FILTER('Data Master'!$B$2:$B1887,'Data Master'!$C$2:$C1887=A121)))"),"petani")</f>
        <v>petani</v>
      </c>
      <c r="D121" s="40" t="str">
        <f>IFERROR(__xludf.DUMMYFUNCTION("TEXTJOIN("", "",TRUE,UNIQUE(FILTER('Data Master'!$D$2:$D1887,'Data Master'!$C$2:$C1887=A121)))"),"")</f>
        <v/>
      </c>
    </row>
    <row r="122" hidden="1">
      <c r="C122" s="40" t="str">
        <f>IFERROR(__xludf.DUMMYFUNCTION("TEXTJOIN("", "",TRUE,UNIQUE(FILTER('Data Master'!$B$2:$B1887,'Data Master'!$C$2:$C1887=A122)))"),"petani")</f>
        <v>petani</v>
      </c>
      <c r="D122" s="40" t="str">
        <f>IFERROR(__xludf.DUMMYFUNCTION("TEXTJOIN("", "",TRUE,UNIQUE(FILTER('Data Master'!$D$2:$D1887,'Data Master'!$C$2:$C1887=A122)))"),"")</f>
        <v/>
      </c>
    </row>
    <row r="123" hidden="1">
      <c r="C123" s="40" t="str">
        <f>IFERROR(__xludf.DUMMYFUNCTION("TEXTJOIN("", "",TRUE,UNIQUE(FILTER('Data Master'!$B$2:$B1887,'Data Master'!$C$2:$C1887=A123)))"),"petani")</f>
        <v>petani</v>
      </c>
      <c r="D123" s="40" t="str">
        <f>IFERROR(__xludf.DUMMYFUNCTION("TEXTJOIN("", "",TRUE,UNIQUE(FILTER('Data Master'!$D$2:$D1887,'Data Master'!$C$2:$C1887=A123)))"),"")</f>
        <v/>
      </c>
    </row>
    <row r="124" hidden="1">
      <c r="C124" s="40" t="str">
        <f>IFERROR(__xludf.DUMMYFUNCTION("TEXTJOIN("", "",TRUE,UNIQUE(FILTER('Data Master'!$B$2:$B1887,'Data Master'!$C$2:$C1887=A124)))"),"petani")</f>
        <v>petani</v>
      </c>
      <c r="D124" s="40" t="str">
        <f>IFERROR(__xludf.DUMMYFUNCTION("TEXTJOIN("", "",TRUE,UNIQUE(FILTER('Data Master'!$D$2:$D1887,'Data Master'!$C$2:$C1887=A124)))"),"")</f>
        <v/>
      </c>
    </row>
    <row r="125" hidden="1">
      <c r="C125" s="40" t="str">
        <f>IFERROR(__xludf.DUMMYFUNCTION("TEXTJOIN("", "",TRUE,UNIQUE(FILTER('Data Master'!$B$2:$B1887,'Data Master'!$C$2:$C1887=A125)))"),"petani")</f>
        <v>petani</v>
      </c>
      <c r="D125" s="40" t="str">
        <f>IFERROR(__xludf.DUMMYFUNCTION("TEXTJOIN("", "",TRUE,UNIQUE(FILTER('Data Master'!$D$2:$D1887,'Data Master'!$C$2:$C1887=A125)))"),"")</f>
        <v/>
      </c>
    </row>
    <row r="126" hidden="1">
      <c r="C126" s="40" t="str">
        <f>IFERROR(__xludf.DUMMYFUNCTION("TEXTJOIN("", "",TRUE,UNIQUE(FILTER('Data Master'!$B$2:$B1887,'Data Master'!$C$2:$C1887=A126)))"),"petani")</f>
        <v>petani</v>
      </c>
      <c r="D126" s="40" t="str">
        <f>IFERROR(__xludf.DUMMYFUNCTION("TEXTJOIN("", "",TRUE,UNIQUE(FILTER('Data Master'!$D$2:$D1887,'Data Master'!$C$2:$C1887=A126)))"),"")</f>
        <v/>
      </c>
    </row>
    <row r="127" hidden="1">
      <c r="C127" s="40" t="str">
        <f>IFERROR(__xludf.DUMMYFUNCTION("TEXTJOIN("", "",TRUE,UNIQUE(FILTER('Data Master'!$B$2:$B1887,'Data Master'!$C$2:$C1887=A127)))"),"petani")</f>
        <v>petani</v>
      </c>
      <c r="D127" s="40" t="str">
        <f>IFERROR(__xludf.DUMMYFUNCTION("TEXTJOIN("", "",TRUE,UNIQUE(FILTER('Data Master'!$D$2:$D1887,'Data Master'!$C$2:$C1887=A127)))"),"")</f>
        <v/>
      </c>
    </row>
    <row r="128" hidden="1">
      <c r="C128" s="40" t="str">
        <f>IFERROR(__xludf.DUMMYFUNCTION("TEXTJOIN("", "",TRUE,UNIQUE(FILTER('Data Master'!$B$2:$B1887,'Data Master'!$C$2:$C1887=A128)))"),"petani")</f>
        <v>petani</v>
      </c>
      <c r="D128" s="40" t="str">
        <f>IFERROR(__xludf.DUMMYFUNCTION("TEXTJOIN("", "",TRUE,UNIQUE(FILTER('Data Master'!$D$2:$D1887,'Data Master'!$C$2:$C1887=A128)))"),"")</f>
        <v/>
      </c>
    </row>
    <row r="129" hidden="1">
      <c r="C129" s="40" t="str">
        <f>IFERROR(__xludf.DUMMYFUNCTION("TEXTJOIN("", "",TRUE,UNIQUE(FILTER('Data Master'!$B$2:$B1887,'Data Master'!$C$2:$C1887=A129)))"),"petani")</f>
        <v>petani</v>
      </c>
      <c r="D129" s="40" t="str">
        <f>IFERROR(__xludf.DUMMYFUNCTION("TEXTJOIN("", "",TRUE,UNIQUE(FILTER('Data Master'!$D$2:$D1887,'Data Master'!$C$2:$C1887=A129)))"),"")</f>
        <v/>
      </c>
    </row>
    <row r="130" hidden="1">
      <c r="C130" s="40" t="str">
        <f>IFERROR(__xludf.DUMMYFUNCTION("TEXTJOIN("", "",TRUE,UNIQUE(FILTER('Data Master'!$B$2:$B1887,'Data Master'!$C$2:$C1887=A130)))"),"petani")</f>
        <v>petani</v>
      </c>
      <c r="D130" s="40" t="str">
        <f>IFERROR(__xludf.DUMMYFUNCTION("TEXTJOIN("", "",TRUE,UNIQUE(FILTER('Data Master'!$D$2:$D1887,'Data Master'!$C$2:$C1887=A130)))"),"")</f>
        <v/>
      </c>
    </row>
    <row r="131" hidden="1">
      <c r="C131" s="40" t="str">
        <f>IFERROR(__xludf.DUMMYFUNCTION("TEXTJOIN("", "",TRUE,UNIQUE(FILTER('Data Master'!$B$2:$B1887,'Data Master'!$C$2:$C1887=A131)))"),"petani")</f>
        <v>petani</v>
      </c>
      <c r="D131" s="40" t="str">
        <f>IFERROR(__xludf.DUMMYFUNCTION("TEXTJOIN("", "",TRUE,UNIQUE(FILTER('Data Master'!$D$2:$D1887,'Data Master'!$C$2:$C1887=A131)))"),"")</f>
        <v/>
      </c>
    </row>
    <row r="132" hidden="1">
      <c r="C132" s="40" t="str">
        <f>IFERROR(__xludf.DUMMYFUNCTION("TEXTJOIN("", "",TRUE,UNIQUE(FILTER('Data Master'!$B$2:$B1887,'Data Master'!$C$2:$C1887=A132)))"),"petani")</f>
        <v>petani</v>
      </c>
      <c r="D132" s="40" t="str">
        <f>IFERROR(__xludf.DUMMYFUNCTION("TEXTJOIN("", "",TRUE,UNIQUE(FILTER('Data Master'!$D$2:$D1887,'Data Master'!$C$2:$C1887=A132)))"),"")</f>
        <v/>
      </c>
    </row>
    <row r="133" hidden="1">
      <c r="C133" s="40" t="str">
        <f>IFERROR(__xludf.DUMMYFUNCTION("TEXTJOIN("", "",TRUE,UNIQUE(FILTER('Data Master'!$B$2:$B1887,'Data Master'!$C$2:$C1887=A133)))"),"petani")</f>
        <v>petani</v>
      </c>
      <c r="D133" s="40" t="str">
        <f>IFERROR(__xludf.DUMMYFUNCTION("TEXTJOIN("", "",TRUE,UNIQUE(FILTER('Data Master'!$D$2:$D1887,'Data Master'!$C$2:$C1887=A133)))"),"")</f>
        <v/>
      </c>
    </row>
    <row r="134" hidden="1">
      <c r="C134" s="40" t="str">
        <f>IFERROR(__xludf.DUMMYFUNCTION("TEXTJOIN("", "",TRUE,UNIQUE(FILTER('Data Master'!$B$2:$B1887,'Data Master'!$C$2:$C1887=A134)))"),"petani")</f>
        <v>petani</v>
      </c>
      <c r="D134" s="40" t="str">
        <f>IFERROR(__xludf.DUMMYFUNCTION("TEXTJOIN("", "",TRUE,UNIQUE(FILTER('Data Master'!$D$2:$D1887,'Data Master'!$C$2:$C1887=A134)))"),"")</f>
        <v/>
      </c>
    </row>
    <row r="135" hidden="1">
      <c r="C135" s="40" t="str">
        <f>IFERROR(__xludf.DUMMYFUNCTION("TEXTJOIN("", "",TRUE,UNIQUE(FILTER('Data Master'!$B$2:$B1887,'Data Master'!$C$2:$C1887=A135)))"),"petani")</f>
        <v>petani</v>
      </c>
      <c r="D135" s="40" t="str">
        <f>IFERROR(__xludf.DUMMYFUNCTION("TEXTJOIN("", "",TRUE,UNIQUE(FILTER('Data Master'!$D$2:$D1887,'Data Master'!$C$2:$C1887=A135)))"),"")</f>
        <v/>
      </c>
    </row>
    <row r="136" hidden="1">
      <c r="C136" s="40" t="str">
        <f>IFERROR(__xludf.DUMMYFUNCTION("TEXTJOIN("", "",TRUE,UNIQUE(FILTER('Data Master'!$B$2:$B1887,'Data Master'!$C$2:$C1887=A136)))"),"petani")</f>
        <v>petani</v>
      </c>
      <c r="D136" s="40" t="str">
        <f>IFERROR(__xludf.DUMMYFUNCTION("TEXTJOIN("", "",TRUE,UNIQUE(FILTER('Data Master'!$D$2:$D1887,'Data Master'!$C$2:$C1887=A136)))"),"")</f>
        <v/>
      </c>
    </row>
    <row r="137" hidden="1">
      <c r="C137" s="40" t="str">
        <f>IFERROR(__xludf.DUMMYFUNCTION("TEXTJOIN("", "",TRUE,UNIQUE(FILTER('Data Master'!$B$2:$B1887,'Data Master'!$C$2:$C1887=A137)))"),"operator admin, penyuluh")</f>
        <v>operator admin, penyuluh</v>
      </c>
      <c r="D137" s="40" t="str">
        <f>IFERROR(__xludf.DUMMYFUNCTION("TEXTJOIN("", "",TRUE,UNIQUE(FILTER('Data Master'!$D$2:$D1887,'Data Master'!$C$2:$C1887=A137)))"),"aguspasianto@gmail.com, aguspasiantospmma29@gmail.com")</f>
        <v>aguspasianto@gmail.com, aguspasiantospmma29@gmail.com</v>
      </c>
    </row>
    <row r="138" hidden="1">
      <c r="C138" s="40" t="str">
        <f>IFERROR(__xludf.DUMMYFUNCTION("TEXTJOIN("", "",TRUE,UNIQUE(FILTER('Data Master'!$B$2:$B1887,'Data Master'!$C$2:$C1887=A138)))"),"penyuluh")</f>
        <v>penyuluh</v>
      </c>
      <c r="D138" s="40" t="str">
        <f>IFERROR(__xludf.DUMMYFUNCTION("TEXTJOIN("", "",TRUE,UNIQUE(FILTER('Data Master'!$D$2:$D1887,'Data Master'!$C$2:$C1887=A138)))"),"aguspasiantospmma29@gmail.com")</f>
        <v>aguspasiantospmma29@gmail.com</v>
      </c>
    </row>
    <row r="139" hidden="1">
      <c r="C139" s="40" t="str">
        <f>IFERROR(__xludf.DUMMYFUNCTION("TEXTJOIN("", "",TRUE,UNIQUE(FILTER('Data Master'!$B$2:$B1887,'Data Master'!$C$2:$C1887=A139)))"),"petani")</f>
        <v>petani</v>
      </c>
      <c r="D139" s="40" t="str">
        <f>IFERROR(__xludf.DUMMYFUNCTION("TEXTJOIN("", "",TRUE,UNIQUE(FILTER('Data Master'!$D$2:$D1887,'Data Master'!$C$2:$C1887=A139)))"),"")</f>
        <v/>
      </c>
    </row>
    <row r="140" hidden="1">
      <c r="C140" s="40" t="str">
        <f>IFERROR(__xludf.DUMMYFUNCTION("TEXTJOIN("", "",TRUE,UNIQUE(FILTER('Data Master'!$B$2:$B1887,'Data Master'!$C$2:$C1887=A140)))"),"petani")</f>
        <v>petani</v>
      </c>
      <c r="D140" s="40" t="str">
        <f>IFERROR(__xludf.DUMMYFUNCTION("TEXTJOIN("", "",TRUE,UNIQUE(FILTER('Data Master'!$D$2:$D1887,'Data Master'!$C$2:$C1887=A140)))"),"")</f>
        <v/>
      </c>
    </row>
    <row r="141" hidden="1">
      <c r="C141" s="40" t="str">
        <f>IFERROR(__xludf.DUMMYFUNCTION("TEXTJOIN("", "",TRUE,UNIQUE(FILTER('Data Master'!$B$2:$B1887,'Data Master'!$C$2:$C1887=A141)))"),"petani")</f>
        <v>petani</v>
      </c>
      <c r="D141" s="40" t="str">
        <f>IFERROR(__xludf.DUMMYFUNCTION("TEXTJOIN("", "",TRUE,UNIQUE(FILTER('Data Master'!$D$2:$D1887,'Data Master'!$C$2:$C1887=A141)))"),"")</f>
        <v/>
      </c>
    </row>
    <row r="142" hidden="1">
      <c r="C142" s="40" t="str">
        <f>IFERROR(__xludf.DUMMYFUNCTION("TEXTJOIN("", "",TRUE,UNIQUE(FILTER('Data Master'!$B$2:$B1887,'Data Master'!$C$2:$C1887=A142)))"),"petani")</f>
        <v>petani</v>
      </c>
      <c r="D142" s="40" t="str">
        <f>IFERROR(__xludf.DUMMYFUNCTION("TEXTJOIN("", "",TRUE,UNIQUE(FILTER('Data Master'!$D$2:$D1887,'Data Master'!$C$2:$C1887=A142)))"),"")</f>
        <v/>
      </c>
    </row>
    <row r="143" hidden="1">
      <c r="C143" s="40" t="str">
        <f>IFERROR(__xludf.DUMMYFUNCTION("TEXTJOIN("", "",TRUE,UNIQUE(FILTER('Data Master'!$B$2:$B1887,'Data Master'!$C$2:$C1887=A143)))"),"petani")</f>
        <v>petani</v>
      </c>
      <c r="D143" s="40" t="str">
        <f>IFERROR(__xludf.DUMMYFUNCTION("TEXTJOIN("", "",TRUE,UNIQUE(FILTER('Data Master'!$D$2:$D1887,'Data Master'!$C$2:$C1887=A143)))"),"")</f>
        <v/>
      </c>
    </row>
    <row r="144" hidden="1">
      <c r="C144" s="40" t="str">
        <f>IFERROR(__xludf.DUMMYFUNCTION("TEXTJOIN("", "",TRUE,UNIQUE(FILTER('Data Master'!$B$2:$B1887,'Data Master'!$C$2:$C1887=A144)))"),"petani")</f>
        <v>petani</v>
      </c>
      <c r="D144" s="40" t="str">
        <f>IFERROR(__xludf.DUMMYFUNCTION("TEXTJOIN("", "",TRUE,UNIQUE(FILTER('Data Master'!$D$2:$D1887,'Data Master'!$C$2:$C1887=A144)))"),"")</f>
        <v/>
      </c>
    </row>
    <row r="145" hidden="1">
      <c r="C145" s="40" t="str">
        <f>IFERROR(__xludf.DUMMYFUNCTION("TEXTJOIN("", "",TRUE,UNIQUE(FILTER('Data Master'!$B$2:$B1887,'Data Master'!$C$2:$C1887=A145)))"),"petani")</f>
        <v>petani</v>
      </c>
      <c r="D145" s="40" t="str">
        <f>IFERROR(__xludf.DUMMYFUNCTION("TEXTJOIN("", "",TRUE,UNIQUE(FILTER('Data Master'!$D$2:$D1887,'Data Master'!$C$2:$C1887=A145)))"),"")</f>
        <v/>
      </c>
    </row>
    <row r="146" hidden="1">
      <c r="C146" s="40" t="str">
        <f>IFERROR(__xludf.DUMMYFUNCTION("TEXTJOIN("", "",TRUE,UNIQUE(FILTER('Data Master'!$B$2:$B1887,'Data Master'!$C$2:$C1887=A146)))"),"petani")</f>
        <v>petani</v>
      </c>
      <c r="D146" s="40" t="str">
        <f>IFERROR(__xludf.DUMMYFUNCTION("TEXTJOIN("", "",TRUE,UNIQUE(FILTER('Data Master'!$D$2:$D1887,'Data Master'!$C$2:$C1887=A146)))"),"")</f>
        <v/>
      </c>
    </row>
    <row r="147" hidden="1">
      <c r="C147" s="40" t="str">
        <f>IFERROR(__xludf.DUMMYFUNCTION("TEXTJOIN("", "",TRUE,UNIQUE(FILTER('Data Master'!$B$2:$B1887,'Data Master'!$C$2:$C1887=A147)))"),"petani")</f>
        <v>petani</v>
      </c>
      <c r="D147" s="40" t="str">
        <f>IFERROR(__xludf.DUMMYFUNCTION("TEXTJOIN("", "",TRUE,UNIQUE(FILTER('Data Master'!$D$2:$D1887,'Data Master'!$C$2:$C1887=A147)))"),"")</f>
        <v/>
      </c>
    </row>
    <row r="148" hidden="1">
      <c r="C148" s="40" t="str">
        <f>IFERROR(__xludf.DUMMYFUNCTION("TEXTJOIN("", "",TRUE,UNIQUE(FILTER('Data Master'!$B$2:$B1887,'Data Master'!$C$2:$C1887=A148)))"),"petani")</f>
        <v>petani</v>
      </c>
      <c r="D148" s="40" t="str">
        <f>IFERROR(__xludf.DUMMYFUNCTION("TEXTJOIN("", "",TRUE,UNIQUE(FILTER('Data Master'!$D$2:$D1887,'Data Master'!$C$2:$C1887=A148)))"),"")</f>
        <v/>
      </c>
    </row>
    <row r="149" hidden="1">
      <c r="C149" s="40" t="str">
        <f>IFERROR(__xludf.DUMMYFUNCTION("TEXTJOIN("", "",TRUE,UNIQUE(FILTER('Data Master'!$B$2:$B1887,'Data Master'!$C$2:$C1887=A149)))"),"petani")</f>
        <v>petani</v>
      </c>
      <c r="D149" s="40" t="str">
        <f>IFERROR(__xludf.DUMMYFUNCTION("TEXTJOIN("", "",TRUE,UNIQUE(FILTER('Data Master'!$D$2:$D1887,'Data Master'!$C$2:$C1887=A149)))"),"")</f>
        <v/>
      </c>
    </row>
    <row r="150" hidden="1">
      <c r="C150" s="40" t="str">
        <f>IFERROR(__xludf.DUMMYFUNCTION("TEXTJOIN("", "",TRUE,UNIQUE(FILTER('Data Master'!$B$2:$B1887,'Data Master'!$C$2:$C1887=A150)))"),"petani")</f>
        <v>petani</v>
      </c>
      <c r="D150" s="40" t="str">
        <f>IFERROR(__xludf.DUMMYFUNCTION("TEXTJOIN("", "",TRUE,UNIQUE(FILTER('Data Master'!$D$2:$D1887,'Data Master'!$C$2:$C1887=A150)))"),"")</f>
        <v/>
      </c>
    </row>
    <row r="151" hidden="1">
      <c r="C151" s="40" t="str">
        <f>IFERROR(__xludf.DUMMYFUNCTION("TEXTJOIN("", "",TRUE,UNIQUE(FILTER('Data Master'!$B$2:$B1887,'Data Master'!$C$2:$C1887=A151)))"),"petani")</f>
        <v>petani</v>
      </c>
      <c r="D151" s="40" t="str">
        <f>IFERROR(__xludf.DUMMYFUNCTION("TEXTJOIN("", "",TRUE,UNIQUE(FILTER('Data Master'!$D$2:$D1887,'Data Master'!$C$2:$C1887=A151)))"),"")</f>
        <v/>
      </c>
    </row>
    <row r="152" hidden="1">
      <c r="C152" s="40" t="str">
        <f>IFERROR(__xludf.DUMMYFUNCTION("TEXTJOIN("", "",TRUE,UNIQUE(FILTER('Data Master'!$B$2:$B1887,'Data Master'!$C$2:$C1887=A152)))"),"petani")</f>
        <v>petani</v>
      </c>
      <c r="D152" s="40" t="str">
        <f>IFERROR(__xludf.DUMMYFUNCTION("TEXTJOIN("", "",TRUE,UNIQUE(FILTER('Data Master'!$D$2:$D1887,'Data Master'!$C$2:$C1887=A152)))"),"")</f>
        <v/>
      </c>
    </row>
    <row r="153" hidden="1">
      <c r="C153" s="40" t="str">
        <f>IFERROR(__xludf.DUMMYFUNCTION("TEXTJOIN("", "",TRUE,UNIQUE(FILTER('Data Master'!$B$2:$B1887,'Data Master'!$C$2:$C1887=A153)))"),"petani")</f>
        <v>petani</v>
      </c>
      <c r="D153" s="40" t="str">
        <f>IFERROR(__xludf.DUMMYFUNCTION("TEXTJOIN("", "",TRUE,UNIQUE(FILTER('Data Master'!$D$2:$D1887,'Data Master'!$C$2:$C1887=A153)))"),"")</f>
        <v/>
      </c>
    </row>
    <row r="154" hidden="1">
      <c r="C154" s="40" t="str">
        <f>IFERROR(__xludf.DUMMYFUNCTION("TEXTJOIN("", "",TRUE,UNIQUE(FILTER('Data Master'!$B$2:$B1887,'Data Master'!$C$2:$C1887=A154)))"),"petani")</f>
        <v>petani</v>
      </c>
      <c r="D154" s="40" t="str">
        <f>IFERROR(__xludf.DUMMYFUNCTION("TEXTJOIN("", "",TRUE,UNIQUE(FILTER('Data Master'!$D$2:$D1887,'Data Master'!$C$2:$C1887=A154)))"),"")</f>
        <v/>
      </c>
    </row>
    <row r="155" hidden="1">
      <c r="C155" s="40" t="str">
        <f>IFERROR(__xludf.DUMMYFUNCTION("TEXTJOIN("", "",TRUE,UNIQUE(FILTER('Data Master'!$B$2:$B1887,'Data Master'!$C$2:$C1887=A155)))"),"petani")</f>
        <v>petani</v>
      </c>
      <c r="D155" s="40" t="str">
        <f>IFERROR(__xludf.DUMMYFUNCTION("TEXTJOIN("", "",TRUE,UNIQUE(FILTER('Data Master'!$D$2:$D1887,'Data Master'!$C$2:$C1887=A155)))"),"")</f>
        <v/>
      </c>
    </row>
    <row r="156" hidden="1">
      <c r="C156" s="40" t="str">
        <f>IFERROR(__xludf.DUMMYFUNCTION("TEXTJOIN("", "",TRUE,UNIQUE(FILTER('Data Master'!$B$2:$B1887,'Data Master'!$C$2:$C1887=A156)))"),"petani")</f>
        <v>petani</v>
      </c>
      <c r="D156" s="40" t="str">
        <f>IFERROR(__xludf.DUMMYFUNCTION("TEXTJOIN("", "",TRUE,UNIQUE(FILTER('Data Master'!$D$2:$D1887,'Data Master'!$C$2:$C1887=A156)))"),"")</f>
        <v/>
      </c>
    </row>
    <row r="157" hidden="1">
      <c r="C157" s="40" t="str">
        <f>IFERROR(__xludf.DUMMYFUNCTION("TEXTJOIN("", "",TRUE,UNIQUE(FILTER('Data Master'!$B$2:$B1887,'Data Master'!$C$2:$C1887=A157)))"),"petani")</f>
        <v>petani</v>
      </c>
      <c r="D157" s="40" t="str">
        <f>IFERROR(__xludf.DUMMYFUNCTION("TEXTJOIN("", "",TRUE,UNIQUE(FILTER('Data Master'!$D$2:$D1887,'Data Master'!$C$2:$C1887=A157)))"),"")</f>
        <v/>
      </c>
    </row>
    <row r="158" hidden="1">
      <c r="C158" s="40" t="str">
        <f>IFERROR(__xludf.DUMMYFUNCTION("TEXTJOIN("", "",TRUE,UNIQUE(FILTER('Data Master'!$B$2:$B1887,'Data Master'!$C$2:$C1887=A158)))"),"petani")</f>
        <v>petani</v>
      </c>
      <c r="D158" s="40" t="str">
        <f>IFERROR(__xludf.DUMMYFUNCTION("TEXTJOIN("", "",TRUE,UNIQUE(FILTER('Data Master'!$D$2:$D1887,'Data Master'!$C$2:$C1887=A158)))"),"")</f>
        <v/>
      </c>
    </row>
    <row r="159" hidden="1">
      <c r="C159" s="40" t="str">
        <f>IFERROR(__xludf.DUMMYFUNCTION("TEXTJOIN("", "",TRUE,UNIQUE(FILTER('Data Master'!$B$2:$B1887,'Data Master'!$C$2:$C1887=A159)))"),"petani")</f>
        <v>petani</v>
      </c>
      <c r="D159" s="40" t="str">
        <f>IFERROR(__xludf.DUMMYFUNCTION("TEXTJOIN("", "",TRUE,UNIQUE(FILTER('Data Master'!$D$2:$D1887,'Data Master'!$C$2:$C1887=A159)))"),"")</f>
        <v/>
      </c>
    </row>
    <row r="160" hidden="1">
      <c r="C160" s="40" t="str">
        <f>IFERROR(__xludf.DUMMYFUNCTION("TEXTJOIN("", "",TRUE,UNIQUE(FILTER('Data Master'!$B$2:$B1887,'Data Master'!$C$2:$C1887=A160)))"),"petani")</f>
        <v>petani</v>
      </c>
      <c r="D160" s="40" t="str">
        <f>IFERROR(__xludf.DUMMYFUNCTION("TEXTJOIN("", "",TRUE,UNIQUE(FILTER('Data Master'!$D$2:$D1887,'Data Master'!$C$2:$C1887=A160)))"),"")</f>
        <v/>
      </c>
    </row>
    <row r="161" hidden="1">
      <c r="C161" s="40" t="str">
        <f>IFERROR(__xludf.DUMMYFUNCTION("TEXTJOIN("", "",TRUE,UNIQUE(FILTER('Data Master'!$B$2:$B1887,'Data Master'!$C$2:$C1887=A161)))"),"petani")</f>
        <v>petani</v>
      </c>
      <c r="D161" s="40" t="str">
        <f>IFERROR(__xludf.DUMMYFUNCTION("TEXTJOIN("", "",TRUE,UNIQUE(FILTER('Data Master'!$D$2:$D1887,'Data Master'!$C$2:$C1887=A161)))"),"")</f>
        <v/>
      </c>
    </row>
    <row r="162" hidden="1">
      <c r="C162" s="40" t="str">
        <f>IFERROR(__xludf.DUMMYFUNCTION("TEXTJOIN("", "",TRUE,UNIQUE(FILTER('Data Master'!$B$2:$B1887,'Data Master'!$C$2:$C1887=A162)))"),"petani")</f>
        <v>petani</v>
      </c>
      <c r="D162" s="40" t="str">
        <f>IFERROR(__xludf.DUMMYFUNCTION("TEXTJOIN("", "",TRUE,UNIQUE(FILTER('Data Master'!$D$2:$D1887,'Data Master'!$C$2:$C1887=A162)))"),"dehapurwoko@gmail.com")</f>
        <v>dehapurwoko@gmail.com</v>
      </c>
    </row>
    <row r="163" hidden="1">
      <c r="C163" s="40" t="str">
        <f>IFERROR(__xludf.DUMMYFUNCTION("TEXTJOIN("", "",TRUE,UNIQUE(FILTER('Data Master'!$B$2:$B1887,'Data Master'!$C$2:$C1887=A163)))"),"petani")</f>
        <v>petani</v>
      </c>
      <c r="D163" s="40" t="str">
        <f>IFERROR(__xludf.DUMMYFUNCTION("TEXTJOIN("", "",TRUE,UNIQUE(FILTER('Data Master'!$D$2:$D1887,'Data Master'!$C$2:$C1887=A163)))"),"")</f>
        <v/>
      </c>
    </row>
    <row r="164" hidden="1">
      <c r="C164" s="40" t="str">
        <f>IFERROR(__xludf.DUMMYFUNCTION("TEXTJOIN("", "",TRUE,UNIQUE(FILTER('Data Master'!$B$2:$B1887,'Data Master'!$C$2:$C1887=A164)))"),"petani")</f>
        <v>petani</v>
      </c>
      <c r="D164" s="40" t="str">
        <f>IFERROR(__xludf.DUMMYFUNCTION("TEXTJOIN("", "",TRUE,UNIQUE(FILTER('Data Master'!$D$2:$D1887,'Data Master'!$C$2:$C1887=A164)))"),"")</f>
        <v/>
      </c>
    </row>
    <row r="165" hidden="1">
      <c r="C165" s="40" t="str">
        <f>IFERROR(__xludf.DUMMYFUNCTION("TEXTJOIN("", "",TRUE,UNIQUE(FILTER('Data Master'!$B$2:$B1887,'Data Master'!$C$2:$C1887=A165)))"),"petani")</f>
        <v>petani</v>
      </c>
      <c r="D165" s="40" t="str">
        <f>IFERROR(__xludf.DUMMYFUNCTION("TEXTJOIN("", "",TRUE,UNIQUE(FILTER('Data Master'!$D$2:$D1887,'Data Master'!$C$2:$C1887=A165)))"),"")</f>
        <v/>
      </c>
    </row>
    <row r="166" hidden="1">
      <c r="C166" s="40" t="str">
        <f>IFERROR(__xludf.DUMMYFUNCTION("TEXTJOIN("", "",TRUE,UNIQUE(FILTER('Data Master'!$B$2:$B1887,'Data Master'!$C$2:$C1887=A166)))"),"petani")</f>
        <v>petani</v>
      </c>
      <c r="D166" s="40" t="str">
        <f>IFERROR(__xludf.DUMMYFUNCTION("TEXTJOIN("", "",TRUE,UNIQUE(FILTER('Data Master'!$D$2:$D1887,'Data Master'!$C$2:$C1887=A166)))"),"")</f>
        <v/>
      </c>
    </row>
    <row r="167" hidden="1">
      <c r="C167" s="40" t="str">
        <f>IFERROR(__xludf.DUMMYFUNCTION("TEXTJOIN("", "",TRUE,UNIQUE(FILTER('Data Master'!$B$2:$B1887,'Data Master'!$C$2:$C1887=A167)))"),"petani")</f>
        <v>petani</v>
      </c>
      <c r="D167" s="40" t="str">
        <f>IFERROR(__xludf.DUMMYFUNCTION("TEXTJOIN("", "",TRUE,UNIQUE(FILTER('Data Master'!$D$2:$D1887,'Data Master'!$C$2:$C1887=A167)))"),"")</f>
        <v/>
      </c>
    </row>
    <row r="168" hidden="1">
      <c r="C168" s="40" t="str">
        <f>IFERROR(__xludf.DUMMYFUNCTION("TEXTJOIN("", "",TRUE,UNIQUE(FILTER('Data Master'!$B$2:$B1887,'Data Master'!$C$2:$C1887=A168)))"),"petani")</f>
        <v>petani</v>
      </c>
      <c r="D168" s="40" t="str">
        <f>IFERROR(__xludf.DUMMYFUNCTION("TEXTJOIN("", "",TRUE,UNIQUE(FILTER('Data Master'!$D$2:$D1887,'Data Master'!$C$2:$C1887=A168)))"),"")</f>
        <v/>
      </c>
    </row>
    <row r="169" hidden="1">
      <c r="C169" s="40" t="str">
        <f>IFERROR(__xludf.DUMMYFUNCTION("TEXTJOIN("", "",TRUE,UNIQUE(FILTER('Data Master'!$B$2:$B1887,'Data Master'!$C$2:$C1887=A169)))"),"petani")</f>
        <v>petani</v>
      </c>
      <c r="D169" s="40" t="str">
        <f>IFERROR(__xludf.DUMMYFUNCTION("TEXTJOIN("", "",TRUE,UNIQUE(FILTER('Data Master'!$D$2:$D1887,'Data Master'!$C$2:$C1887=A169)))"),"")</f>
        <v/>
      </c>
    </row>
    <row r="170" hidden="1">
      <c r="C170" s="40" t="str">
        <f>IFERROR(__xludf.DUMMYFUNCTION("TEXTJOIN("", "",TRUE,UNIQUE(FILTER('Data Master'!$B$2:$B1887,'Data Master'!$C$2:$C1887=A170)))"),"petani")</f>
        <v>petani</v>
      </c>
      <c r="D170" s="40" t="str">
        <f>IFERROR(__xludf.DUMMYFUNCTION("TEXTJOIN("", "",TRUE,UNIQUE(FILTER('Data Master'!$D$2:$D1887,'Data Master'!$C$2:$C1887=A170)))"),"")</f>
        <v/>
      </c>
    </row>
    <row r="171" hidden="1">
      <c r="C171" s="40" t="str">
        <f>IFERROR(__xludf.DUMMYFUNCTION("TEXTJOIN("", "",TRUE,UNIQUE(FILTER('Data Master'!$B$2:$B1887,'Data Master'!$C$2:$C1887=A171)))"),"petani")</f>
        <v>petani</v>
      </c>
      <c r="D171" s="40" t="str">
        <f>IFERROR(__xludf.DUMMYFUNCTION("TEXTJOIN("", "",TRUE,UNIQUE(FILTER('Data Master'!$D$2:$D1887,'Data Master'!$C$2:$C1887=A171)))"),"")</f>
        <v/>
      </c>
    </row>
    <row r="172" hidden="1">
      <c r="C172" s="40" t="str">
        <f>IFERROR(__xludf.DUMMYFUNCTION("TEXTJOIN("", "",TRUE,UNIQUE(FILTER('Data Master'!$B$2:$B1887,'Data Master'!$C$2:$C1887=A172)))"),"petani")</f>
        <v>petani</v>
      </c>
      <c r="D172" s="40" t="str">
        <f>IFERROR(__xludf.DUMMYFUNCTION("TEXTJOIN("", "",TRUE,UNIQUE(FILTER('Data Master'!$D$2:$D1887,'Data Master'!$C$2:$C1887=A172)))"),"")</f>
        <v/>
      </c>
    </row>
    <row r="173" hidden="1">
      <c r="C173" s="40" t="str">
        <f>IFERROR(__xludf.DUMMYFUNCTION("TEXTJOIN("", "",TRUE,UNIQUE(FILTER('Data Master'!$B$2:$B1887,'Data Master'!$C$2:$C1887=A173)))"),"petani")</f>
        <v>petani</v>
      </c>
      <c r="D173" s="40" t="str">
        <f>IFERROR(__xludf.DUMMYFUNCTION("TEXTJOIN("", "",TRUE,UNIQUE(FILTER('Data Master'!$D$2:$D1887,'Data Master'!$C$2:$C1887=A173)))"),"")</f>
        <v/>
      </c>
    </row>
    <row r="174" hidden="1">
      <c r="C174" s="40" t="str">
        <f>IFERROR(__xludf.DUMMYFUNCTION("TEXTJOIN("", "",TRUE,UNIQUE(FILTER('Data Master'!$B$2:$B1887,'Data Master'!$C$2:$C1887=A174)))"),"petani")</f>
        <v>petani</v>
      </c>
      <c r="D174" s="40" t="str">
        <f>IFERROR(__xludf.DUMMYFUNCTION("TEXTJOIN("", "",TRUE,UNIQUE(FILTER('Data Master'!$D$2:$D1887,'Data Master'!$C$2:$C1887=A174)))"),"")</f>
        <v/>
      </c>
    </row>
    <row r="175" hidden="1">
      <c r="C175" s="40" t="str">
        <f>IFERROR(__xludf.DUMMYFUNCTION("TEXTJOIN("", "",TRUE,UNIQUE(FILTER('Data Master'!$B$2:$B1887,'Data Master'!$C$2:$C1887=A175)))"),"petani")</f>
        <v>petani</v>
      </c>
      <c r="D175" s="40" t="str">
        <f>IFERROR(__xludf.DUMMYFUNCTION("TEXTJOIN("", "",TRUE,UNIQUE(FILTER('Data Master'!$D$2:$D1887,'Data Master'!$C$2:$C1887=A175)))"),"")</f>
        <v/>
      </c>
    </row>
    <row r="176" hidden="1">
      <c r="C176" s="40" t="str">
        <f>IFERROR(__xludf.DUMMYFUNCTION("TEXTJOIN("", "",TRUE,UNIQUE(FILTER('Data Master'!$B$2:$B1887,'Data Master'!$C$2:$C1887=A176)))"),"petani")</f>
        <v>petani</v>
      </c>
      <c r="D176" s="40" t="str">
        <f>IFERROR(__xludf.DUMMYFUNCTION("TEXTJOIN("", "",TRUE,UNIQUE(FILTER('Data Master'!$D$2:$D1887,'Data Master'!$C$2:$C1887=A176)))"),"")</f>
        <v/>
      </c>
    </row>
    <row r="177" hidden="1">
      <c r="C177" s="40" t="str">
        <f>IFERROR(__xludf.DUMMYFUNCTION("TEXTJOIN("", "",TRUE,UNIQUE(FILTER('Data Master'!$B$2:$B1887,'Data Master'!$C$2:$C1887=A177)))"),"penyuluh")</f>
        <v>penyuluh</v>
      </c>
      <c r="D177" s="40" t="str">
        <f>IFERROR(__xludf.DUMMYFUNCTION("TEXTJOIN("", "",TRUE,UNIQUE(FILTER('Data Master'!$D$2:$D1887,'Data Master'!$C$2:$C1887=A177)))"),"")</f>
        <v/>
      </c>
    </row>
    <row r="178" hidden="1">
      <c r="C178" s="40" t="str">
        <f>IFERROR(__xludf.DUMMYFUNCTION("TEXTJOIN("", "",TRUE,UNIQUE(FILTER('Data Master'!$B$2:$B1887,'Data Master'!$C$2:$C1887=A178)))"),"petani")</f>
        <v>petani</v>
      </c>
      <c r="D178" s="40" t="str">
        <f>IFERROR(__xludf.DUMMYFUNCTION("TEXTJOIN("", "",TRUE,UNIQUE(FILTER('Data Master'!$D$2:$D1887,'Data Master'!$C$2:$C1887=A178)))"),"")</f>
        <v/>
      </c>
    </row>
    <row r="179" hidden="1">
      <c r="C179" s="40" t="str">
        <f>IFERROR(__xludf.DUMMYFUNCTION("TEXTJOIN("", "",TRUE,UNIQUE(FILTER('Data Master'!$B$2:$B1887,'Data Master'!$C$2:$C1887=A179)))"),"petani")</f>
        <v>petani</v>
      </c>
      <c r="D179" s="40" t="str">
        <f>IFERROR(__xludf.DUMMYFUNCTION("TEXTJOIN("", "",TRUE,UNIQUE(FILTER('Data Master'!$D$2:$D1887,'Data Master'!$C$2:$C1887=A179)))"),"")</f>
        <v/>
      </c>
    </row>
    <row r="180" hidden="1">
      <c r="C180" s="40" t="str">
        <f>IFERROR(__xludf.DUMMYFUNCTION("TEXTJOIN("", "",TRUE,UNIQUE(FILTER('Data Master'!$B$2:$B1887,'Data Master'!$C$2:$C1887=A180)))"),"petani")</f>
        <v>petani</v>
      </c>
      <c r="D180" s="40" t="str">
        <f>IFERROR(__xludf.DUMMYFUNCTION("TEXTJOIN("", "",TRUE,UNIQUE(FILTER('Data Master'!$D$2:$D1887,'Data Master'!$C$2:$C1887=A180)))"),"")</f>
        <v/>
      </c>
    </row>
    <row r="181" hidden="1">
      <c r="C181" s="40" t="str">
        <f>IFERROR(__xludf.DUMMYFUNCTION("TEXTJOIN("", "",TRUE,UNIQUE(FILTER('Data Master'!$B$2:$B1887,'Data Master'!$C$2:$C1887=A181)))"),"petani")</f>
        <v>petani</v>
      </c>
      <c r="D181" s="40" t="str">
        <f>IFERROR(__xludf.DUMMYFUNCTION("TEXTJOIN("", "",TRUE,UNIQUE(FILTER('Data Master'!$D$2:$D1887,'Data Master'!$C$2:$C1887=A181)))"),"")</f>
        <v/>
      </c>
    </row>
    <row r="182" hidden="1">
      <c r="C182" s="40" t="str">
        <f>IFERROR(__xludf.DUMMYFUNCTION("TEXTJOIN("", "",TRUE,UNIQUE(FILTER('Data Master'!$B$2:$B1887,'Data Master'!$C$2:$C1887=A182)))"),"petani")</f>
        <v>petani</v>
      </c>
      <c r="D182" s="40" t="str">
        <f>IFERROR(__xludf.DUMMYFUNCTION("TEXTJOIN("", "",TRUE,UNIQUE(FILTER('Data Master'!$D$2:$D1887,'Data Master'!$C$2:$C1887=A182)))"),"")</f>
        <v/>
      </c>
    </row>
    <row r="183" hidden="1">
      <c r="C183" s="40" t="str">
        <f>IFERROR(__xludf.DUMMYFUNCTION("TEXTJOIN("", "",TRUE,UNIQUE(FILTER('Data Master'!$B$2:$B1887,'Data Master'!$C$2:$C1887=A183)))"),"petani")</f>
        <v>petani</v>
      </c>
      <c r="D183" s="40" t="str">
        <f>IFERROR(__xludf.DUMMYFUNCTION("TEXTJOIN("", "",TRUE,UNIQUE(FILTER('Data Master'!$D$2:$D1887,'Data Master'!$C$2:$C1887=A183)))"),"")</f>
        <v/>
      </c>
    </row>
    <row r="184" hidden="1">
      <c r="C184" s="40" t="str">
        <f>IFERROR(__xludf.DUMMYFUNCTION("TEXTJOIN("", "",TRUE,UNIQUE(FILTER('Data Master'!$B$2:$B1887,'Data Master'!$C$2:$C1887=A184)))"),"petani")</f>
        <v>petani</v>
      </c>
      <c r="D184" s="40" t="str">
        <f>IFERROR(__xludf.DUMMYFUNCTION("TEXTJOIN("", "",TRUE,UNIQUE(FILTER('Data Master'!$D$2:$D1887,'Data Master'!$C$2:$C1887=A184)))"),"")</f>
        <v/>
      </c>
    </row>
    <row r="185" hidden="1">
      <c r="C185" s="40" t="str">
        <f>IFERROR(__xludf.DUMMYFUNCTION("TEXTJOIN("", "",TRUE,UNIQUE(FILTER('Data Master'!$B$2:$B1887,'Data Master'!$C$2:$C1887=A185)))"),"petani")</f>
        <v>petani</v>
      </c>
      <c r="D185" s="40" t="str">
        <f>IFERROR(__xludf.DUMMYFUNCTION("TEXTJOIN("", "",TRUE,UNIQUE(FILTER('Data Master'!$D$2:$D1887,'Data Master'!$C$2:$C1887=A185)))"),"")</f>
        <v/>
      </c>
    </row>
    <row r="186" hidden="1">
      <c r="C186" s="40" t="str">
        <f>IFERROR(__xludf.DUMMYFUNCTION("TEXTJOIN("", "",TRUE,UNIQUE(FILTER('Data Master'!$B$2:$B1887,'Data Master'!$C$2:$C1887=A186)))"),"petani")</f>
        <v>petani</v>
      </c>
      <c r="D186" s="40" t="str">
        <f>IFERROR(__xludf.DUMMYFUNCTION("TEXTJOIN("", "",TRUE,UNIQUE(FILTER('Data Master'!$D$2:$D1887,'Data Master'!$C$2:$C1887=A186)))"),"")</f>
        <v/>
      </c>
    </row>
    <row r="187" hidden="1">
      <c r="C187" s="40" t="str">
        <f>IFERROR(__xludf.DUMMYFUNCTION("TEXTJOIN("", "",TRUE,UNIQUE(FILTER('Data Master'!$B$2:$B1887,'Data Master'!$C$2:$C1887=A187)))"),"petani")</f>
        <v>petani</v>
      </c>
      <c r="D187" s="40" t="str">
        <f>IFERROR(__xludf.DUMMYFUNCTION("TEXTJOIN("", "",TRUE,UNIQUE(FILTER('Data Master'!$D$2:$D1887,'Data Master'!$C$2:$C1887=A187)))"),"")</f>
        <v/>
      </c>
    </row>
    <row r="188" hidden="1">
      <c r="C188" s="40" t="str">
        <f>IFERROR(__xludf.DUMMYFUNCTION("TEXTJOIN("", "",TRUE,UNIQUE(FILTER('Data Master'!$B$2:$B1887,'Data Master'!$C$2:$C1887=A188)))"),"petani")</f>
        <v>petani</v>
      </c>
      <c r="D188" s="40" t="str">
        <f>IFERROR(__xludf.DUMMYFUNCTION("TEXTJOIN("", "",TRUE,UNIQUE(FILTER('Data Master'!$D$2:$D1887,'Data Master'!$C$2:$C1887=A188)))"),"")</f>
        <v/>
      </c>
    </row>
    <row r="189" hidden="1">
      <c r="C189" s="40" t="str">
        <f>IFERROR(__xludf.DUMMYFUNCTION("TEXTJOIN("", "",TRUE,UNIQUE(FILTER('Data Master'!$B$2:$B1887,'Data Master'!$C$2:$C1887=A189)))"),"petani")</f>
        <v>petani</v>
      </c>
      <c r="D189" s="40" t="str">
        <f>IFERROR(__xludf.DUMMYFUNCTION("TEXTJOIN("", "",TRUE,UNIQUE(FILTER('Data Master'!$D$2:$D1887,'Data Master'!$C$2:$C1887=A189)))"),"")</f>
        <v/>
      </c>
    </row>
    <row r="190" hidden="1">
      <c r="C190" s="40" t="str">
        <f>IFERROR(__xludf.DUMMYFUNCTION("TEXTJOIN("", "",TRUE,UNIQUE(FILTER('Data Master'!$B$2:$B1887,'Data Master'!$C$2:$C1887=A190)))"),"petani")</f>
        <v>petani</v>
      </c>
      <c r="D190" s="40" t="str">
        <f>IFERROR(__xludf.DUMMYFUNCTION("TEXTJOIN("", "",TRUE,UNIQUE(FILTER('Data Master'!$D$2:$D1887,'Data Master'!$C$2:$C1887=A190)))"),"")</f>
        <v/>
      </c>
    </row>
    <row r="191" hidden="1">
      <c r="C191" s="40" t="str">
        <f>IFERROR(__xludf.DUMMYFUNCTION("TEXTJOIN("", "",TRUE,UNIQUE(FILTER('Data Master'!$B$2:$B1887,'Data Master'!$C$2:$C1887=A191)))"),"petani")</f>
        <v>petani</v>
      </c>
      <c r="D191" s="40" t="str">
        <f>IFERROR(__xludf.DUMMYFUNCTION("TEXTJOIN("", "",TRUE,UNIQUE(FILTER('Data Master'!$D$2:$D1887,'Data Master'!$C$2:$C1887=A191)))"),"")</f>
        <v/>
      </c>
    </row>
    <row r="192" hidden="1">
      <c r="C192" s="40" t="str">
        <f>IFERROR(__xludf.DUMMYFUNCTION("TEXTJOIN("", "",TRUE,UNIQUE(FILTER('Data Master'!$B$2:$B1887,'Data Master'!$C$2:$C1887=A192)))"),"petani")</f>
        <v>petani</v>
      </c>
      <c r="D192" s="40" t="str">
        <f>IFERROR(__xludf.DUMMYFUNCTION("TEXTJOIN("", "",TRUE,UNIQUE(FILTER('Data Master'!$D$2:$D1887,'Data Master'!$C$2:$C1887=A192)))"),"")</f>
        <v/>
      </c>
    </row>
    <row r="193" hidden="1">
      <c r="C193" s="40" t="str">
        <f>IFERROR(__xludf.DUMMYFUNCTION("TEXTJOIN("", "",TRUE,UNIQUE(FILTER('Data Master'!$B$2:$B1887,'Data Master'!$C$2:$C1887=A193)))"),"petani")</f>
        <v>petani</v>
      </c>
      <c r="D193" s="40" t="str">
        <f>IFERROR(__xludf.DUMMYFUNCTION("TEXTJOIN("", "",TRUE,UNIQUE(FILTER('Data Master'!$D$2:$D1887,'Data Master'!$C$2:$C1887=A193)))"),"")</f>
        <v/>
      </c>
    </row>
    <row r="194" hidden="1">
      <c r="C194" s="40" t="str">
        <f>IFERROR(__xludf.DUMMYFUNCTION("TEXTJOIN("", "",TRUE,UNIQUE(FILTER('Data Master'!$B$2:$B1887,'Data Master'!$C$2:$C1887=A194)))"),"petani")</f>
        <v>petani</v>
      </c>
      <c r="D194" s="40" t="str">
        <f>IFERROR(__xludf.DUMMYFUNCTION("TEXTJOIN("", "",TRUE,UNIQUE(FILTER('Data Master'!$D$2:$D1887,'Data Master'!$C$2:$C1887=A194)))"),"")</f>
        <v/>
      </c>
    </row>
    <row r="195" hidden="1">
      <c r="C195" s="40" t="str">
        <f>IFERROR(__xludf.DUMMYFUNCTION("TEXTJOIN("", "",TRUE,UNIQUE(FILTER('Data Master'!$B$2:$B1887,'Data Master'!$C$2:$C1887=A195)))"),"petani")</f>
        <v>petani</v>
      </c>
      <c r="D195" s="40" t="str">
        <f>IFERROR(__xludf.DUMMYFUNCTION("TEXTJOIN("", "",TRUE,UNIQUE(FILTER('Data Master'!$D$2:$D1887,'Data Master'!$C$2:$C1887=A195)))"),"")</f>
        <v/>
      </c>
    </row>
    <row r="196" hidden="1">
      <c r="C196" s="40" t="str">
        <f>IFERROR(__xludf.DUMMYFUNCTION("TEXTJOIN("", "",TRUE,UNIQUE(FILTER('Data Master'!$B$2:$B1887,'Data Master'!$C$2:$C1887=A196)))"),"petani")</f>
        <v>petani</v>
      </c>
      <c r="D196" s="40" t="str">
        <f>IFERROR(__xludf.DUMMYFUNCTION("TEXTJOIN("", "",TRUE,UNIQUE(FILTER('Data Master'!$D$2:$D1887,'Data Master'!$C$2:$C1887=A196)))"),"")</f>
        <v/>
      </c>
    </row>
    <row r="197" hidden="1">
      <c r="C197" s="40" t="str">
        <f>IFERROR(__xludf.DUMMYFUNCTION("TEXTJOIN("", "",TRUE,UNIQUE(FILTER('Data Master'!$B$2:$B1887,'Data Master'!$C$2:$C1887=A197)))"),"petani")</f>
        <v>petani</v>
      </c>
      <c r="D197" s="40" t="str">
        <f>IFERROR(__xludf.DUMMYFUNCTION("TEXTJOIN("", "",TRUE,UNIQUE(FILTER('Data Master'!$D$2:$D1887,'Data Master'!$C$2:$C1887=A197)))"),"")</f>
        <v/>
      </c>
    </row>
    <row r="198" hidden="1">
      <c r="C198" s="40" t="str">
        <f>IFERROR(__xludf.DUMMYFUNCTION("TEXTJOIN("", "",TRUE,UNIQUE(FILTER('Data Master'!$B$2:$B1887,'Data Master'!$C$2:$C1887=A198)))"),"petani")</f>
        <v>petani</v>
      </c>
      <c r="D198" s="40" t="str">
        <f>IFERROR(__xludf.DUMMYFUNCTION("TEXTJOIN("", "",TRUE,UNIQUE(FILTER('Data Master'!$D$2:$D1887,'Data Master'!$C$2:$C1887=A198)))"),"")</f>
        <v/>
      </c>
    </row>
    <row r="199" hidden="1">
      <c r="C199" s="40" t="str">
        <f>IFERROR(__xludf.DUMMYFUNCTION("TEXTJOIN("", "",TRUE,UNIQUE(FILTER('Data Master'!$B$2:$B1887,'Data Master'!$C$2:$C1887=A199)))"),"petani")</f>
        <v>petani</v>
      </c>
      <c r="D199" s="40" t="str">
        <f>IFERROR(__xludf.DUMMYFUNCTION("TEXTJOIN("", "",TRUE,UNIQUE(FILTER('Data Master'!$D$2:$D1887,'Data Master'!$C$2:$C1887=A199)))"),"")</f>
        <v/>
      </c>
    </row>
    <row r="200" hidden="1">
      <c r="C200" s="40" t="str">
        <f>IFERROR(__xludf.DUMMYFUNCTION("TEXTJOIN("", "",TRUE,UNIQUE(FILTER('Data Master'!$B$2:$B1887,'Data Master'!$C$2:$C1887=A200)))"),"petani")</f>
        <v>petani</v>
      </c>
      <c r="D200" s="40" t="str">
        <f>IFERROR(__xludf.DUMMYFUNCTION("TEXTJOIN("", "",TRUE,UNIQUE(FILTER('Data Master'!$D$2:$D1887,'Data Master'!$C$2:$C1887=A200)))"),"")</f>
        <v/>
      </c>
    </row>
    <row r="201" hidden="1">
      <c r="C201" s="40" t="str">
        <f>IFERROR(__xludf.DUMMYFUNCTION("TEXTJOIN("", "",TRUE,UNIQUE(FILTER('Data Master'!$B$2:$B1887,'Data Master'!$C$2:$C1887=A201)))"),"petani")</f>
        <v>petani</v>
      </c>
      <c r="D201" s="40" t="str">
        <f>IFERROR(__xludf.DUMMYFUNCTION("TEXTJOIN("", "",TRUE,UNIQUE(FILTER('Data Master'!$D$2:$D1887,'Data Master'!$C$2:$C1887=A201)))"),"")</f>
        <v/>
      </c>
    </row>
    <row r="202" hidden="1">
      <c r="C202" s="40" t="str">
        <f>IFERROR(__xludf.DUMMYFUNCTION("TEXTJOIN("", "",TRUE,UNIQUE(FILTER('Data Master'!$B$2:$B1887,'Data Master'!$C$2:$C1887=A202)))"),"petani")</f>
        <v>petani</v>
      </c>
      <c r="D202" s="40" t="str">
        <f>IFERROR(__xludf.DUMMYFUNCTION("TEXTJOIN("", "",TRUE,UNIQUE(FILTER('Data Master'!$D$2:$D1887,'Data Master'!$C$2:$C1887=A202)))"),"")</f>
        <v/>
      </c>
    </row>
    <row r="203" hidden="1">
      <c r="C203" s="40" t="str">
        <f>IFERROR(__xludf.DUMMYFUNCTION("TEXTJOIN("", "",TRUE,UNIQUE(FILTER('Data Master'!$B$2:$B1887,'Data Master'!$C$2:$C1887=A203)))"),"petani")</f>
        <v>petani</v>
      </c>
      <c r="D203" s="40" t="str">
        <f>IFERROR(__xludf.DUMMYFUNCTION("TEXTJOIN("", "",TRUE,UNIQUE(FILTER('Data Master'!$D$2:$D1887,'Data Master'!$C$2:$C1887=A203)))"),"")</f>
        <v/>
      </c>
    </row>
    <row r="204" hidden="1">
      <c r="C204" s="40" t="str">
        <f>IFERROR(__xludf.DUMMYFUNCTION("TEXTJOIN("", "",TRUE,UNIQUE(FILTER('Data Master'!$B$2:$B1887,'Data Master'!$C$2:$C1887=A204)))"),"petani")</f>
        <v>petani</v>
      </c>
      <c r="D204" s="40" t="str">
        <f>IFERROR(__xludf.DUMMYFUNCTION("TEXTJOIN("", "",TRUE,UNIQUE(FILTER('Data Master'!$D$2:$D1887,'Data Master'!$C$2:$C1887=A204)))"),"")</f>
        <v/>
      </c>
    </row>
    <row r="205" hidden="1">
      <c r="C205" s="40" t="str">
        <f>IFERROR(__xludf.DUMMYFUNCTION("TEXTJOIN("", "",TRUE,UNIQUE(FILTER('Data Master'!$B$2:$B1887,'Data Master'!$C$2:$C1887=A205)))"),"petani")</f>
        <v>petani</v>
      </c>
      <c r="D205" s="40" t="str">
        <f>IFERROR(__xludf.DUMMYFUNCTION("TEXTJOIN("", "",TRUE,UNIQUE(FILTER('Data Master'!$D$2:$D1887,'Data Master'!$C$2:$C1887=A205)))"),"")</f>
        <v/>
      </c>
    </row>
    <row r="206" hidden="1">
      <c r="C206" s="40" t="str">
        <f>IFERROR(__xludf.DUMMYFUNCTION("TEXTJOIN("", "",TRUE,UNIQUE(FILTER('Data Master'!$B$2:$B1887,'Data Master'!$C$2:$C1887=A206)))"),"petani")</f>
        <v>petani</v>
      </c>
      <c r="D206" s="40" t="str">
        <f>IFERROR(__xludf.DUMMYFUNCTION("TEXTJOIN("", "",TRUE,UNIQUE(FILTER('Data Master'!$D$2:$D1887,'Data Master'!$C$2:$C1887=A206)))"),"")</f>
        <v/>
      </c>
    </row>
    <row r="207" hidden="1">
      <c r="C207" s="40" t="str">
        <f>IFERROR(__xludf.DUMMYFUNCTION("TEXTJOIN("", "",TRUE,UNIQUE(FILTER('Data Master'!$B$2:$B1887,'Data Master'!$C$2:$C1887=A207)))"),"petani")</f>
        <v>petani</v>
      </c>
      <c r="D207" s="40" t="str">
        <f>IFERROR(__xludf.DUMMYFUNCTION("TEXTJOIN("", "",TRUE,UNIQUE(FILTER('Data Master'!$D$2:$D1887,'Data Master'!$C$2:$C1887=A207)))"),"")</f>
        <v/>
      </c>
    </row>
    <row r="208" hidden="1">
      <c r="C208" s="40" t="str">
        <f>IFERROR(__xludf.DUMMYFUNCTION("TEXTJOIN("", "",TRUE,UNIQUE(FILTER('Data Master'!$B$2:$B1887,'Data Master'!$C$2:$C1887=A208)))"),"petani")</f>
        <v>petani</v>
      </c>
      <c r="D208" s="40" t="str">
        <f>IFERROR(__xludf.DUMMYFUNCTION("TEXTJOIN("", "",TRUE,UNIQUE(FILTER('Data Master'!$D$2:$D1887,'Data Master'!$C$2:$C1887=A208)))"),"")</f>
        <v/>
      </c>
    </row>
    <row r="209" hidden="1">
      <c r="C209" s="40" t="str">
        <f>IFERROR(__xludf.DUMMYFUNCTION("TEXTJOIN("", "",TRUE,UNIQUE(FILTER('Data Master'!$B$2:$B1887,'Data Master'!$C$2:$C1887=A209)))"),"petani")</f>
        <v>petani</v>
      </c>
      <c r="D209" s="40" t="str">
        <f>IFERROR(__xludf.DUMMYFUNCTION("TEXTJOIN("", "",TRUE,UNIQUE(FILTER('Data Master'!$D$2:$D1887,'Data Master'!$C$2:$C1887=A209)))"),"")</f>
        <v/>
      </c>
    </row>
    <row r="210" hidden="1">
      <c r="C210" s="40" t="str">
        <f>IFERROR(__xludf.DUMMYFUNCTION("TEXTJOIN("", "",TRUE,UNIQUE(FILTER('Data Master'!$B$2:$B1887,'Data Master'!$C$2:$C1887=A210)))"),"petani")</f>
        <v>petani</v>
      </c>
      <c r="D210" s="40" t="str">
        <f>IFERROR(__xludf.DUMMYFUNCTION("TEXTJOIN("", "",TRUE,UNIQUE(FILTER('Data Master'!$D$2:$D1887,'Data Master'!$C$2:$C1887=A210)))"),"")</f>
        <v/>
      </c>
    </row>
    <row r="211" hidden="1">
      <c r="C211" s="40" t="str">
        <f>IFERROR(__xludf.DUMMYFUNCTION("TEXTJOIN("", "",TRUE,UNIQUE(FILTER('Data Master'!$B$2:$B1887,'Data Master'!$C$2:$C1887=A211)))"),"petani")</f>
        <v>petani</v>
      </c>
      <c r="D211" s="40" t="str">
        <f>IFERROR(__xludf.DUMMYFUNCTION("TEXTJOIN("", "",TRUE,UNIQUE(FILTER('Data Master'!$D$2:$D1887,'Data Master'!$C$2:$C1887=A211)))"),"rahmawatiyuni134@gmail.com")</f>
        <v>rahmawatiyuni134@gmail.com</v>
      </c>
    </row>
    <row r="212" hidden="1">
      <c r="C212" s="40" t="str">
        <f>IFERROR(__xludf.DUMMYFUNCTION("TEXTJOIN("", "",TRUE,UNIQUE(FILTER('Data Master'!$B$2:$B1887,'Data Master'!$C$2:$C1887=A212)))"),"petani")</f>
        <v>petani</v>
      </c>
      <c r="D212" s="40" t="str">
        <f>IFERROR(__xludf.DUMMYFUNCTION("TEXTJOIN("", "",TRUE,UNIQUE(FILTER('Data Master'!$D$2:$D1887,'Data Master'!$C$2:$C1887=A212)))"),"")</f>
        <v/>
      </c>
    </row>
    <row r="213" hidden="1">
      <c r="C213" s="40" t="str">
        <f>IFERROR(__xludf.DUMMYFUNCTION("TEXTJOIN("", "",TRUE,UNIQUE(FILTER('Data Master'!$B$2:$B1887,'Data Master'!$C$2:$C1887=A213)))"),"petani")</f>
        <v>petani</v>
      </c>
      <c r="D213" s="40" t="str">
        <f>IFERROR(__xludf.DUMMYFUNCTION("TEXTJOIN("", "",TRUE,UNIQUE(FILTER('Data Master'!$D$2:$D1887,'Data Master'!$C$2:$C1887=A213)))"),"")</f>
        <v/>
      </c>
    </row>
    <row r="214" hidden="1">
      <c r="C214" s="40" t="str">
        <f>IFERROR(__xludf.DUMMYFUNCTION("TEXTJOIN("", "",TRUE,UNIQUE(FILTER('Data Master'!$B$2:$B1887,'Data Master'!$C$2:$C1887=A214)))"),"petani")</f>
        <v>petani</v>
      </c>
      <c r="D214" s="40" t="str">
        <f>IFERROR(__xludf.DUMMYFUNCTION("TEXTJOIN("", "",TRUE,UNIQUE(FILTER('Data Master'!$D$2:$D1887,'Data Master'!$C$2:$C1887=A214)))"),"")</f>
        <v/>
      </c>
    </row>
    <row r="215" hidden="1">
      <c r="C215" s="40" t="str">
        <f>IFERROR(__xludf.DUMMYFUNCTION("TEXTJOIN("", "",TRUE,UNIQUE(FILTER('Data Master'!$B$2:$B1887,'Data Master'!$C$2:$C1887=A215)))"),"petani")</f>
        <v>petani</v>
      </c>
      <c r="D215" s="40" t="str">
        <f>IFERROR(__xludf.DUMMYFUNCTION("TEXTJOIN("", "",TRUE,UNIQUE(FILTER('Data Master'!$D$2:$D1887,'Data Master'!$C$2:$C1887=A215)))"),"")</f>
        <v/>
      </c>
    </row>
    <row r="216" hidden="1">
      <c r="C216" s="40" t="str">
        <f>IFERROR(__xludf.DUMMYFUNCTION("TEXTJOIN("", "",TRUE,UNIQUE(FILTER('Data Master'!$B$2:$B1887,'Data Master'!$C$2:$C1887=A216)))"),"petani")</f>
        <v>petani</v>
      </c>
      <c r="D216" s="40" t="str">
        <f>IFERROR(__xludf.DUMMYFUNCTION("TEXTJOIN("", "",TRUE,UNIQUE(FILTER('Data Master'!$D$2:$D1887,'Data Master'!$C$2:$C1887=A216)))"),"")</f>
        <v/>
      </c>
    </row>
    <row r="217" hidden="1">
      <c r="C217" s="40" t="str">
        <f>IFERROR(__xludf.DUMMYFUNCTION("TEXTJOIN("", "",TRUE,UNIQUE(FILTER('Data Master'!$B$2:$B1887,'Data Master'!$C$2:$C1887=A217)))"),"petani")</f>
        <v>petani</v>
      </c>
      <c r="D217" s="40" t="str">
        <f>IFERROR(__xludf.DUMMYFUNCTION("TEXTJOIN("", "",TRUE,UNIQUE(FILTER('Data Master'!$D$2:$D1887,'Data Master'!$C$2:$C1887=A217)))"),"")</f>
        <v/>
      </c>
    </row>
    <row r="218" hidden="1">
      <c r="C218" s="40" t="str">
        <f>IFERROR(__xludf.DUMMYFUNCTION("TEXTJOIN("", "",TRUE,UNIQUE(FILTER('Data Master'!$B$2:$B1887,'Data Master'!$C$2:$C1887=A218)))"),"petani")</f>
        <v>petani</v>
      </c>
      <c r="D218" s="40" t="str">
        <f>IFERROR(__xludf.DUMMYFUNCTION("TEXTJOIN("", "",TRUE,UNIQUE(FILTER('Data Master'!$D$2:$D1887,'Data Master'!$C$2:$C1887=A218)))"),"")</f>
        <v/>
      </c>
    </row>
    <row r="219" hidden="1">
      <c r="C219" s="40" t="str">
        <f>IFERROR(__xludf.DUMMYFUNCTION("TEXTJOIN("", "",TRUE,UNIQUE(FILTER('Data Master'!$B$2:$B1887,'Data Master'!$C$2:$C1887=A219)))"),"petani")</f>
        <v>petani</v>
      </c>
      <c r="D219" s="40" t="str">
        <f>IFERROR(__xludf.DUMMYFUNCTION("TEXTJOIN("", "",TRUE,UNIQUE(FILTER('Data Master'!$D$2:$D1887,'Data Master'!$C$2:$C1887=A219)))"),"")</f>
        <v/>
      </c>
    </row>
    <row r="220" hidden="1">
      <c r="C220" s="40" t="str">
        <f>IFERROR(__xludf.DUMMYFUNCTION("TEXTJOIN("", "",TRUE,UNIQUE(FILTER('Data Master'!$B$2:$B1887,'Data Master'!$C$2:$C1887=A220)))"),"petani")</f>
        <v>petani</v>
      </c>
      <c r="D220" s="40" t="str">
        <f>IFERROR(__xludf.DUMMYFUNCTION("TEXTJOIN("", "",TRUE,UNIQUE(FILTER('Data Master'!$D$2:$D1887,'Data Master'!$C$2:$C1887=A220)))"),"")</f>
        <v/>
      </c>
    </row>
    <row r="221" hidden="1">
      <c r="C221" s="40" t="str">
        <f>IFERROR(__xludf.DUMMYFUNCTION("TEXTJOIN("", "",TRUE,UNIQUE(FILTER('Data Master'!$B$2:$B1887,'Data Master'!$C$2:$C1887=A221)))"),"petani")</f>
        <v>petani</v>
      </c>
      <c r="D221" s="40" t="str">
        <f>IFERROR(__xludf.DUMMYFUNCTION("TEXTJOIN("", "",TRUE,UNIQUE(FILTER('Data Master'!$D$2:$D1887,'Data Master'!$C$2:$C1887=A221)))"),"")</f>
        <v/>
      </c>
    </row>
    <row r="222" hidden="1">
      <c r="C222" s="40" t="str">
        <f>IFERROR(__xludf.DUMMYFUNCTION("TEXTJOIN("", "",TRUE,UNIQUE(FILTER('Data Master'!$B$2:$B1887,'Data Master'!$C$2:$C1887=A222)))"),"petani")</f>
        <v>petani</v>
      </c>
      <c r="D222" s="40" t="str">
        <f>IFERROR(__xludf.DUMMYFUNCTION("TEXTJOIN("", "",TRUE,UNIQUE(FILTER('Data Master'!$D$2:$D1887,'Data Master'!$C$2:$C1887=A222)))"),"")</f>
        <v/>
      </c>
    </row>
    <row r="223" hidden="1">
      <c r="C223" s="40" t="str">
        <f>IFERROR(__xludf.DUMMYFUNCTION("TEXTJOIN("", "",TRUE,UNIQUE(FILTER('Data Master'!$B$2:$B1887,'Data Master'!$C$2:$C1887=A223)))"),"petani")</f>
        <v>petani</v>
      </c>
      <c r="D223" s="40" t="str">
        <f>IFERROR(__xludf.DUMMYFUNCTION("TEXTJOIN("", "",TRUE,UNIQUE(FILTER('Data Master'!$D$2:$D1887,'Data Master'!$C$2:$C1887=A223)))"),"")</f>
        <v/>
      </c>
    </row>
    <row r="224" hidden="1">
      <c r="C224" s="40" t="str">
        <f>IFERROR(__xludf.DUMMYFUNCTION("TEXTJOIN("", "",TRUE,UNIQUE(FILTER('Data Master'!$B$2:$B1887,'Data Master'!$C$2:$C1887=A224)))"),"petani")</f>
        <v>petani</v>
      </c>
      <c r="D224" s="40" t="str">
        <f>IFERROR(__xludf.DUMMYFUNCTION("TEXTJOIN("", "",TRUE,UNIQUE(FILTER('Data Master'!$D$2:$D1887,'Data Master'!$C$2:$C1887=A224)))"),"")</f>
        <v/>
      </c>
    </row>
    <row r="225" hidden="1">
      <c r="C225" s="40" t="str">
        <f>IFERROR(__xludf.DUMMYFUNCTION("TEXTJOIN("", "",TRUE,UNIQUE(FILTER('Data Master'!$B$2:$B1887,'Data Master'!$C$2:$C1887=A225)))"),"petani")</f>
        <v>petani</v>
      </c>
      <c r="D225" s="40" t="str">
        <f>IFERROR(__xludf.DUMMYFUNCTION("TEXTJOIN("", "",TRUE,UNIQUE(FILTER('Data Master'!$D$2:$D1887,'Data Master'!$C$2:$C1887=A225)))"),"")</f>
        <v/>
      </c>
    </row>
    <row r="226" hidden="1">
      <c r="C226" s="40" t="str">
        <f>IFERROR(__xludf.DUMMYFUNCTION("TEXTJOIN("", "",TRUE,UNIQUE(FILTER('Data Master'!$B$2:$B1887,'Data Master'!$C$2:$C1887=A226)))"),"petani")</f>
        <v>petani</v>
      </c>
      <c r="D226" s="40" t="str">
        <f>IFERROR(__xludf.DUMMYFUNCTION("TEXTJOIN("", "",TRUE,UNIQUE(FILTER('Data Master'!$D$2:$D1887,'Data Master'!$C$2:$C1887=A226)))"),"")</f>
        <v/>
      </c>
    </row>
    <row r="227" hidden="1">
      <c r="C227" s="40" t="str">
        <f>IFERROR(__xludf.DUMMYFUNCTION("TEXTJOIN("", "",TRUE,UNIQUE(FILTER('Data Master'!$B$2:$B1887,'Data Master'!$C$2:$C1887=A227)))"),"petani")</f>
        <v>petani</v>
      </c>
      <c r="D227" s="40" t="str">
        <f>IFERROR(__xludf.DUMMYFUNCTION("TEXTJOIN("", "",TRUE,UNIQUE(FILTER('Data Master'!$D$2:$D1887,'Data Master'!$C$2:$C1887=A227)))"),"")</f>
        <v/>
      </c>
    </row>
    <row r="228" hidden="1">
      <c r="C228" s="40" t="str">
        <f>IFERROR(__xludf.DUMMYFUNCTION("TEXTJOIN("", "",TRUE,UNIQUE(FILTER('Data Master'!$B$2:$B1887,'Data Master'!$C$2:$C1887=A228)))"),"petani")</f>
        <v>petani</v>
      </c>
      <c r="D228" s="40" t="str">
        <f>IFERROR(__xludf.DUMMYFUNCTION("TEXTJOIN("", "",TRUE,UNIQUE(FILTER('Data Master'!$D$2:$D1887,'Data Master'!$C$2:$C1887=A228)))"),"")</f>
        <v/>
      </c>
    </row>
    <row r="229" hidden="1">
      <c r="C229" s="40" t="str">
        <f>IFERROR(__xludf.DUMMYFUNCTION("TEXTJOIN("", "",TRUE,UNIQUE(FILTER('Data Master'!$B$2:$B1887,'Data Master'!$C$2:$C1887=A229)))"),"petani")</f>
        <v>petani</v>
      </c>
      <c r="D229" s="40" t="str">
        <f>IFERROR(__xludf.DUMMYFUNCTION("TEXTJOIN("", "",TRUE,UNIQUE(FILTER('Data Master'!$D$2:$D1887,'Data Master'!$C$2:$C1887=A229)))"),"")</f>
        <v/>
      </c>
    </row>
    <row r="230" hidden="1">
      <c r="C230" s="40" t="str">
        <f>IFERROR(__xludf.DUMMYFUNCTION("TEXTJOIN("", "",TRUE,UNIQUE(FILTER('Data Master'!$B$2:$B1887,'Data Master'!$C$2:$C1887=A230)))"),"petani")</f>
        <v>petani</v>
      </c>
      <c r="D230" s="40" t="str">
        <f>IFERROR(__xludf.DUMMYFUNCTION("TEXTJOIN("", "",TRUE,UNIQUE(FILTER('Data Master'!$D$2:$D1887,'Data Master'!$C$2:$C1887=A230)))"),"")</f>
        <v/>
      </c>
    </row>
    <row r="231" hidden="1">
      <c r="C231" s="40" t="str">
        <f>IFERROR(__xludf.DUMMYFUNCTION("TEXTJOIN("", "",TRUE,UNIQUE(FILTER('Data Master'!$B$2:$B1887,'Data Master'!$C$2:$C1887=A231)))"),"petani")</f>
        <v>petani</v>
      </c>
      <c r="D231" s="40" t="str">
        <f>IFERROR(__xludf.DUMMYFUNCTION("TEXTJOIN("", "",TRUE,UNIQUE(FILTER('Data Master'!$D$2:$D1887,'Data Master'!$C$2:$C1887=A231)))"),"")</f>
        <v/>
      </c>
    </row>
    <row r="232" hidden="1">
      <c r="C232" s="40" t="str">
        <f>IFERROR(__xludf.DUMMYFUNCTION("TEXTJOIN("", "",TRUE,UNIQUE(FILTER('Data Master'!$B$2:$B1887,'Data Master'!$C$2:$C1887=A232)))"),"petani")</f>
        <v>petani</v>
      </c>
      <c r="D232" s="40" t="str">
        <f>IFERROR(__xludf.DUMMYFUNCTION("TEXTJOIN("", "",TRUE,UNIQUE(FILTER('Data Master'!$D$2:$D1887,'Data Master'!$C$2:$C1887=A232)))"),"")</f>
        <v/>
      </c>
    </row>
    <row r="233" hidden="1">
      <c r="C233" s="40" t="str">
        <f>IFERROR(__xludf.DUMMYFUNCTION("TEXTJOIN("", "",TRUE,UNIQUE(FILTER('Data Master'!$B$2:$B1887,'Data Master'!$C$2:$C1887=A233)))"),"petani")</f>
        <v>petani</v>
      </c>
      <c r="D233" s="40" t="str">
        <f>IFERROR(__xludf.DUMMYFUNCTION("TEXTJOIN("", "",TRUE,UNIQUE(FILTER('Data Master'!$D$2:$D1887,'Data Master'!$C$2:$C1887=A233)))"),"")</f>
        <v/>
      </c>
    </row>
    <row r="234" hidden="1">
      <c r="C234" s="40" t="str">
        <f>IFERROR(__xludf.DUMMYFUNCTION("TEXTJOIN("", "",TRUE,UNIQUE(FILTER('Data Master'!$B$2:$B1887,'Data Master'!$C$2:$C1887=A234)))"),"petani")</f>
        <v>petani</v>
      </c>
      <c r="D234" s="40" t="str">
        <f>IFERROR(__xludf.DUMMYFUNCTION("TEXTJOIN("", "",TRUE,UNIQUE(FILTER('Data Master'!$D$2:$D1887,'Data Master'!$C$2:$C1887=A234)))"),"")</f>
        <v/>
      </c>
    </row>
    <row r="235" hidden="1">
      <c r="C235" s="40" t="str">
        <f>IFERROR(__xludf.DUMMYFUNCTION("TEXTJOIN("", "",TRUE,UNIQUE(FILTER('Data Master'!$B$2:$B1887,'Data Master'!$C$2:$C1887=A235)))"),"petani")</f>
        <v>petani</v>
      </c>
      <c r="D235" s="40" t="str">
        <f>IFERROR(__xludf.DUMMYFUNCTION("TEXTJOIN("", "",TRUE,UNIQUE(FILTER('Data Master'!$D$2:$D1887,'Data Master'!$C$2:$C1887=A235)))"),"")</f>
        <v/>
      </c>
    </row>
    <row r="236" hidden="1">
      <c r="C236" s="40" t="str">
        <f>IFERROR(__xludf.DUMMYFUNCTION("TEXTJOIN("", "",TRUE,UNIQUE(FILTER('Data Master'!$B$2:$B1887,'Data Master'!$C$2:$C1887=A236)))"),"petani")</f>
        <v>petani</v>
      </c>
      <c r="D236" s="40" t="str">
        <f>IFERROR(__xludf.DUMMYFUNCTION("TEXTJOIN("", "",TRUE,UNIQUE(FILTER('Data Master'!$D$2:$D1887,'Data Master'!$C$2:$C1887=A236)))"),"")</f>
        <v/>
      </c>
    </row>
    <row r="237" hidden="1">
      <c r="C237" s="40" t="str">
        <f>IFERROR(__xludf.DUMMYFUNCTION("TEXTJOIN("", "",TRUE,UNIQUE(FILTER('Data Master'!$B$2:$B1887,'Data Master'!$C$2:$C1887=A237)))"),"petani")</f>
        <v>petani</v>
      </c>
      <c r="D237" s="40" t="str">
        <f>IFERROR(__xludf.DUMMYFUNCTION("TEXTJOIN("", "",TRUE,UNIQUE(FILTER('Data Master'!$D$2:$D1887,'Data Master'!$C$2:$C1887=A237)))"),"o@gmail.com")</f>
        <v>o@gmail.com</v>
      </c>
    </row>
    <row r="238" hidden="1">
      <c r="C238" s="40" t="str">
        <f>IFERROR(__xludf.DUMMYFUNCTION("TEXTJOIN("", "",TRUE,UNIQUE(FILTER('Data Master'!$B$2:$B1887,'Data Master'!$C$2:$C1887=A238)))"),"petani")</f>
        <v>petani</v>
      </c>
      <c r="D238" s="40" t="str">
        <f>IFERROR(__xludf.DUMMYFUNCTION("TEXTJOIN("", "",TRUE,UNIQUE(FILTER('Data Master'!$D$2:$D1887,'Data Master'!$C$2:$C1887=A238)))"),"")</f>
        <v/>
      </c>
    </row>
    <row r="239" hidden="1">
      <c r="C239" s="40" t="str">
        <f>IFERROR(__xludf.DUMMYFUNCTION("TEXTJOIN("", "",TRUE,UNIQUE(FILTER('Data Master'!$B$2:$B1887,'Data Master'!$C$2:$C1887=A239)))"),"petani")</f>
        <v>petani</v>
      </c>
      <c r="D239" s="40" t="str">
        <f>IFERROR(__xludf.DUMMYFUNCTION("TEXTJOIN("", "",TRUE,UNIQUE(FILTER('Data Master'!$D$2:$D1887,'Data Master'!$C$2:$C1887=A239)))"),"")</f>
        <v/>
      </c>
    </row>
    <row r="240" hidden="1">
      <c r="C240" s="40" t="str">
        <f>IFERROR(__xludf.DUMMYFUNCTION("TEXTJOIN("", "",TRUE,UNIQUE(FILTER('Data Master'!$B$2:$B1887,'Data Master'!$C$2:$C1887=A240)))"),"petani")</f>
        <v>petani</v>
      </c>
      <c r="D240" s="40" t="str">
        <f>IFERROR(__xludf.DUMMYFUNCTION("TEXTJOIN("", "",TRUE,UNIQUE(FILTER('Data Master'!$D$2:$D1887,'Data Master'!$C$2:$C1887=A240)))"),"")</f>
        <v/>
      </c>
    </row>
    <row r="241" hidden="1">
      <c r="C241" s="40" t="str">
        <f>IFERROR(__xludf.DUMMYFUNCTION("TEXTJOIN("", "",TRUE,UNIQUE(FILTER('Data Master'!$B$2:$B1887,'Data Master'!$C$2:$C1887=A241)))"),"petani")</f>
        <v>petani</v>
      </c>
      <c r="D241" s="40" t="str">
        <f>IFERROR(__xludf.DUMMYFUNCTION("TEXTJOIN("", "",TRUE,UNIQUE(FILTER('Data Master'!$D$2:$D1887,'Data Master'!$C$2:$C1887=A241)))"),"")</f>
        <v/>
      </c>
    </row>
    <row r="242" hidden="1">
      <c r="C242" s="40" t="str">
        <f>IFERROR(__xludf.DUMMYFUNCTION("TEXTJOIN("", "",TRUE,UNIQUE(FILTER('Data Master'!$B$2:$B1887,'Data Master'!$C$2:$C1887=A242)))"),"petani")</f>
        <v>petani</v>
      </c>
      <c r="D242" s="40" t="str">
        <f>IFERROR(__xludf.DUMMYFUNCTION("TEXTJOIN("", "",TRUE,UNIQUE(FILTER('Data Master'!$D$2:$D1887,'Data Master'!$C$2:$C1887=A242)))"),"")</f>
        <v/>
      </c>
    </row>
    <row r="243" hidden="1">
      <c r="C243" s="40" t="str">
        <f>IFERROR(__xludf.DUMMYFUNCTION("TEXTJOIN("", "",TRUE,UNIQUE(FILTER('Data Master'!$B$2:$B1887,'Data Master'!$C$2:$C1887=A243)))"),"petani")</f>
        <v>petani</v>
      </c>
      <c r="D243" s="40" t="str">
        <f>IFERROR(__xludf.DUMMYFUNCTION("TEXTJOIN("", "",TRUE,UNIQUE(FILTER('Data Master'!$D$2:$D1887,'Data Master'!$C$2:$C1887=A243)))"),"")</f>
        <v/>
      </c>
    </row>
    <row r="244" hidden="1">
      <c r="C244" s="40" t="str">
        <f>IFERROR(__xludf.DUMMYFUNCTION("TEXTJOIN("", "",TRUE,UNIQUE(FILTER('Data Master'!$B$2:$B1887,'Data Master'!$C$2:$C1887=A244)))"),"petani")</f>
        <v>petani</v>
      </c>
      <c r="D244" s="40" t="str">
        <f>IFERROR(__xludf.DUMMYFUNCTION("TEXTJOIN("", "",TRUE,UNIQUE(FILTER('Data Master'!$D$2:$D1887,'Data Master'!$C$2:$C1887=A244)))"),"")</f>
        <v/>
      </c>
    </row>
    <row r="245" hidden="1">
      <c r="C245" s="40" t="str">
        <f>IFERROR(__xludf.DUMMYFUNCTION("TEXTJOIN("", "",TRUE,UNIQUE(FILTER('Data Master'!$B$2:$B1887,'Data Master'!$C$2:$C1887=A245)))"),"petani")</f>
        <v>petani</v>
      </c>
      <c r="D245" s="40" t="str">
        <f>IFERROR(__xludf.DUMMYFUNCTION("TEXTJOIN("", "",TRUE,UNIQUE(FILTER('Data Master'!$D$2:$D1887,'Data Master'!$C$2:$C1887=A245)))"),"")</f>
        <v/>
      </c>
    </row>
    <row r="246" hidden="1">
      <c r="C246" s="40" t="str">
        <f>IFERROR(__xludf.DUMMYFUNCTION("TEXTJOIN("", "",TRUE,UNIQUE(FILTER('Data Master'!$B$2:$B1887,'Data Master'!$C$2:$C1887=A246)))"),"petani")</f>
        <v>petani</v>
      </c>
      <c r="D246" s="40" t="str">
        <f>IFERROR(__xludf.DUMMYFUNCTION("TEXTJOIN("", "",TRUE,UNIQUE(FILTER('Data Master'!$D$2:$D1887,'Data Master'!$C$2:$C1887=A246)))"),"")</f>
        <v/>
      </c>
    </row>
    <row r="247" hidden="1">
      <c r="C247" s="40" t="str">
        <f>IFERROR(__xludf.DUMMYFUNCTION("TEXTJOIN("", "",TRUE,UNIQUE(FILTER('Data Master'!$B$2:$B1887,'Data Master'!$C$2:$C1887=A247)))"),"petani")</f>
        <v>petani</v>
      </c>
      <c r="D247" s="40" t="str">
        <f>IFERROR(__xludf.DUMMYFUNCTION("TEXTJOIN("", "",TRUE,UNIQUE(FILTER('Data Master'!$D$2:$D1887,'Data Master'!$C$2:$C1887=A247)))"),"")</f>
        <v/>
      </c>
    </row>
    <row r="248" hidden="1">
      <c r="C248" s="40" t="str">
        <f>IFERROR(__xludf.DUMMYFUNCTION("TEXTJOIN("", "",TRUE,UNIQUE(FILTER('Data Master'!$B$2:$B1887,'Data Master'!$C$2:$C1887=A248)))"),"petani")</f>
        <v>petani</v>
      </c>
      <c r="D248" s="40" t="str">
        <f>IFERROR(__xludf.DUMMYFUNCTION("TEXTJOIN("", "",TRUE,UNIQUE(FILTER('Data Master'!$D$2:$D1887,'Data Master'!$C$2:$C1887=A248)))"),"")</f>
        <v/>
      </c>
    </row>
    <row r="249" hidden="1">
      <c r="C249" s="40" t="str">
        <f>IFERROR(__xludf.DUMMYFUNCTION("TEXTJOIN("", "",TRUE,UNIQUE(FILTER('Data Master'!$B$2:$B1887,'Data Master'!$C$2:$C1887=A249)))"),"petani")</f>
        <v>petani</v>
      </c>
      <c r="D249" s="40" t="str">
        <f>IFERROR(__xludf.DUMMYFUNCTION("TEXTJOIN("", "",TRUE,UNIQUE(FILTER('Data Master'!$D$2:$D1887,'Data Master'!$C$2:$C1887=A249)))"),"")</f>
        <v/>
      </c>
    </row>
    <row r="250" hidden="1">
      <c r="C250" s="40" t="str">
        <f>IFERROR(__xludf.DUMMYFUNCTION("TEXTJOIN("", "",TRUE,UNIQUE(FILTER('Data Master'!$B$2:$B1887,'Data Master'!$C$2:$C1887=A250)))"),"petani")</f>
        <v>petani</v>
      </c>
      <c r="D250" s="40" t="str">
        <f>IFERROR(__xludf.DUMMYFUNCTION("TEXTJOIN("", "",TRUE,UNIQUE(FILTER('Data Master'!$D$2:$D1887,'Data Master'!$C$2:$C1887=A250)))"),"")</f>
        <v/>
      </c>
    </row>
    <row r="251" hidden="1">
      <c r="C251" s="40" t="str">
        <f>IFERROR(__xludf.DUMMYFUNCTION("TEXTJOIN("", "",TRUE,UNIQUE(FILTER('Data Master'!$B$2:$B1887,'Data Master'!$C$2:$C1887=A251)))"),"petani")</f>
        <v>petani</v>
      </c>
      <c r="D251" s="40" t="str">
        <f>IFERROR(__xludf.DUMMYFUNCTION("TEXTJOIN("", "",TRUE,UNIQUE(FILTER('Data Master'!$D$2:$D1887,'Data Master'!$C$2:$C1887=A251)))"),"")</f>
        <v/>
      </c>
    </row>
    <row r="252" hidden="1">
      <c r="C252" s="40" t="str">
        <f>IFERROR(__xludf.DUMMYFUNCTION("TEXTJOIN("", "",TRUE,UNIQUE(FILTER('Data Master'!$B$2:$B1887,'Data Master'!$C$2:$C1887=A252)))"),"petani")</f>
        <v>petani</v>
      </c>
      <c r="D252" s="40" t="str">
        <f>IFERROR(__xludf.DUMMYFUNCTION("TEXTJOIN("", "",TRUE,UNIQUE(FILTER('Data Master'!$D$2:$D1887,'Data Master'!$C$2:$C1887=A252)))"),"")</f>
        <v/>
      </c>
    </row>
    <row r="253" hidden="1">
      <c r="C253" s="40" t="str">
        <f>IFERROR(__xludf.DUMMYFUNCTION("TEXTJOIN("", "",TRUE,UNIQUE(FILTER('Data Master'!$B$2:$B1887,'Data Master'!$C$2:$C1887=A253)))"),"petani")</f>
        <v>petani</v>
      </c>
      <c r="D253" s="40" t="str">
        <f>IFERROR(__xludf.DUMMYFUNCTION("TEXTJOIN("", "",TRUE,UNIQUE(FILTER('Data Master'!$D$2:$D1887,'Data Master'!$C$2:$C1887=A253)))"),"")</f>
        <v/>
      </c>
    </row>
    <row r="254" hidden="1">
      <c r="C254" s="40" t="str">
        <f>IFERROR(__xludf.DUMMYFUNCTION("TEXTJOIN("", "",TRUE,UNIQUE(FILTER('Data Master'!$B$2:$B1887,'Data Master'!$C$2:$C1887=A254)))"),"petani")</f>
        <v>petani</v>
      </c>
      <c r="D254" s="40" t="str">
        <f>IFERROR(__xludf.DUMMYFUNCTION("TEXTJOIN("", "",TRUE,UNIQUE(FILTER('Data Master'!$D$2:$D1887,'Data Master'!$C$2:$C1887=A254)))"),"")</f>
        <v/>
      </c>
    </row>
    <row r="255" hidden="1">
      <c r="C255" s="40" t="str">
        <f>IFERROR(__xludf.DUMMYFUNCTION("TEXTJOIN("", "",TRUE,UNIQUE(FILTER('Data Master'!$B$2:$B1887,'Data Master'!$C$2:$C1887=A255)))"),"petani")</f>
        <v>petani</v>
      </c>
      <c r="D255" s="40" t="str">
        <f>IFERROR(__xludf.DUMMYFUNCTION("TEXTJOIN("", "",TRUE,UNIQUE(FILTER('Data Master'!$D$2:$D1887,'Data Master'!$C$2:$C1887=A255)))"),"")</f>
        <v/>
      </c>
    </row>
    <row r="256" hidden="1">
      <c r="C256" s="40" t="str">
        <f>IFERROR(__xludf.DUMMYFUNCTION("TEXTJOIN("", "",TRUE,UNIQUE(FILTER('Data Master'!$B$2:$B1887,'Data Master'!$C$2:$C1887=A256)))"),"petani")</f>
        <v>petani</v>
      </c>
      <c r="D256" s="40" t="str">
        <f>IFERROR(__xludf.DUMMYFUNCTION("TEXTJOIN("", "",TRUE,UNIQUE(FILTER('Data Master'!$D$2:$D1887,'Data Master'!$C$2:$C1887=A256)))"),"")</f>
        <v/>
      </c>
    </row>
    <row r="257" hidden="1">
      <c r="C257" s="40" t="str">
        <f>IFERROR(__xludf.DUMMYFUNCTION("TEXTJOIN("", "",TRUE,UNIQUE(FILTER('Data Master'!$B$2:$B1887,'Data Master'!$C$2:$C1887=A257)))"),"petani")</f>
        <v>petani</v>
      </c>
      <c r="D257" s="40" t="str">
        <f>IFERROR(__xludf.DUMMYFUNCTION("TEXTJOIN("", "",TRUE,UNIQUE(FILTER('Data Master'!$D$2:$D1887,'Data Master'!$C$2:$C1887=A257)))"),"")</f>
        <v/>
      </c>
    </row>
    <row r="258" hidden="1">
      <c r="C258" s="40" t="str">
        <f>IFERROR(__xludf.DUMMYFUNCTION("TEXTJOIN("", "",TRUE,UNIQUE(FILTER('Data Master'!$B$2:$B1887,'Data Master'!$C$2:$C1887=A258)))"),"petani")</f>
        <v>petani</v>
      </c>
      <c r="D258" s="40" t="str">
        <f>IFERROR(__xludf.DUMMYFUNCTION("TEXTJOIN("", "",TRUE,UNIQUE(FILTER('Data Master'!$D$2:$D1887,'Data Master'!$C$2:$C1887=A258)))"),"")</f>
        <v/>
      </c>
    </row>
    <row r="259" hidden="1">
      <c r="C259" s="40" t="str">
        <f>IFERROR(__xludf.DUMMYFUNCTION("TEXTJOIN("", "",TRUE,UNIQUE(FILTER('Data Master'!$B$2:$B1887,'Data Master'!$C$2:$C1887=A259)))"),"petani")</f>
        <v>petani</v>
      </c>
      <c r="D259" s="40" t="str">
        <f>IFERROR(__xludf.DUMMYFUNCTION("TEXTJOIN("", "",TRUE,UNIQUE(FILTER('Data Master'!$D$2:$D1887,'Data Master'!$C$2:$C1887=A259)))"),"")</f>
        <v/>
      </c>
    </row>
    <row r="260" hidden="1">
      <c r="C260" s="40" t="str">
        <f>IFERROR(__xludf.DUMMYFUNCTION("TEXTJOIN("", "",TRUE,UNIQUE(FILTER('Data Master'!$B$2:$B1887,'Data Master'!$C$2:$C1887=A260)))"),"petani")</f>
        <v>petani</v>
      </c>
      <c r="D260" s="40" t="str">
        <f>IFERROR(__xludf.DUMMYFUNCTION("TEXTJOIN("", "",TRUE,UNIQUE(FILTER('Data Master'!$D$2:$D1887,'Data Master'!$C$2:$C1887=A260)))"),"")</f>
        <v/>
      </c>
    </row>
    <row r="261" hidden="1">
      <c r="C261" s="40" t="str">
        <f>IFERROR(__xludf.DUMMYFUNCTION("TEXTJOIN("", "",TRUE,UNIQUE(FILTER('Data Master'!$B$2:$B1887,'Data Master'!$C$2:$C1887=A261)))"),"penyuluh")</f>
        <v>penyuluh</v>
      </c>
      <c r="D261" s="40" t="str">
        <f>IFERROR(__xludf.DUMMYFUNCTION("TEXTJOIN("", "",TRUE,UNIQUE(FILTER('Data Master'!$D$2:$D1887,'Data Master'!$C$2:$C1887=A261)))"),"")</f>
        <v/>
      </c>
    </row>
    <row r="262" hidden="1">
      <c r="C262" s="40" t="str">
        <f>IFERROR(__xludf.DUMMYFUNCTION("TEXTJOIN("", "",TRUE,UNIQUE(FILTER('Data Master'!$B$2:$B1887,'Data Master'!$C$2:$C1887=A262)))"),"petani")</f>
        <v>petani</v>
      </c>
      <c r="D262" s="40" t="str">
        <f>IFERROR(__xludf.DUMMYFUNCTION("TEXTJOIN("", "",TRUE,UNIQUE(FILTER('Data Master'!$D$2:$D1887,'Data Master'!$C$2:$C1887=A262)))"),"")</f>
        <v/>
      </c>
    </row>
    <row r="263" hidden="1">
      <c r="C263" s="40" t="str">
        <f>IFERROR(__xludf.DUMMYFUNCTION("TEXTJOIN("", "",TRUE,UNIQUE(FILTER('Data Master'!$B$2:$B1887,'Data Master'!$C$2:$C1887=A263)))"),"petani")</f>
        <v>petani</v>
      </c>
      <c r="D263" s="40" t="str">
        <f>IFERROR(__xludf.DUMMYFUNCTION("TEXTJOIN("", "",TRUE,UNIQUE(FILTER('Data Master'!$D$2:$D1887,'Data Master'!$C$2:$C1887=A263)))"),"")</f>
        <v/>
      </c>
    </row>
    <row r="264" hidden="1">
      <c r="C264" s="40" t="str">
        <f>IFERROR(__xludf.DUMMYFUNCTION("TEXTJOIN("", "",TRUE,UNIQUE(FILTER('Data Master'!$B$2:$B1887,'Data Master'!$C$2:$C1887=A264)))"),"petani")</f>
        <v>petani</v>
      </c>
      <c r="D264" s="40" t="str">
        <f>IFERROR(__xludf.DUMMYFUNCTION("TEXTJOIN("", "",TRUE,UNIQUE(FILTER('Data Master'!$D$2:$D1887,'Data Master'!$C$2:$C1887=A264)))"),"")</f>
        <v/>
      </c>
    </row>
    <row r="265" hidden="1">
      <c r="C265" s="40" t="str">
        <f>IFERROR(__xludf.DUMMYFUNCTION("TEXTJOIN("", "",TRUE,UNIQUE(FILTER('Data Master'!$B$2:$B1887,'Data Master'!$C$2:$C1887=A265)))"),"petani")</f>
        <v>petani</v>
      </c>
      <c r="D265" s="40" t="str">
        <f>IFERROR(__xludf.DUMMYFUNCTION("TEXTJOIN("", "",TRUE,UNIQUE(FILTER('Data Master'!$D$2:$D1887,'Data Master'!$C$2:$C1887=A265)))"),"")</f>
        <v/>
      </c>
    </row>
    <row r="266" hidden="1">
      <c r="C266" s="40" t="str">
        <f>IFERROR(__xludf.DUMMYFUNCTION("TEXTJOIN("", "",TRUE,UNIQUE(FILTER('Data Master'!$B$2:$B1887,'Data Master'!$C$2:$C1887=A266)))"),"petani")</f>
        <v>petani</v>
      </c>
      <c r="D266" s="40" t="str">
        <f>IFERROR(__xludf.DUMMYFUNCTION("TEXTJOIN("", "",TRUE,UNIQUE(FILTER('Data Master'!$D$2:$D1887,'Data Master'!$C$2:$C1887=A266)))"),"")</f>
        <v/>
      </c>
    </row>
    <row r="267" hidden="1">
      <c r="C267" s="40" t="str">
        <f>IFERROR(__xludf.DUMMYFUNCTION("TEXTJOIN("", "",TRUE,UNIQUE(FILTER('Data Master'!$B$2:$B1887,'Data Master'!$C$2:$C1887=A267)))"),"petani")</f>
        <v>petani</v>
      </c>
      <c r="D267" s="40" t="str">
        <f>IFERROR(__xludf.DUMMYFUNCTION("TEXTJOIN("", "",TRUE,UNIQUE(FILTER('Data Master'!$D$2:$D1887,'Data Master'!$C$2:$C1887=A267)))"),"")</f>
        <v/>
      </c>
    </row>
    <row r="268" hidden="1">
      <c r="C268" s="40" t="str">
        <f>IFERROR(__xludf.DUMMYFUNCTION("TEXTJOIN("", "",TRUE,UNIQUE(FILTER('Data Master'!$B$2:$B1887,'Data Master'!$C$2:$C1887=A268)))"),"petani")</f>
        <v>petani</v>
      </c>
      <c r="D268" s="40" t="str">
        <f>IFERROR(__xludf.DUMMYFUNCTION("TEXTJOIN("", "",TRUE,UNIQUE(FILTER('Data Master'!$D$2:$D1887,'Data Master'!$C$2:$C1887=A268)))"),"")</f>
        <v/>
      </c>
    </row>
    <row r="269" hidden="1">
      <c r="C269" s="40" t="str">
        <f>IFERROR(__xludf.DUMMYFUNCTION("TEXTJOIN("", "",TRUE,UNIQUE(FILTER('Data Master'!$B$2:$B1887,'Data Master'!$C$2:$C1887=A269)))"),"petani")</f>
        <v>petani</v>
      </c>
      <c r="D269" s="40" t="str">
        <f>IFERROR(__xludf.DUMMYFUNCTION("TEXTJOIN("", "",TRUE,UNIQUE(FILTER('Data Master'!$D$2:$D1887,'Data Master'!$C$2:$C1887=A269)))"),"")</f>
        <v/>
      </c>
    </row>
    <row r="270" hidden="1">
      <c r="C270" s="40" t="str">
        <f>IFERROR(__xludf.DUMMYFUNCTION("TEXTJOIN("", "",TRUE,UNIQUE(FILTER('Data Master'!$B$2:$B1887,'Data Master'!$C$2:$C1887=A270)))"),"petani")</f>
        <v>petani</v>
      </c>
      <c r="D270" s="40" t="str">
        <f>IFERROR(__xludf.DUMMYFUNCTION("TEXTJOIN("", "",TRUE,UNIQUE(FILTER('Data Master'!$D$2:$D1887,'Data Master'!$C$2:$C1887=A270)))"),"")</f>
        <v/>
      </c>
    </row>
    <row r="271" hidden="1">
      <c r="C271" s="40" t="str">
        <f>IFERROR(__xludf.DUMMYFUNCTION("TEXTJOIN("", "",TRUE,UNIQUE(FILTER('Data Master'!$B$2:$B1887,'Data Master'!$C$2:$C1887=A271)))"),"petani")</f>
        <v>petani</v>
      </c>
      <c r="D271" s="40" t="str">
        <f>IFERROR(__xludf.DUMMYFUNCTION("TEXTJOIN("", "",TRUE,UNIQUE(FILTER('Data Master'!$D$2:$D1887,'Data Master'!$C$2:$C1887=A271)))"),"")</f>
        <v/>
      </c>
    </row>
    <row r="272" hidden="1">
      <c r="C272" s="40" t="str">
        <f>IFERROR(__xludf.DUMMYFUNCTION("TEXTJOIN("", "",TRUE,UNIQUE(FILTER('Data Master'!$B$2:$B1887,'Data Master'!$C$2:$C1887=A272)))"),"petani")</f>
        <v>petani</v>
      </c>
      <c r="D272" s="40" t="str">
        <f>IFERROR(__xludf.DUMMYFUNCTION("TEXTJOIN("", "",TRUE,UNIQUE(FILTER('Data Master'!$D$2:$D1887,'Data Master'!$C$2:$C1887=A272)))"),"")</f>
        <v/>
      </c>
    </row>
    <row r="273" hidden="1">
      <c r="C273" s="40" t="str">
        <f>IFERROR(__xludf.DUMMYFUNCTION("TEXTJOIN("", "",TRUE,UNIQUE(FILTER('Data Master'!$B$2:$B1887,'Data Master'!$C$2:$C1887=A273)))"),"petani")</f>
        <v>petani</v>
      </c>
      <c r="D273" s="40" t="str">
        <f>IFERROR(__xludf.DUMMYFUNCTION("TEXTJOIN("", "",TRUE,UNIQUE(FILTER('Data Master'!$D$2:$D1887,'Data Master'!$C$2:$C1887=A273)))"),"")</f>
        <v/>
      </c>
    </row>
    <row r="274" hidden="1">
      <c r="C274" s="40" t="str">
        <f>IFERROR(__xludf.DUMMYFUNCTION("TEXTJOIN("", "",TRUE,UNIQUE(FILTER('Data Master'!$B$2:$B1887,'Data Master'!$C$2:$C1887=A274)))"),"petani")</f>
        <v>petani</v>
      </c>
      <c r="D274" s="40" t="str">
        <f>IFERROR(__xludf.DUMMYFUNCTION("TEXTJOIN("", "",TRUE,UNIQUE(FILTER('Data Master'!$D$2:$D1887,'Data Master'!$C$2:$C1887=A274)))"),"")</f>
        <v/>
      </c>
    </row>
    <row r="275" hidden="1">
      <c r="C275" s="40" t="str">
        <f>IFERROR(__xludf.DUMMYFUNCTION("TEXTJOIN("", "",TRUE,UNIQUE(FILTER('Data Master'!$B$2:$B1887,'Data Master'!$C$2:$C1887=A275)))"),"petani")</f>
        <v>petani</v>
      </c>
      <c r="D275" s="40" t="str">
        <f>IFERROR(__xludf.DUMMYFUNCTION("TEXTJOIN("", "",TRUE,UNIQUE(FILTER('Data Master'!$D$2:$D1887,'Data Master'!$C$2:$C1887=A275)))"),"")</f>
        <v/>
      </c>
    </row>
    <row r="276" hidden="1">
      <c r="C276" s="40" t="str">
        <f>IFERROR(__xludf.DUMMYFUNCTION("TEXTJOIN("", "",TRUE,UNIQUE(FILTER('Data Master'!$B$2:$B1887,'Data Master'!$C$2:$C1887=A276)))"),"petani")</f>
        <v>petani</v>
      </c>
      <c r="D276" s="40" t="str">
        <f>IFERROR(__xludf.DUMMYFUNCTION("TEXTJOIN("", "",TRUE,UNIQUE(FILTER('Data Master'!$D$2:$D1887,'Data Master'!$C$2:$C1887=A276)))"),"")</f>
        <v/>
      </c>
    </row>
    <row r="277" hidden="1">
      <c r="C277" s="40" t="str">
        <f>IFERROR(__xludf.DUMMYFUNCTION("TEXTJOIN("", "",TRUE,UNIQUE(FILTER('Data Master'!$B$2:$B1887,'Data Master'!$C$2:$C1887=A277)))"),"petani")</f>
        <v>petani</v>
      </c>
      <c r="D277" s="40" t="str">
        <f>IFERROR(__xludf.DUMMYFUNCTION("TEXTJOIN("", "",TRUE,UNIQUE(FILTER('Data Master'!$D$2:$D1887,'Data Master'!$C$2:$C1887=A277)))"),"")</f>
        <v/>
      </c>
    </row>
    <row r="278" hidden="1">
      <c r="C278" s="40" t="str">
        <f>IFERROR(__xludf.DUMMYFUNCTION("TEXTJOIN("", "",TRUE,UNIQUE(FILTER('Data Master'!$B$2:$B1887,'Data Master'!$C$2:$C1887=A278)))"),"petani")</f>
        <v>petani</v>
      </c>
      <c r="D278" s="40" t="str">
        <f>IFERROR(__xludf.DUMMYFUNCTION("TEXTJOIN("", "",TRUE,UNIQUE(FILTER('Data Master'!$D$2:$D1887,'Data Master'!$C$2:$C1887=A278)))"),"")</f>
        <v/>
      </c>
    </row>
    <row r="279" hidden="1">
      <c r="C279" s="40" t="str">
        <f>IFERROR(__xludf.DUMMYFUNCTION("TEXTJOIN("", "",TRUE,UNIQUE(FILTER('Data Master'!$B$2:$B1887,'Data Master'!$C$2:$C1887=A279)))"),"petani")</f>
        <v>petani</v>
      </c>
      <c r="D279" s="40" t="str">
        <f>IFERROR(__xludf.DUMMYFUNCTION("TEXTJOIN("", "",TRUE,UNIQUE(FILTER('Data Master'!$D$2:$D1887,'Data Master'!$C$2:$C1887=A279)))"),"")</f>
        <v/>
      </c>
    </row>
    <row r="280" hidden="1">
      <c r="C280" s="40" t="str">
        <f>IFERROR(__xludf.DUMMYFUNCTION("TEXTJOIN("", "",TRUE,UNIQUE(FILTER('Data Master'!$B$2:$B1887,'Data Master'!$C$2:$C1887=A280)))"),"penyuluh")</f>
        <v>penyuluh</v>
      </c>
      <c r="D280" s="40" t="str">
        <f>IFERROR(__xludf.DUMMYFUNCTION("TEXTJOIN("", "",TRUE,UNIQUE(FILTER('Data Master'!$D$2:$D1887,'Data Master'!$C$2:$C1887=A280)))"),"")</f>
        <v/>
      </c>
    </row>
    <row r="281" hidden="1">
      <c r="C281" s="40" t="str">
        <f>IFERROR(__xludf.DUMMYFUNCTION("TEXTJOIN("", "",TRUE,UNIQUE(FILTER('Data Master'!$B$2:$B1887,'Data Master'!$C$2:$C1887=A281)))"),"petani")</f>
        <v>petani</v>
      </c>
      <c r="D281" s="40" t="str">
        <f>IFERROR(__xludf.DUMMYFUNCTION("TEXTJOIN("", "",TRUE,UNIQUE(FILTER('Data Master'!$D$2:$D1887,'Data Master'!$C$2:$C1887=A281)))"),"")</f>
        <v/>
      </c>
    </row>
    <row r="282" hidden="1">
      <c r="C282" s="40" t="str">
        <f>IFERROR(__xludf.DUMMYFUNCTION("TEXTJOIN("", "",TRUE,UNIQUE(FILTER('Data Master'!$B$2:$B1887,'Data Master'!$C$2:$C1887=A282)))"),"penyuluh")</f>
        <v>penyuluh</v>
      </c>
      <c r="D282" s="40" t="str">
        <f>IFERROR(__xludf.DUMMYFUNCTION("TEXTJOIN("", "",TRUE,UNIQUE(FILTER('Data Master'!$D$2:$D1887,'Data Master'!$C$2:$C1887=A282)))"),"ayat_woko9812@yahoo.co.id")</f>
        <v>ayat_woko9812@yahoo.co.id</v>
      </c>
    </row>
    <row r="283">
      <c r="C283" s="43" t="str">
        <f>IFERROR(__xludf.DUMMYFUNCTION("TEXTJOIN("", "",TRUE,UNIQUE(FILTER('Data Master'!$B$2:$B1887,'Data Master'!$C$2:$C1887=A283)))"),"operator admin, penyuluh")</f>
        <v>operator admin, penyuluh</v>
      </c>
      <c r="D283" s="43" t="str">
        <f>IFERROR(__xludf.DUMMYFUNCTION("TEXTJOIN("", "",TRUE,UNIQUE(FILTER('Data Master'!$D$2:$D1887,'Data Master'!$C$2:$C1887=A283)))"),"bppkecamatangerih@gmail.com")</f>
        <v>bppkecamatangerih@gmail.com</v>
      </c>
    </row>
    <row r="284" hidden="1">
      <c r="C284" s="40" t="str">
        <f>IFERROR(__xludf.DUMMYFUNCTION("TEXTJOIN("", "",TRUE,UNIQUE(FILTER('Data Master'!$B$2:$B1887,'Data Master'!$C$2:$C1887=A284)))"),"petani")</f>
        <v>petani</v>
      </c>
      <c r="D284" s="40" t="str">
        <f>IFERROR(__xludf.DUMMYFUNCTION("TEXTJOIN("", "",TRUE,UNIQUE(FILTER('Data Master'!$D$2:$D1887,'Data Master'!$C$2:$C1887=A284)))"),"")</f>
        <v/>
      </c>
    </row>
    <row r="285" hidden="1">
      <c r="C285" s="40" t="str">
        <f>IFERROR(__xludf.DUMMYFUNCTION("TEXTJOIN("", "",TRUE,UNIQUE(FILTER('Data Master'!$B$2:$B1887,'Data Master'!$C$2:$C1887=A285)))"),"petani")</f>
        <v>petani</v>
      </c>
      <c r="D285" s="40" t="str">
        <f>IFERROR(__xludf.DUMMYFUNCTION("TEXTJOIN("", "",TRUE,UNIQUE(FILTER('Data Master'!$D$2:$D1887,'Data Master'!$C$2:$C1887=A285)))"),"")</f>
        <v/>
      </c>
    </row>
    <row r="286" hidden="1">
      <c r="C286" s="40" t="str">
        <f>IFERROR(__xludf.DUMMYFUNCTION("TEXTJOIN("", "",TRUE,UNIQUE(FILTER('Data Master'!$B$2:$B1887,'Data Master'!$C$2:$C1887=A286)))"),"petani")</f>
        <v>petani</v>
      </c>
      <c r="D286" s="40" t="str">
        <f>IFERROR(__xludf.DUMMYFUNCTION("TEXTJOIN("", "",TRUE,UNIQUE(FILTER('Data Master'!$D$2:$D1887,'Data Master'!$C$2:$C1887=A286)))"),"")</f>
        <v/>
      </c>
    </row>
    <row r="287" hidden="1">
      <c r="C287" s="40" t="str">
        <f>IFERROR(__xludf.DUMMYFUNCTION("TEXTJOIN("", "",TRUE,UNIQUE(FILTER('Data Master'!$B$2:$B1887,'Data Master'!$C$2:$C1887=A287)))"),"petani")</f>
        <v>petani</v>
      </c>
      <c r="D287" s="40" t="str">
        <f>IFERROR(__xludf.DUMMYFUNCTION("TEXTJOIN("", "",TRUE,UNIQUE(FILTER('Data Master'!$D$2:$D1887,'Data Master'!$C$2:$C1887=A287)))"),"")</f>
        <v/>
      </c>
    </row>
    <row r="288" hidden="1">
      <c r="C288" s="40" t="str">
        <f>IFERROR(__xludf.DUMMYFUNCTION("TEXTJOIN("", "",TRUE,UNIQUE(FILTER('Data Master'!$B$2:$B1887,'Data Master'!$C$2:$C1887=A288)))"),"petani")</f>
        <v>petani</v>
      </c>
      <c r="D288" s="40" t="str">
        <f>IFERROR(__xludf.DUMMYFUNCTION("TEXTJOIN("", "",TRUE,UNIQUE(FILTER('Data Master'!$D$2:$D1887,'Data Master'!$C$2:$C1887=A288)))"),"")</f>
        <v/>
      </c>
    </row>
    <row r="289" hidden="1">
      <c r="C289" s="40" t="str">
        <f>IFERROR(__xludf.DUMMYFUNCTION("TEXTJOIN("", "",TRUE,UNIQUE(FILTER('Data Master'!$B$2:$B1887,'Data Master'!$C$2:$C1887=A289)))"),"petani")</f>
        <v>petani</v>
      </c>
      <c r="D289" s="40" t="str">
        <f>IFERROR(__xludf.DUMMYFUNCTION("TEXTJOIN("", "",TRUE,UNIQUE(FILTER('Data Master'!$D$2:$D1887,'Data Master'!$C$2:$C1887=A289)))"),"")</f>
        <v/>
      </c>
    </row>
    <row r="290" hidden="1">
      <c r="C290" s="40" t="str">
        <f>IFERROR(__xludf.DUMMYFUNCTION("TEXTJOIN("", "",TRUE,UNIQUE(FILTER('Data Master'!$B$2:$B1887,'Data Master'!$C$2:$C1887=A290)))"),"petani")</f>
        <v>petani</v>
      </c>
      <c r="D290" s="40" t="str">
        <f>IFERROR(__xludf.DUMMYFUNCTION("TEXTJOIN("", "",TRUE,UNIQUE(FILTER('Data Master'!$D$2:$D1887,'Data Master'!$C$2:$C1887=A290)))"),"")</f>
        <v/>
      </c>
    </row>
    <row r="291" hidden="1">
      <c r="C291" s="40" t="str">
        <f>IFERROR(__xludf.DUMMYFUNCTION("TEXTJOIN("", "",TRUE,UNIQUE(FILTER('Data Master'!$B$2:$B1887,'Data Master'!$C$2:$C1887=A291)))"),"penyuluh")</f>
        <v>penyuluh</v>
      </c>
      <c r="D291" s="40" t="str">
        <f>IFERROR(__xludf.DUMMYFUNCTION("TEXTJOIN("", "",TRUE,UNIQUE(FILTER('Data Master'!$D$2:$D1887,'Data Master'!$C$2:$C1887=A291)))"),"anikkristiana.01@gmail.com")</f>
        <v>anikkristiana.01@gmail.com</v>
      </c>
    </row>
    <row r="292" hidden="1">
      <c r="C292" s="40" t="str">
        <f>IFERROR(__xludf.DUMMYFUNCTION("TEXTJOIN("", "",TRUE,UNIQUE(FILTER('Data Master'!$B$2:$B1887,'Data Master'!$C$2:$C1887=A292)))"),"petani")</f>
        <v>petani</v>
      </c>
      <c r="D292" s="40" t="str">
        <f>IFERROR(__xludf.DUMMYFUNCTION("TEXTJOIN("", "",TRUE,UNIQUE(FILTER('Data Master'!$D$2:$D1887,'Data Master'!$C$2:$C1887=A292)))"),"")</f>
        <v/>
      </c>
    </row>
    <row r="293" hidden="1">
      <c r="C293" s="40" t="str">
        <f>IFERROR(__xludf.DUMMYFUNCTION("TEXTJOIN("", "",TRUE,UNIQUE(FILTER('Data Master'!$B$2:$B1887,'Data Master'!$C$2:$C1887=A293)))"),"petani")</f>
        <v>petani</v>
      </c>
      <c r="D293" s="40" t="str">
        <f>IFERROR(__xludf.DUMMYFUNCTION("TEXTJOIN("", "",TRUE,UNIQUE(FILTER('Data Master'!$D$2:$D1887,'Data Master'!$C$2:$C1887=A293)))"),"")</f>
        <v/>
      </c>
    </row>
    <row r="294" hidden="1">
      <c r="C294" s="40" t="str">
        <f>IFERROR(__xludf.DUMMYFUNCTION("TEXTJOIN("", "",TRUE,UNIQUE(FILTER('Data Master'!$B$2:$B1887,'Data Master'!$C$2:$C1887=A294)))"),"petani")</f>
        <v>petani</v>
      </c>
      <c r="D294" s="40" t="str">
        <f>IFERROR(__xludf.DUMMYFUNCTION("TEXTJOIN("", "",TRUE,UNIQUE(FILTER('Data Master'!$D$2:$D1887,'Data Master'!$C$2:$C1887=A294)))"),"")</f>
        <v/>
      </c>
    </row>
    <row r="295" hidden="1">
      <c r="C295" s="40" t="str">
        <f>IFERROR(__xludf.DUMMYFUNCTION("TEXTJOIN("", "",TRUE,UNIQUE(FILTER('Data Master'!$B$2:$B1887,'Data Master'!$C$2:$C1887=A295)))"),"petani")</f>
        <v>petani</v>
      </c>
      <c r="D295" s="40" t="str">
        <f>IFERROR(__xludf.DUMMYFUNCTION("TEXTJOIN("", "",TRUE,UNIQUE(FILTER('Data Master'!$D$2:$D1887,'Data Master'!$C$2:$C1887=A295)))"),"")</f>
        <v/>
      </c>
    </row>
    <row r="296" hidden="1">
      <c r="C296" s="40" t="str">
        <f>IFERROR(__xludf.DUMMYFUNCTION("TEXTJOIN("", "",TRUE,UNIQUE(FILTER('Data Master'!$B$2:$B1887,'Data Master'!$C$2:$C1887=A296)))"),"operator poktan")</f>
        <v>operator poktan</v>
      </c>
      <c r="D296" s="40" t="str">
        <f>IFERROR(__xludf.DUMMYFUNCTION("TEXTJOIN("", "",TRUE,UNIQUE(FILTER('Data Master'!$D$2:$D1887,'Data Master'!$C$2:$C1887=A296)))"),"khairulfatqurr@gmail.com")</f>
        <v>khairulfatqurr@gmail.com</v>
      </c>
    </row>
    <row r="297" hidden="1">
      <c r="C297" s="40" t="str">
        <f>IFERROR(__xludf.DUMMYFUNCTION("TEXTJOIN("", "",TRUE,UNIQUE(FILTER('Data Master'!$B$2:$B1887,'Data Master'!$C$2:$C1887=A297)))"),"petani")</f>
        <v>petani</v>
      </c>
      <c r="D297" s="40" t="str">
        <f>IFERROR(__xludf.DUMMYFUNCTION("TEXTJOIN("", "",TRUE,UNIQUE(FILTER('Data Master'!$D$2:$D1887,'Data Master'!$C$2:$C1887=A297)))"),"")</f>
        <v/>
      </c>
    </row>
    <row r="298" hidden="1">
      <c r="C298" s="40" t="str">
        <f>IFERROR(__xludf.DUMMYFUNCTION("TEXTJOIN("", "",TRUE,UNIQUE(FILTER('Data Master'!$B$2:$B1887,'Data Master'!$C$2:$C1887=A298)))"),"petani")</f>
        <v>petani</v>
      </c>
      <c r="D298" s="40" t="str">
        <f>IFERROR(__xludf.DUMMYFUNCTION("TEXTJOIN("", "",TRUE,UNIQUE(FILTER('Data Master'!$D$2:$D1887,'Data Master'!$C$2:$C1887=A298)))"),"")</f>
        <v/>
      </c>
    </row>
    <row r="299" hidden="1">
      <c r="C299" s="40" t="str">
        <f>IFERROR(__xludf.DUMMYFUNCTION("TEXTJOIN("", "",TRUE,UNIQUE(FILTER('Data Master'!$B$2:$B1887,'Data Master'!$C$2:$C1887=A299)))"),"petani")</f>
        <v>petani</v>
      </c>
      <c r="D299" s="40" t="str">
        <f>IFERROR(__xludf.DUMMYFUNCTION("TEXTJOIN("", "",TRUE,UNIQUE(FILTER('Data Master'!$D$2:$D1887,'Data Master'!$C$2:$C1887=A299)))"),"")</f>
        <v/>
      </c>
    </row>
    <row r="300" hidden="1">
      <c r="C300" s="40" t="str">
        <f>IFERROR(__xludf.DUMMYFUNCTION("TEXTJOIN("", "",TRUE,UNIQUE(FILTER('Data Master'!$B$2:$B1887,'Data Master'!$C$2:$C1887=A300)))"),"petani")</f>
        <v>petani</v>
      </c>
      <c r="D300" s="40" t="str">
        <f>IFERROR(__xludf.DUMMYFUNCTION("TEXTJOIN("", "",TRUE,UNIQUE(FILTER('Data Master'!$D$2:$D1887,'Data Master'!$C$2:$C1887=A300)))"),"")</f>
        <v/>
      </c>
    </row>
    <row r="301" hidden="1">
      <c r="C301" s="40" t="str">
        <f>IFERROR(__xludf.DUMMYFUNCTION("TEXTJOIN("", "",TRUE,UNIQUE(FILTER('Data Master'!$B$2:$B1887,'Data Master'!$C$2:$C1887=A301)))"),"petani")</f>
        <v>petani</v>
      </c>
      <c r="D301" s="40" t="str">
        <f>IFERROR(__xludf.DUMMYFUNCTION("TEXTJOIN("", "",TRUE,UNIQUE(FILTER('Data Master'!$D$2:$D1887,'Data Master'!$C$2:$C1887=A301)))"),"")</f>
        <v/>
      </c>
    </row>
    <row r="302" hidden="1">
      <c r="C302" s="40" t="str">
        <f>IFERROR(__xludf.DUMMYFUNCTION("TEXTJOIN("", "",TRUE,UNIQUE(FILTER('Data Master'!$B$2:$B1887,'Data Master'!$C$2:$C1887=A302)))"),"petani")</f>
        <v>petani</v>
      </c>
      <c r="D302" s="40" t="str">
        <f>IFERROR(__xludf.DUMMYFUNCTION("TEXTJOIN("", "",TRUE,UNIQUE(FILTER('Data Master'!$D$2:$D1887,'Data Master'!$C$2:$C1887=A302)))"),"")</f>
        <v/>
      </c>
    </row>
    <row r="303" hidden="1">
      <c r="C303" s="40" t="str">
        <f>IFERROR(__xludf.DUMMYFUNCTION("TEXTJOIN("", "",TRUE,UNIQUE(FILTER('Data Master'!$B$2:$B1887,'Data Master'!$C$2:$C1887=A303)))"),"petani")</f>
        <v>petani</v>
      </c>
      <c r="D303" s="40" t="str">
        <f>IFERROR(__xludf.DUMMYFUNCTION("TEXTJOIN("", "",TRUE,UNIQUE(FILTER('Data Master'!$D$2:$D1887,'Data Master'!$C$2:$C1887=A303)))"),"")</f>
        <v/>
      </c>
    </row>
    <row r="304" hidden="1">
      <c r="C304" s="40" t="str">
        <f>IFERROR(__xludf.DUMMYFUNCTION("TEXTJOIN("", "",TRUE,UNIQUE(FILTER('Data Master'!$B$2:$B1887,'Data Master'!$C$2:$C1887=A304)))"),"petani")</f>
        <v>petani</v>
      </c>
      <c r="D304" s="40" t="str">
        <f>IFERROR(__xludf.DUMMYFUNCTION("TEXTJOIN("", "",TRUE,UNIQUE(FILTER('Data Master'!$D$2:$D1887,'Data Master'!$C$2:$C1887=A304)))"),"")</f>
        <v/>
      </c>
    </row>
    <row r="305" hidden="1">
      <c r="C305" s="40" t="str">
        <f>IFERROR(__xludf.DUMMYFUNCTION("TEXTJOIN("", "",TRUE,UNIQUE(FILTER('Data Master'!$B$2:$B1887,'Data Master'!$C$2:$C1887=A305)))"),"penyuluh")</f>
        <v>penyuluh</v>
      </c>
      <c r="D305" s="40" t="str">
        <f>IFERROR(__xludf.DUMMYFUNCTION("TEXTJOIN("", "",TRUE,UNIQUE(FILTER('Data Master'!$D$2:$D1887,'Data Master'!$C$2:$C1887=A305)))"),"")</f>
        <v/>
      </c>
    </row>
    <row r="306" hidden="1">
      <c r="C306" s="40" t="str">
        <f>IFERROR(__xludf.DUMMYFUNCTION("TEXTJOIN("", "",TRUE,UNIQUE(FILTER('Data Master'!$B$2:$B1887,'Data Master'!$C$2:$C1887=A306)))"),"petani")</f>
        <v>petani</v>
      </c>
      <c r="D306" s="40" t="str">
        <f>IFERROR(__xludf.DUMMYFUNCTION("TEXTJOIN("", "",TRUE,UNIQUE(FILTER('Data Master'!$D$2:$D1887,'Data Master'!$C$2:$C1887=A306)))"),"")</f>
        <v/>
      </c>
    </row>
    <row r="307" hidden="1">
      <c r="C307" s="40" t="str">
        <f>IFERROR(__xludf.DUMMYFUNCTION("TEXTJOIN("", "",TRUE,UNIQUE(FILTER('Data Master'!$B$2:$B1887,'Data Master'!$C$2:$C1887=A307)))"),"petani")</f>
        <v>petani</v>
      </c>
      <c r="D307" s="40" t="str">
        <f>IFERROR(__xludf.DUMMYFUNCTION("TEXTJOIN("", "",TRUE,UNIQUE(FILTER('Data Master'!$D$2:$D1887,'Data Master'!$C$2:$C1887=A307)))"),"")</f>
        <v/>
      </c>
    </row>
    <row r="308" hidden="1">
      <c r="C308" s="40" t="str">
        <f>IFERROR(__xludf.DUMMYFUNCTION("TEXTJOIN("", "",TRUE,UNIQUE(FILTER('Data Master'!$B$2:$B1887,'Data Master'!$C$2:$C1887=A308)))"),"petani")</f>
        <v>petani</v>
      </c>
      <c r="D308" s="40" t="str">
        <f>IFERROR(__xludf.DUMMYFUNCTION("TEXTJOIN("", "",TRUE,UNIQUE(FILTER('Data Master'!$D$2:$D1887,'Data Master'!$C$2:$C1887=A308)))"),"")</f>
        <v/>
      </c>
    </row>
    <row r="309" hidden="1">
      <c r="C309" s="40" t="str">
        <f>IFERROR(__xludf.DUMMYFUNCTION("TEXTJOIN("", "",TRUE,UNIQUE(FILTER('Data Master'!$B$2:$B1887,'Data Master'!$C$2:$C1887=A309)))"),"penyuluh")</f>
        <v>penyuluh</v>
      </c>
      <c r="D309" s="40" t="str">
        <f>IFERROR(__xludf.DUMMYFUNCTION("TEXTJOIN("", "",TRUE,UNIQUE(FILTER('Data Master'!$D$2:$D1887,'Data Master'!$C$2:$C1887=A309)))"),"syukmawantoardhian@gmail.com")</f>
        <v>syukmawantoardhian@gmail.com</v>
      </c>
    </row>
    <row r="310" hidden="1">
      <c r="C310" s="40" t="str">
        <f>IFERROR(__xludf.DUMMYFUNCTION("TEXTJOIN("", "",TRUE,UNIQUE(FILTER('Data Master'!$B$2:$B1887,'Data Master'!$C$2:$C1887=A310)))"),"petani")</f>
        <v>petani</v>
      </c>
      <c r="D310" s="40" t="str">
        <f>IFERROR(__xludf.DUMMYFUNCTION("TEXTJOIN("", "",TRUE,UNIQUE(FILTER('Data Master'!$D$2:$D1887,'Data Master'!$C$2:$C1887=A310)))"),"")</f>
        <v/>
      </c>
    </row>
    <row r="311" hidden="1">
      <c r="C311" s="40" t="str">
        <f>IFERROR(__xludf.DUMMYFUNCTION("TEXTJOIN("", "",TRUE,UNIQUE(FILTER('Data Master'!$B$2:$B1887,'Data Master'!$C$2:$C1887=A311)))"),"petani")</f>
        <v>petani</v>
      </c>
      <c r="D311" s="40" t="str">
        <f>IFERROR(__xludf.DUMMYFUNCTION("TEXTJOIN("", "",TRUE,UNIQUE(FILTER('Data Master'!$D$2:$D1887,'Data Master'!$C$2:$C1887=A311)))"),"")</f>
        <v/>
      </c>
    </row>
    <row r="312" hidden="1">
      <c r="C312" s="40" t="str">
        <f>IFERROR(__xludf.DUMMYFUNCTION("TEXTJOIN("", "",TRUE,UNIQUE(FILTER('Data Master'!$B$2:$B1887,'Data Master'!$C$2:$C1887=A312)))"),"petani")</f>
        <v>petani</v>
      </c>
      <c r="D312" s="40" t="str">
        <f>IFERROR(__xludf.DUMMYFUNCTION("TEXTJOIN("", "",TRUE,UNIQUE(FILTER('Data Master'!$D$2:$D1887,'Data Master'!$C$2:$C1887=A312)))"),"")</f>
        <v/>
      </c>
    </row>
    <row r="313" hidden="1">
      <c r="C313" s="40" t="str">
        <f>IFERROR(__xludf.DUMMYFUNCTION("TEXTJOIN("", "",TRUE,UNIQUE(FILTER('Data Master'!$B$2:$B1887,'Data Master'!$C$2:$C1887=A313)))"),"petani")</f>
        <v>petani</v>
      </c>
      <c r="D313" s="40" t="str">
        <f>IFERROR(__xludf.DUMMYFUNCTION("TEXTJOIN("", "",TRUE,UNIQUE(FILTER('Data Master'!$D$2:$D1887,'Data Master'!$C$2:$C1887=A313)))"),"")</f>
        <v/>
      </c>
    </row>
    <row r="314" hidden="1">
      <c r="C314" s="40" t="str">
        <f>IFERROR(__xludf.DUMMYFUNCTION("TEXTJOIN("", "",TRUE,UNIQUE(FILTER('Data Master'!$B$2:$B1887,'Data Master'!$C$2:$C1887=A314)))"),"petani")</f>
        <v>petani</v>
      </c>
      <c r="D314" s="40" t="str">
        <f>IFERROR(__xludf.DUMMYFUNCTION("TEXTJOIN("", "",TRUE,UNIQUE(FILTER('Data Master'!$D$2:$D1887,'Data Master'!$C$2:$C1887=A314)))"),"")</f>
        <v/>
      </c>
    </row>
    <row r="315" hidden="1">
      <c r="C315" s="40" t="str">
        <f>IFERROR(__xludf.DUMMYFUNCTION("TEXTJOIN("", "",TRUE,UNIQUE(FILTER('Data Master'!$B$2:$B1887,'Data Master'!$C$2:$C1887=A315)))"),"petani")</f>
        <v>petani</v>
      </c>
      <c r="D315" s="40" t="str">
        <f>IFERROR(__xludf.DUMMYFUNCTION("TEXTJOIN("", "",TRUE,UNIQUE(FILTER('Data Master'!$D$2:$D1887,'Data Master'!$C$2:$C1887=A315)))"),"")</f>
        <v/>
      </c>
    </row>
    <row r="316" hidden="1">
      <c r="C316" s="40" t="str">
        <f>IFERROR(__xludf.DUMMYFUNCTION("TEXTJOIN("", "",TRUE,UNIQUE(FILTER('Data Master'!$B$2:$B1887,'Data Master'!$C$2:$C1887=A316)))"),"petani")</f>
        <v>petani</v>
      </c>
      <c r="D316" s="40" t="str">
        <f>IFERROR(__xludf.DUMMYFUNCTION("TEXTJOIN("", "",TRUE,UNIQUE(FILTER('Data Master'!$D$2:$D1887,'Data Master'!$C$2:$C1887=A316)))"),"")</f>
        <v/>
      </c>
    </row>
    <row r="317" hidden="1">
      <c r="C317" s="40" t="str">
        <f>IFERROR(__xludf.DUMMYFUNCTION("TEXTJOIN("", "",TRUE,UNIQUE(FILTER('Data Master'!$B$2:$B1887,'Data Master'!$C$2:$C1887=A317)))"),"petani")</f>
        <v>petani</v>
      </c>
      <c r="D317" s="40" t="str">
        <f>IFERROR(__xludf.DUMMYFUNCTION("TEXTJOIN("", "",TRUE,UNIQUE(FILTER('Data Master'!$D$2:$D1887,'Data Master'!$C$2:$C1887=A317)))"),"")</f>
        <v/>
      </c>
    </row>
    <row r="318" hidden="1">
      <c r="C318" s="40" t="str">
        <f>IFERROR(__xludf.DUMMYFUNCTION("TEXTJOIN("", "",TRUE,UNIQUE(FILTER('Data Master'!$B$2:$B1887,'Data Master'!$C$2:$C1887=A318)))"),"petani")</f>
        <v>petani</v>
      </c>
      <c r="D318" s="40" t="str">
        <f>IFERROR(__xludf.DUMMYFUNCTION("TEXTJOIN("", "",TRUE,UNIQUE(FILTER('Data Master'!$D$2:$D1887,'Data Master'!$C$2:$C1887=A318)))"),"")</f>
        <v/>
      </c>
    </row>
    <row r="319" hidden="1">
      <c r="C319" s="40" t="str">
        <f>IFERROR(__xludf.DUMMYFUNCTION("TEXTJOIN("", "",TRUE,UNIQUE(FILTER('Data Master'!$B$2:$B1887,'Data Master'!$C$2:$C1887=A319)))"),"petani")</f>
        <v>petani</v>
      </c>
      <c r="D319" s="40" t="str">
        <f>IFERROR(__xludf.DUMMYFUNCTION("TEXTJOIN("", "",TRUE,UNIQUE(FILTER('Data Master'!$D$2:$D1887,'Data Master'!$C$2:$C1887=A319)))"),"")</f>
        <v/>
      </c>
    </row>
    <row r="320" hidden="1">
      <c r="C320" s="40" t="str">
        <f>IFERROR(__xludf.DUMMYFUNCTION("TEXTJOIN("", "",TRUE,UNIQUE(FILTER('Data Master'!$B$2:$B1887,'Data Master'!$C$2:$C1887=A320)))"),"petani")</f>
        <v>petani</v>
      </c>
      <c r="D320" s="40" t="str">
        <f>IFERROR(__xludf.DUMMYFUNCTION("TEXTJOIN("", "",TRUE,UNIQUE(FILTER('Data Master'!$D$2:$D1887,'Data Master'!$C$2:$C1887=A320)))"),"")</f>
        <v/>
      </c>
    </row>
    <row r="321" hidden="1">
      <c r="C321" s="40" t="str">
        <f>IFERROR(__xludf.DUMMYFUNCTION("TEXTJOIN("", "",TRUE,UNIQUE(FILTER('Data Master'!$B$2:$B1887,'Data Master'!$C$2:$C1887=A321)))"),"petani")</f>
        <v>petani</v>
      </c>
      <c r="D321" s="40" t="str">
        <f>IFERROR(__xludf.DUMMYFUNCTION("TEXTJOIN("", "",TRUE,UNIQUE(FILTER('Data Master'!$D$2:$D1887,'Data Master'!$C$2:$C1887=A321)))"),"")</f>
        <v/>
      </c>
    </row>
    <row r="322" hidden="1">
      <c r="C322" s="40" t="str">
        <f>IFERROR(__xludf.DUMMYFUNCTION("TEXTJOIN("", "",TRUE,UNIQUE(FILTER('Data Master'!$B$2:$B1887,'Data Master'!$C$2:$C1887=A322)))"),"petani")</f>
        <v>petani</v>
      </c>
      <c r="D322" s="40" t="str">
        <f>IFERROR(__xludf.DUMMYFUNCTION("TEXTJOIN("", "",TRUE,UNIQUE(FILTER('Data Master'!$D$2:$D1887,'Data Master'!$C$2:$C1887=A322)))"),"")</f>
        <v/>
      </c>
    </row>
    <row r="323" hidden="1">
      <c r="C323" s="40" t="str">
        <f>IFERROR(__xludf.DUMMYFUNCTION("TEXTJOIN("", "",TRUE,UNIQUE(FILTER('Data Master'!$B$2:$B1887,'Data Master'!$C$2:$C1887=A323)))"),"petani")</f>
        <v>petani</v>
      </c>
      <c r="D323" s="40" t="str">
        <f>IFERROR(__xludf.DUMMYFUNCTION("TEXTJOIN("", "",TRUE,UNIQUE(FILTER('Data Master'!$D$2:$D1887,'Data Master'!$C$2:$C1887=A323)))"),"")</f>
        <v/>
      </c>
    </row>
    <row r="324" hidden="1">
      <c r="C324" s="40" t="str">
        <f>IFERROR(__xludf.DUMMYFUNCTION("TEXTJOIN("", "",TRUE,UNIQUE(FILTER('Data Master'!$B$2:$B1887,'Data Master'!$C$2:$C1887=A324)))"),"petani")</f>
        <v>petani</v>
      </c>
      <c r="D324" s="40" t="str">
        <f>IFERROR(__xludf.DUMMYFUNCTION("TEXTJOIN("", "",TRUE,UNIQUE(FILTER('Data Master'!$D$2:$D1887,'Data Master'!$C$2:$C1887=A324)))"),"")</f>
        <v/>
      </c>
    </row>
    <row r="325" hidden="1">
      <c r="C325" s="40" t="str">
        <f>IFERROR(__xludf.DUMMYFUNCTION("TEXTJOIN("", "",TRUE,UNIQUE(FILTER('Data Master'!$B$2:$B1887,'Data Master'!$C$2:$C1887=A325)))"),"petani")</f>
        <v>petani</v>
      </c>
      <c r="D325" s="40" t="str">
        <f>IFERROR(__xludf.DUMMYFUNCTION("TEXTJOIN("", "",TRUE,UNIQUE(FILTER('Data Master'!$D$2:$D1887,'Data Master'!$C$2:$C1887=A325)))"),"")</f>
        <v/>
      </c>
    </row>
    <row r="326" hidden="1">
      <c r="C326" s="40" t="str">
        <f>IFERROR(__xludf.DUMMYFUNCTION("TEXTJOIN("", "",TRUE,UNIQUE(FILTER('Data Master'!$B$2:$B1887,'Data Master'!$C$2:$C1887=A326)))"),"petani")</f>
        <v>petani</v>
      </c>
      <c r="D326" s="40" t="str">
        <f>IFERROR(__xludf.DUMMYFUNCTION("TEXTJOIN("", "",TRUE,UNIQUE(FILTER('Data Master'!$D$2:$D1887,'Data Master'!$C$2:$C1887=A326)))"),"")</f>
        <v/>
      </c>
    </row>
    <row r="327" hidden="1">
      <c r="C327" s="40" t="str">
        <f>IFERROR(__xludf.DUMMYFUNCTION("TEXTJOIN("", "",TRUE,UNIQUE(FILTER('Data Master'!$B$2:$B1887,'Data Master'!$C$2:$C1887=A327)))"),"petani")</f>
        <v>petani</v>
      </c>
      <c r="D327" s="40" t="str">
        <f>IFERROR(__xludf.DUMMYFUNCTION("TEXTJOIN("", "",TRUE,UNIQUE(FILTER('Data Master'!$D$2:$D1887,'Data Master'!$C$2:$C1887=A327)))"),"")</f>
        <v/>
      </c>
    </row>
    <row r="328" hidden="1">
      <c r="C328" s="40" t="str">
        <f>IFERROR(__xludf.DUMMYFUNCTION("TEXTJOIN("", "",TRUE,UNIQUE(FILTER('Data Master'!$B$2:$B1887,'Data Master'!$C$2:$C1887=A328)))"),"petani")</f>
        <v>petani</v>
      </c>
      <c r="D328" s="40" t="str">
        <f>IFERROR(__xludf.DUMMYFUNCTION("TEXTJOIN("", "",TRUE,UNIQUE(FILTER('Data Master'!$D$2:$D1887,'Data Master'!$C$2:$C1887=A328)))"),"")</f>
        <v/>
      </c>
    </row>
    <row r="329" hidden="1">
      <c r="C329" s="40" t="str">
        <f>IFERROR(__xludf.DUMMYFUNCTION("TEXTJOIN("", "",TRUE,UNIQUE(FILTER('Data Master'!$B$2:$B1887,'Data Master'!$C$2:$C1887=A329)))"),"petani")</f>
        <v>petani</v>
      </c>
      <c r="D329" s="40" t="str">
        <f>IFERROR(__xludf.DUMMYFUNCTION("TEXTJOIN("", "",TRUE,UNIQUE(FILTER('Data Master'!$D$2:$D1887,'Data Master'!$C$2:$C1887=A329)))"),"")</f>
        <v/>
      </c>
    </row>
    <row r="330" hidden="1">
      <c r="C330" s="40" t="str">
        <f>IFERROR(__xludf.DUMMYFUNCTION("TEXTJOIN("", "",TRUE,UNIQUE(FILTER('Data Master'!$B$2:$B1887,'Data Master'!$C$2:$C1887=A330)))"),"petani")</f>
        <v>petani</v>
      </c>
      <c r="D330" s="40" t="str">
        <f>IFERROR(__xludf.DUMMYFUNCTION("TEXTJOIN("", "",TRUE,UNIQUE(FILTER('Data Master'!$D$2:$D1887,'Data Master'!$C$2:$C1887=A330)))"),"")</f>
        <v/>
      </c>
    </row>
    <row r="331" hidden="1">
      <c r="C331" s="40" t="str">
        <f>IFERROR(__xludf.DUMMYFUNCTION("TEXTJOIN("", "",TRUE,UNIQUE(FILTER('Data Master'!$B$2:$B1887,'Data Master'!$C$2:$C1887=A331)))"),"petani")</f>
        <v>petani</v>
      </c>
      <c r="D331" s="40" t="str">
        <f>IFERROR(__xludf.DUMMYFUNCTION("TEXTJOIN("", "",TRUE,UNIQUE(FILTER('Data Master'!$D$2:$D1887,'Data Master'!$C$2:$C1887=A331)))"),"")</f>
        <v/>
      </c>
    </row>
    <row r="332" hidden="1">
      <c r="C332" s="40" t="str">
        <f>IFERROR(__xludf.DUMMYFUNCTION("TEXTJOIN("", "",TRUE,UNIQUE(FILTER('Data Master'!$B$2:$B1887,'Data Master'!$C$2:$C1887=A332)))"),"petani")</f>
        <v>petani</v>
      </c>
      <c r="D332" s="40" t="str">
        <f>IFERROR(__xludf.DUMMYFUNCTION("TEXTJOIN("", "",TRUE,UNIQUE(FILTER('Data Master'!$D$2:$D1887,'Data Master'!$C$2:$C1887=A332)))"),"")</f>
        <v/>
      </c>
    </row>
    <row r="333" hidden="1">
      <c r="C333" s="40" t="str">
        <f>IFERROR(__xludf.DUMMYFUNCTION("TEXTJOIN("", "",TRUE,UNIQUE(FILTER('Data Master'!$B$2:$B1887,'Data Master'!$C$2:$C1887=A333)))"),"petani")</f>
        <v>petani</v>
      </c>
      <c r="D333" s="40" t="str">
        <f>IFERROR(__xludf.DUMMYFUNCTION("TEXTJOIN("", "",TRUE,UNIQUE(FILTER('Data Master'!$D$2:$D1887,'Data Master'!$C$2:$C1887=A333)))"),"")</f>
        <v/>
      </c>
    </row>
    <row r="334" hidden="1">
      <c r="C334" s="40" t="str">
        <f>IFERROR(__xludf.DUMMYFUNCTION("TEXTJOIN("", "",TRUE,UNIQUE(FILTER('Data Master'!$B$2:$B1887,'Data Master'!$C$2:$C1887=A334)))"),"petani")</f>
        <v>petani</v>
      </c>
      <c r="D334" s="40" t="str">
        <f>IFERROR(__xludf.DUMMYFUNCTION("TEXTJOIN("", "",TRUE,UNIQUE(FILTER('Data Master'!$D$2:$D1887,'Data Master'!$C$2:$C1887=A334)))"),"")</f>
        <v/>
      </c>
    </row>
    <row r="335" hidden="1">
      <c r="C335" s="40" t="str">
        <f>IFERROR(__xludf.DUMMYFUNCTION("TEXTJOIN("", "",TRUE,UNIQUE(FILTER('Data Master'!$B$2:$B1887,'Data Master'!$C$2:$C1887=A335)))"),"petani")</f>
        <v>petani</v>
      </c>
      <c r="D335" s="40" t="str">
        <f>IFERROR(__xludf.DUMMYFUNCTION("TEXTJOIN("", "",TRUE,UNIQUE(FILTER('Data Master'!$D$2:$D1887,'Data Master'!$C$2:$C1887=A335)))"),"")</f>
        <v/>
      </c>
    </row>
    <row r="336" hidden="1">
      <c r="C336" s="40" t="str">
        <f>IFERROR(__xludf.DUMMYFUNCTION("TEXTJOIN("", "",TRUE,UNIQUE(FILTER('Data Master'!$B$2:$B1887,'Data Master'!$C$2:$C1887=A336)))"),"petani")</f>
        <v>petani</v>
      </c>
      <c r="D336" s="40" t="str">
        <f>IFERROR(__xludf.DUMMYFUNCTION("TEXTJOIN("", "",TRUE,UNIQUE(FILTER('Data Master'!$D$2:$D1887,'Data Master'!$C$2:$C1887=A336)))"),"")</f>
        <v/>
      </c>
    </row>
    <row r="337" hidden="1">
      <c r="C337" s="40" t="str">
        <f>IFERROR(__xludf.DUMMYFUNCTION("TEXTJOIN("", "",TRUE,UNIQUE(FILTER('Data Master'!$B$2:$B1887,'Data Master'!$C$2:$C1887=A337)))"),"petani")</f>
        <v>petani</v>
      </c>
      <c r="D337" s="40" t="str">
        <f>IFERROR(__xludf.DUMMYFUNCTION("TEXTJOIN("", "",TRUE,UNIQUE(FILTER('Data Master'!$D$2:$D1887,'Data Master'!$C$2:$C1887=A337)))"),"")</f>
        <v/>
      </c>
    </row>
    <row r="338" hidden="1">
      <c r="C338" s="40" t="str">
        <f>IFERROR(__xludf.DUMMYFUNCTION("TEXTJOIN("", "",TRUE,UNIQUE(FILTER('Data Master'!$B$2:$B1887,'Data Master'!$C$2:$C1887=A338)))"),"petani")</f>
        <v>petani</v>
      </c>
      <c r="D338" s="40" t="str">
        <f>IFERROR(__xludf.DUMMYFUNCTION("TEXTJOIN("", "",TRUE,UNIQUE(FILTER('Data Master'!$D$2:$D1887,'Data Master'!$C$2:$C1887=A338)))"),"")</f>
        <v/>
      </c>
    </row>
    <row r="339" hidden="1">
      <c r="C339" s="40" t="str">
        <f>IFERROR(__xludf.DUMMYFUNCTION("TEXTJOIN("", "",TRUE,UNIQUE(FILTER('Data Master'!$B$2:$B1887,'Data Master'!$C$2:$C1887=A339)))"),"petani")</f>
        <v>petani</v>
      </c>
      <c r="D339" s="40" t="str">
        <f>IFERROR(__xludf.DUMMYFUNCTION("TEXTJOIN("", "",TRUE,UNIQUE(FILTER('Data Master'!$D$2:$D1887,'Data Master'!$C$2:$C1887=A339)))"),"")</f>
        <v/>
      </c>
    </row>
    <row r="340" hidden="1">
      <c r="C340" s="40" t="str">
        <f>IFERROR(__xludf.DUMMYFUNCTION("TEXTJOIN("", "",TRUE,UNIQUE(FILTER('Data Master'!$B$2:$B1887,'Data Master'!$C$2:$C1887=A340)))"),"petani")</f>
        <v>petani</v>
      </c>
      <c r="D340" s="40" t="str">
        <f>IFERROR(__xludf.DUMMYFUNCTION("TEXTJOIN("", "",TRUE,UNIQUE(FILTER('Data Master'!$D$2:$D1887,'Data Master'!$C$2:$C1887=A340)))"),"")</f>
        <v/>
      </c>
    </row>
    <row r="341" hidden="1">
      <c r="C341" s="40" t="str">
        <f>IFERROR(__xludf.DUMMYFUNCTION("TEXTJOIN("", "",TRUE,UNIQUE(FILTER('Data Master'!$B$2:$B1887,'Data Master'!$C$2:$C1887=A341)))"),"petani")</f>
        <v>petani</v>
      </c>
      <c r="D341" s="40" t="str">
        <f>IFERROR(__xludf.DUMMYFUNCTION("TEXTJOIN("", "",TRUE,UNIQUE(FILTER('Data Master'!$D$2:$D1887,'Data Master'!$C$2:$C1887=A341)))"),"")</f>
        <v/>
      </c>
    </row>
    <row r="342" hidden="1">
      <c r="C342" s="40" t="str">
        <f>IFERROR(__xludf.DUMMYFUNCTION("TEXTJOIN("", "",TRUE,UNIQUE(FILTER('Data Master'!$B$2:$B1887,'Data Master'!$C$2:$C1887=A342)))"),"petani")</f>
        <v>petani</v>
      </c>
      <c r="D342" s="40" t="str">
        <f>IFERROR(__xludf.DUMMYFUNCTION("TEXTJOIN("", "",TRUE,UNIQUE(FILTER('Data Master'!$D$2:$D1887,'Data Master'!$C$2:$C1887=A342)))"),"")</f>
        <v/>
      </c>
    </row>
    <row r="343" hidden="1">
      <c r="C343" s="40" t="str">
        <f>IFERROR(__xludf.DUMMYFUNCTION("TEXTJOIN("", "",TRUE,UNIQUE(FILTER('Data Master'!$B$2:$B1887,'Data Master'!$C$2:$C1887=A343)))"),"petani")</f>
        <v>petani</v>
      </c>
      <c r="D343" s="40" t="str">
        <f>IFERROR(__xludf.DUMMYFUNCTION("TEXTJOIN("", "",TRUE,UNIQUE(FILTER('Data Master'!$D$2:$D1887,'Data Master'!$C$2:$C1887=A343)))"),"")</f>
        <v/>
      </c>
    </row>
    <row r="344" hidden="1">
      <c r="C344" s="40" t="str">
        <f>IFERROR(__xludf.DUMMYFUNCTION("TEXTJOIN("", "",TRUE,UNIQUE(FILTER('Data Master'!$B$2:$B1887,'Data Master'!$C$2:$C1887=A344)))"),"petani")</f>
        <v>petani</v>
      </c>
      <c r="D344" s="40" t="str">
        <f>IFERROR(__xludf.DUMMYFUNCTION("TEXTJOIN("", "",TRUE,UNIQUE(FILTER('Data Master'!$D$2:$D1887,'Data Master'!$C$2:$C1887=A344)))"),"")</f>
        <v/>
      </c>
    </row>
    <row r="345" hidden="1">
      <c r="C345" s="40" t="str">
        <f>IFERROR(__xludf.DUMMYFUNCTION("TEXTJOIN("", "",TRUE,UNIQUE(FILTER('Data Master'!$B$2:$B1887,'Data Master'!$C$2:$C1887=A345)))"),"petani")</f>
        <v>petani</v>
      </c>
      <c r="D345" s="40" t="str">
        <f>IFERROR(__xludf.DUMMYFUNCTION("TEXTJOIN("", "",TRUE,UNIQUE(FILTER('Data Master'!$D$2:$D1887,'Data Master'!$C$2:$C1887=A345)))"),"")</f>
        <v/>
      </c>
    </row>
    <row r="346" hidden="1">
      <c r="C346" s="40" t="str">
        <f>IFERROR(__xludf.DUMMYFUNCTION("TEXTJOIN("", "",TRUE,UNIQUE(FILTER('Data Master'!$B$2:$B1887,'Data Master'!$C$2:$C1887=A346)))"),"petani")</f>
        <v>petani</v>
      </c>
      <c r="D346" s="40" t="str">
        <f>IFERROR(__xludf.DUMMYFUNCTION("TEXTJOIN("", "",TRUE,UNIQUE(FILTER('Data Master'!$D$2:$D1887,'Data Master'!$C$2:$C1887=A346)))"),"")</f>
        <v/>
      </c>
    </row>
    <row r="347" hidden="1">
      <c r="C347" s="40" t="str">
        <f>IFERROR(__xludf.DUMMYFUNCTION("TEXTJOIN("", "",TRUE,UNIQUE(FILTER('Data Master'!$B$2:$B1887,'Data Master'!$C$2:$C1887=A347)))"),"petani")</f>
        <v>petani</v>
      </c>
      <c r="D347" s="40" t="str">
        <f>IFERROR(__xludf.DUMMYFUNCTION("TEXTJOIN("", "",TRUE,UNIQUE(FILTER('Data Master'!$D$2:$D1887,'Data Master'!$C$2:$C1887=A347)))"),"")</f>
        <v/>
      </c>
    </row>
    <row r="348" hidden="1">
      <c r="C348" s="40" t="str">
        <f>IFERROR(__xludf.DUMMYFUNCTION("TEXTJOIN("", "",TRUE,UNIQUE(FILTER('Data Master'!$B$2:$B1887,'Data Master'!$C$2:$C1887=A348)))"),"petani")</f>
        <v>petani</v>
      </c>
      <c r="D348" s="40" t="str">
        <f>IFERROR(__xludf.DUMMYFUNCTION("TEXTJOIN("", "",TRUE,UNIQUE(FILTER('Data Master'!$D$2:$D1887,'Data Master'!$C$2:$C1887=A348)))"),"")</f>
        <v/>
      </c>
    </row>
    <row r="349" hidden="1">
      <c r="C349" s="40" t="str">
        <f>IFERROR(__xludf.DUMMYFUNCTION("TEXTJOIN("", "",TRUE,UNIQUE(FILTER('Data Master'!$B$2:$B1887,'Data Master'!$C$2:$C1887=A349)))"),"petani")</f>
        <v>petani</v>
      </c>
      <c r="D349" s="40" t="str">
        <f>IFERROR(__xludf.DUMMYFUNCTION("TEXTJOIN("", "",TRUE,UNIQUE(FILTER('Data Master'!$D$2:$D1887,'Data Master'!$C$2:$C1887=A349)))"),"")</f>
        <v/>
      </c>
    </row>
    <row r="350" hidden="1">
      <c r="C350" s="40" t="str">
        <f>IFERROR(__xludf.DUMMYFUNCTION("TEXTJOIN("", "",TRUE,UNIQUE(FILTER('Data Master'!$B$2:$B1887,'Data Master'!$C$2:$C1887=A350)))"),"petani")</f>
        <v>petani</v>
      </c>
      <c r="D350" s="40" t="str">
        <f>IFERROR(__xludf.DUMMYFUNCTION("TEXTJOIN("", "",TRUE,UNIQUE(FILTER('Data Master'!$D$2:$D1887,'Data Master'!$C$2:$C1887=A350)))"),"")</f>
        <v/>
      </c>
    </row>
    <row r="351" hidden="1">
      <c r="C351" s="40" t="str">
        <f>IFERROR(__xludf.DUMMYFUNCTION("TEXTJOIN("", "",TRUE,UNIQUE(FILTER('Data Master'!$B$2:$B1887,'Data Master'!$C$2:$C1887=A351)))"),"petani")</f>
        <v>petani</v>
      </c>
      <c r="D351" s="40" t="str">
        <f>IFERROR(__xludf.DUMMYFUNCTION("TEXTJOIN("", "",TRUE,UNIQUE(FILTER('Data Master'!$D$2:$D1887,'Data Master'!$C$2:$C1887=A351)))"),"")</f>
        <v/>
      </c>
    </row>
    <row r="352" hidden="1">
      <c r="C352" s="40" t="str">
        <f>IFERROR(__xludf.DUMMYFUNCTION("TEXTJOIN("", "",TRUE,UNIQUE(FILTER('Data Master'!$B$2:$B1887,'Data Master'!$C$2:$C1887=A352)))"),"petani")</f>
        <v>petani</v>
      </c>
      <c r="D352" s="40" t="str">
        <f>IFERROR(__xludf.DUMMYFUNCTION("TEXTJOIN("", "",TRUE,UNIQUE(FILTER('Data Master'!$D$2:$D1887,'Data Master'!$C$2:$C1887=A352)))"),"")</f>
        <v/>
      </c>
    </row>
    <row r="353" hidden="1">
      <c r="C353" s="40" t="str">
        <f>IFERROR(__xludf.DUMMYFUNCTION("TEXTJOIN("", "",TRUE,UNIQUE(FILTER('Data Master'!$B$2:$B1887,'Data Master'!$C$2:$C1887=A353)))"),"penyuluh")</f>
        <v>penyuluh</v>
      </c>
      <c r="D353" s="40" t="str">
        <f>IFERROR(__xludf.DUMMYFUNCTION("TEXTJOIN("", "",TRUE,UNIQUE(FILTER('Data Master'!$D$2:$D1887,'Data Master'!$C$2:$C1887=A353)))"),"")</f>
        <v/>
      </c>
    </row>
    <row r="354" hidden="1">
      <c r="C354" s="40" t="str">
        <f>IFERROR(__xludf.DUMMYFUNCTION("TEXTJOIN("", "",TRUE,UNIQUE(FILTER('Data Master'!$B$2:$B1887,'Data Master'!$C$2:$C1887=A354)))"),"petani")</f>
        <v>petani</v>
      </c>
      <c r="D354" s="40" t="str">
        <f>IFERROR(__xludf.DUMMYFUNCTION("TEXTJOIN("", "",TRUE,UNIQUE(FILTER('Data Master'!$D$2:$D1887,'Data Master'!$C$2:$C1887=A354)))"),"")</f>
        <v/>
      </c>
    </row>
    <row r="355" hidden="1">
      <c r="C355" s="40" t="str">
        <f>IFERROR(__xludf.DUMMYFUNCTION("TEXTJOIN("", "",TRUE,UNIQUE(FILTER('Data Master'!$B$2:$B1887,'Data Master'!$C$2:$C1887=A355)))"),"penyuluh")</f>
        <v>penyuluh</v>
      </c>
      <c r="D355" s="40" t="str">
        <f>IFERROR(__xludf.DUMMYFUNCTION("TEXTJOIN("", "",TRUE,UNIQUE(FILTER('Data Master'!$D$2:$D1887,'Data Master'!$C$2:$C1887=A355)))"),"")</f>
        <v/>
      </c>
    </row>
    <row r="356" hidden="1">
      <c r="C356" s="40" t="str">
        <f>IFERROR(__xludf.DUMMYFUNCTION("TEXTJOIN("", "",TRUE,UNIQUE(FILTER('Data Master'!$B$2:$B1887,'Data Master'!$C$2:$C1887=A356)))"),"petani")</f>
        <v>petani</v>
      </c>
      <c r="D356" s="40" t="str">
        <f>IFERROR(__xludf.DUMMYFUNCTION("TEXTJOIN("", "",TRUE,UNIQUE(FILTER('Data Master'!$D$2:$D1887,'Data Master'!$C$2:$C1887=A356)))"),"")</f>
        <v/>
      </c>
    </row>
    <row r="357" hidden="1">
      <c r="C357" s="40" t="str">
        <f>IFERROR(__xludf.DUMMYFUNCTION("TEXTJOIN("", "",TRUE,UNIQUE(FILTER('Data Master'!$B$2:$B1887,'Data Master'!$C$2:$C1887=A357)))"),"petani")</f>
        <v>petani</v>
      </c>
      <c r="D357" s="40" t="str">
        <f>IFERROR(__xludf.DUMMYFUNCTION("TEXTJOIN("", "",TRUE,UNIQUE(FILTER('Data Master'!$D$2:$D1887,'Data Master'!$C$2:$C1887=A357)))"),"")</f>
        <v/>
      </c>
    </row>
    <row r="358" hidden="1">
      <c r="C358" s="40" t="str">
        <f>IFERROR(__xludf.DUMMYFUNCTION("TEXTJOIN("", "",TRUE,UNIQUE(FILTER('Data Master'!$B$2:$B1887,'Data Master'!$C$2:$C1887=A358)))"),"petani")</f>
        <v>petani</v>
      </c>
      <c r="D358" s="40" t="str">
        <f>IFERROR(__xludf.DUMMYFUNCTION("TEXTJOIN("", "",TRUE,UNIQUE(FILTER('Data Master'!$D$2:$D1887,'Data Master'!$C$2:$C1887=A358)))"),"")</f>
        <v/>
      </c>
    </row>
    <row r="359" hidden="1">
      <c r="C359" s="40" t="str">
        <f>IFERROR(__xludf.DUMMYFUNCTION("TEXTJOIN("", "",TRUE,UNIQUE(FILTER('Data Master'!$B$2:$B1887,'Data Master'!$C$2:$C1887=A359)))"),"petani")</f>
        <v>petani</v>
      </c>
      <c r="D359" s="40" t="str">
        <f>IFERROR(__xludf.DUMMYFUNCTION("TEXTJOIN("", "",TRUE,UNIQUE(FILTER('Data Master'!$D$2:$D1887,'Data Master'!$C$2:$C1887=A359)))"),"")</f>
        <v/>
      </c>
    </row>
    <row r="360" hidden="1">
      <c r="C360" s="40" t="str">
        <f>IFERROR(__xludf.DUMMYFUNCTION("TEXTJOIN("", "",TRUE,UNIQUE(FILTER('Data Master'!$B$2:$B1887,'Data Master'!$C$2:$C1887=A360)))"),"petani")</f>
        <v>petani</v>
      </c>
      <c r="D360" s="40" t="str">
        <f>IFERROR(__xludf.DUMMYFUNCTION("TEXTJOIN("", "",TRUE,UNIQUE(FILTER('Data Master'!$D$2:$D1887,'Data Master'!$C$2:$C1887=A360)))"),"")</f>
        <v/>
      </c>
    </row>
    <row r="361" hidden="1">
      <c r="C361" s="40" t="str">
        <f>IFERROR(__xludf.DUMMYFUNCTION("TEXTJOIN("", "",TRUE,UNIQUE(FILTER('Data Master'!$B$2:$B1887,'Data Master'!$C$2:$C1887=A361)))"),"petani")</f>
        <v>petani</v>
      </c>
      <c r="D361" s="40" t="str">
        <f>IFERROR(__xludf.DUMMYFUNCTION("TEXTJOIN("", "",TRUE,UNIQUE(FILTER('Data Master'!$D$2:$D1887,'Data Master'!$C$2:$C1887=A361)))"),"")</f>
        <v/>
      </c>
    </row>
    <row r="362" hidden="1">
      <c r="C362" s="40" t="str">
        <f>IFERROR(__xludf.DUMMYFUNCTION("TEXTJOIN("", "",TRUE,UNIQUE(FILTER('Data Master'!$B$2:$B1887,'Data Master'!$C$2:$C1887=A362)))"),"petani")</f>
        <v>petani</v>
      </c>
      <c r="D362" s="40" t="str">
        <f>IFERROR(__xludf.DUMMYFUNCTION("TEXTJOIN("", "",TRUE,UNIQUE(FILTER('Data Master'!$D$2:$D1887,'Data Master'!$C$2:$C1887=A362)))"),"")</f>
        <v/>
      </c>
    </row>
    <row r="363" hidden="1">
      <c r="C363" s="40" t="str">
        <f>IFERROR(__xludf.DUMMYFUNCTION("TEXTJOIN("", "",TRUE,UNIQUE(FILTER('Data Master'!$B$2:$B1887,'Data Master'!$C$2:$C1887=A363)))"),"petani")</f>
        <v>petani</v>
      </c>
      <c r="D363" s="40" t="str">
        <f>IFERROR(__xludf.DUMMYFUNCTION("TEXTJOIN("", "",TRUE,UNIQUE(FILTER('Data Master'!$D$2:$D1887,'Data Master'!$C$2:$C1887=A363)))"),"")</f>
        <v/>
      </c>
    </row>
    <row r="364" hidden="1">
      <c r="C364" s="40" t="str">
        <f>IFERROR(__xludf.DUMMYFUNCTION("TEXTJOIN("", "",TRUE,UNIQUE(FILTER('Data Master'!$B$2:$B1887,'Data Master'!$C$2:$C1887=A364)))"),"petani")</f>
        <v>petani</v>
      </c>
      <c r="D364" s="40" t="str">
        <f>IFERROR(__xludf.DUMMYFUNCTION("TEXTJOIN("", "",TRUE,UNIQUE(FILTER('Data Master'!$D$2:$D1887,'Data Master'!$C$2:$C1887=A364)))"),"")</f>
        <v/>
      </c>
    </row>
    <row r="365" hidden="1">
      <c r="C365" s="40" t="str">
        <f>IFERROR(__xludf.DUMMYFUNCTION("TEXTJOIN("", "",TRUE,UNIQUE(FILTER('Data Master'!$B$2:$B1887,'Data Master'!$C$2:$C1887=A365)))"),"petani")</f>
        <v>petani</v>
      </c>
      <c r="D365" s="40" t="str">
        <f>IFERROR(__xludf.DUMMYFUNCTION("TEXTJOIN("", "",TRUE,UNIQUE(FILTER('Data Master'!$D$2:$D1887,'Data Master'!$C$2:$C1887=A365)))"),"")</f>
        <v/>
      </c>
    </row>
    <row r="366" hidden="1">
      <c r="C366" s="40" t="str">
        <f>IFERROR(__xludf.DUMMYFUNCTION("TEXTJOIN("", "",TRUE,UNIQUE(FILTER('Data Master'!$B$2:$B1887,'Data Master'!$C$2:$C1887=A366)))"),"petani")</f>
        <v>petani</v>
      </c>
      <c r="D366" s="40" t="str">
        <f>IFERROR(__xludf.DUMMYFUNCTION("TEXTJOIN("", "",TRUE,UNIQUE(FILTER('Data Master'!$D$2:$D1887,'Data Master'!$C$2:$C1887=A366)))"),"")</f>
        <v/>
      </c>
    </row>
    <row r="367" hidden="1">
      <c r="C367" s="40" t="str">
        <f>IFERROR(__xludf.DUMMYFUNCTION("TEXTJOIN("", "",TRUE,UNIQUE(FILTER('Data Master'!$B$2:$B1887,'Data Master'!$C$2:$C1887=A367)))"),"petani")</f>
        <v>petani</v>
      </c>
      <c r="D367" s="40" t="str">
        <f>IFERROR(__xludf.DUMMYFUNCTION("TEXTJOIN("", "",TRUE,UNIQUE(FILTER('Data Master'!$D$2:$D1887,'Data Master'!$C$2:$C1887=A367)))"),"")</f>
        <v/>
      </c>
    </row>
    <row r="368" hidden="1">
      <c r="C368" s="40" t="str">
        <f>IFERROR(__xludf.DUMMYFUNCTION("TEXTJOIN("", "",TRUE,UNIQUE(FILTER('Data Master'!$B$2:$B1887,'Data Master'!$C$2:$C1887=A368)))"),"petani")</f>
        <v>petani</v>
      </c>
      <c r="D368" s="40" t="str">
        <f>IFERROR(__xludf.DUMMYFUNCTION("TEXTJOIN("", "",TRUE,UNIQUE(FILTER('Data Master'!$D$2:$D1887,'Data Master'!$C$2:$C1887=A368)))"),"")</f>
        <v/>
      </c>
    </row>
    <row r="369" hidden="1">
      <c r="C369" s="40" t="str">
        <f>IFERROR(__xludf.DUMMYFUNCTION("TEXTJOIN("", "",TRUE,UNIQUE(FILTER('Data Master'!$B$2:$B1887,'Data Master'!$C$2:$C1887=A369)))"),"petani")</f>
        <v>petani</v>
      </c>
      <c r="D369" s="40" t="str">
        <f>IFERROR(__xludf.DUMMYFUNCTION("TEXTJOIN("", "",TRUE,UNIQUE(FILTER('Data Master'!$D$2:$D1887,'Data Master'!$C$2:$C1887=A369)))"),"")</f>
        <v/>
      </c>
    </row>
    <row r="370" hidden="1">
      <c r="C370" s="40" t="str">
        <f>IFERROR(__xludf.DUMMYFUNCTION("TEXTJOIN("", "",TRUE,UNIQUE(FILTER('Data Master'!$B$2:$B1887,'Data Master'!$C$2:$C1887=A370)))"),"petani")</f>
        <v>petani</v>
      </c>
      <c r="D370" s="40" t="str">
        <f>IFERROR(__xludf.DUMMYFUNCTION("TEXTJOIN("", "",TRUE,UNIQUE(FILTER('Data Master'!$D$2:$D1887,'Data Master'!$C$2:$C1887=A370)))"),"")</f>
        <v/>
      </c>
    </row>
    <row r="371" hidden="1">
      <c r="C371" s="40" t="str">
        <f>IFERROR(__xludf.DUMMYFUNCTION("TEXTJOIN("", "",TRUE,UNIQUE(FILTER('Data Master'!$B$2:$B1887,'Data Master'!$C$2:$C1887=A371)))"),"petani")</f>
        <v>petani</v>
      </c>
      <c r="D371" s="40" t="str">
        <f>IFERROR(__xludf.DUMMYFUNCTION("TEXTJOIN("", "",TRUE,UNIQUE(FILTER('Data Master'!$D$2:$D1887,'Data Master'!$C$2:$C1887=A371)))"),"")</f>
        <v/>
      </c>
    </row>
    <row r="372" hidden="1">
      <c r="C372" s="40" t="str">
        <f>IFERROR(__xludf.DUMMYFUNCTION("TEXTJOIN("", "",TRUE,UNIQUE(FILTER('Data Master'!$B$2:$B1887,'Data Master'!$C$2:$C1887=A372)))"),"penyuluh")</f>
        <v>penyuluh</v>
      </c>
      <c r="D372" s="40" t="str">
        <f>IFERROR(__xludf.DUMMYFUNCTION("TEXTJOIN("", "",TRUE,UNIQUE(FILTER('Data Master'!$D$2:$D1887,'Data Master'!$C$2:$C1887=A372)))"),"awaludin.sttp@gmail.com")</f>
        <v>awaludin.sttp@gmail.com</v>
      </c>
    </row>
    <row r="373" hidden="1">
      <c r="C373" s="40" t="str">
        <f>IFERROR(__xludf.DUMMYFUNCTION("TEXTJOIN("", "",TRUE,UNIQUE(FILTER('Data Master'!$B$2:$B1887,'Data Master'!$C$2:$C1887=A373)))"),"petani")</f>
        <v>petani</v>
      </c>
      <c r="D373" s="40" t="str">
        <f>IFERROR(__xludf.DUMMYFUNCTION("TEXTJOIN("", "",TRUE,UNIQUE(FILTER('Data Master'!$D$2:$D1887,'Data Master'!$C$2:$C1887=A373)))"),"")</f>
        <v/>
      </c>
    </row>
    <row r="374" hidden="1">
      <c r="C374" s="40" t="str">
        <f>IFERROR(__xludf.DUMMYFUNCTION("TEXTJOIN("", "",TRUE,UNIQUE(FILTER('Data Master'!$B$2:$B1887,'Data Master'!$C$2:$C1887=A374)))"),"petani")</f>
        <v>petani</v>
      </c>
      <c r="D374" s="40" t="str">
        <f>IFERROR(__xludf.DUMMYFUNCTION("TEXTJOIN("", "",TRUE,UNIQUE(FILTER('Data Master'!$D$2:$D1887,'Data Master'!$C$2:$C1887=A374)))"),"")</f>
        <v/>
      </c>
    </row>
    <row r="375" hidden="1">
      <c r="C375" s="40" t="str">
        <f>IFERROR(__xludf.DUMMYFUNCTION("TEXTJOIN("", "",TRUE,UNIQUE(FILTER('Data Master'!$B$2:$B1887,'Data Master'!$C$2:$C1887=A375)))"),"operator admin, penyuluh")</f>
        <v>operator admin, penyuluh</v>
      </c>
      <c r="D375" s="40" t="str">
        <f>IFERROR(__xludf.DUMMYFUNCTION("TEXTJOIN("", "",TRUE,UNIQUE(FILTER('Data Master'!$D$2:$D1887,'Data Master'!$C$2:$C1887=A375)))"),"bppkendalngawi@gmail.com, azheez7981@gmail.com")</f>
        <v>bppkendalngawi@gmail.com, azheez7981@gmail.com</v>
      </c>
    </row>
    <row r="376" hidden="1">
      <c r="C376" s="40" t="str">
        <f>IFERROR(__xludf.DUMMYFUNCTION("TEXTJOIN("", "",TRUE,UNIQUE(FILTER('Data Master'!$B$2:$B1887,'Data Master'!$C$2:$C1887=A376)))"),"petani")</f>
        <v>petani</v>
      </c>
      <c r="D376" s="40" t="str">
        <f>IFERROR(__xludf.DUMMYFUNCTION("TEXTJOIN("", "",TRUE,UNIQUE(FILTER('Data Master'!$D$2:$D1887,'Data Master'!$C$2:$C1887=A376)))"),"")</f>
        <v/>
      </c>
    </row>
    <row r="377" hidden="1">
      <c r="C377" s="40" t="str">
        <f>IFERROR(__xludf.DUMMYFUNCTION("TEXTJOIN("", "",TRUE,UNIQUE(FILTER('Data Master'!$B$2:$B1887,'Data Master'!$C$2:$C1887=A377)))"),"petani")</f>
        <v>petani</v>
      </c>
      <c r="D377" s="40" t="str">
        <f>IFERROR(__xludf.DUMMYFUNCTION("TEXTJOIN("", "",TRUE,UNIQUE(FILTER('Data Master'!$D$2:$D1887,'Data Master'!$C$2:$C1887=A377)))"),"")</f>
        <v/>
      </c>
    </row>
    <row r="378" hidden="1">
      <c r="C378" s="40" t="str">
        <f>IFERROR(__xludf.DUMMYFUNCTION("TEXTJOIN("", "",TRUE,UNIQUE(FILTER('Data Master'!$B$2:$B1887,'Data Master'!$C$2:$C1887=A378)))"),"petani")</f>
        <v>petani</v>
      </c>
      <c r="D378" s="40" t="str">
        <f>IFERROR(__xludf.DUMMYFUNCTION("TEXTJOIN("", "",TRUE,UNIQUE(FILTER('Data Master'!$D$2:$D1887,'Data Master'!$C$2:$C1887=A378)))"),"")</f>
        <v/>
      </c>
    </row>
    <row r="379" hidden="1">
      <c r="C379" s="40" t="str">
        <f>IFERROR(__xludf.DUMMYFUNCTION("TEXTJOIN("", "",TRUE,UNIQUE(FILTER('Data Master'!$B$2:$B1887,'Data Master'!$C$2:$C1887=A379)))"),"petani")</f>
        <v>petani</v>
      </c>
      <c r="D379" s="40" t="str">
        <f>IFERROR(__xludf.DUMMYFUNCTION("TEXTJOIN("", "",TRUE,UNIQUE(FILTER('Data Master'!$D$2:$D1887,'Data Master'!$C$2:$C1887=A379)))"),"")</f>
        <v/>
      </c>
    </row>
    <row r="380" hidden="1">
      <c r="C380" s="40" t="str">
        <f>IFERROR(__xludf.DUMMYFUNCTION("TEXTJOIN("", "",TRUE,UNIQUE(FILTER('Data Master'!$B$2:$B1887,'Data Master'!$C$2:$C1887=A380)))"),"petani")</f>
        <v>petani</v>
      </c>
      <c r="D380" s="40" t="str">
        <f>IFERROR(__xludf.DUMMYFUNCTION("TEXTJOIN("", "",TRUE,UNIQUE(FILTER('Data Master'!$D$2:$D1887,'Data Master'!$C$2:$C1887=A380)))"),"")</f>
        <v/>
      </c>
    </row>
    <row r="381" hidden="1">
      <c r="C381" s="40" t="str">
        <f>IFERROR(__xludf.DUMMYFUNCTION("TEXTJOIN("", "",TRUE,UNIQUE(FILTER('Data Master'!$B$2:$B1887,'Data Master'!$C$2:$C1887=A381)))"),"petani")</f>
        <v>petani</v>
      </c>
      <c r="D381" s="40" t="str">
        <f>IFERROR(__xludf.DUMMYFUNCTION("TEXTJOIN("", "",TRUE,UNIQUE(FILTER('Data Master'!$D$2:$D1887,'Data Master'!$C$2:$C1887=A381)))"),"")</f>
        <v/>
      </c>
    </row>
    <row r="382" hidden="1">
      <c r="C382" s="40" t="str">
        <f>IFERROR(__xludf.DUMMYFUNCTION("TEXTJOIN("", "",TRUE,UNIQUE(FILTER('Data Master'!$B$2:$B1887,'Data Master'!$C$2:$C1887=A382)))"),"petani")</f>
        <v>petani</v>
      </c>
      <c r="D382" s="40" t="str">
        <f>IFERROR(__xludf.DUMMYFUNCTION("TEXTJOIN("", "",TRUE,UNIQUE(FILTER('Data Master'!$D$2:$D1887,'Data Master'!$C$2:$C1887=A382)))"),"")</f>
        <v/>
      </c>
    </row>
    <row r="383" hidden="1">
      <c r="C383" s="40" t="str">
        <f>IFERROR(__xludf.DUMMYFUNCTION("TEXTJOIN("", "",TRUE,UNIQUE(FILTER('Data Master'!$B$2:$B1887,'Data Master'!$C$2:$C1887=A383)))"),"petani")</f>
        <v>petani</v>
      </c>
      <c r="D383" s="40" t="str">
        <f>IFERROR(__xludf.DUMMYFUNCTION("TEXTJOIN("", "",TRUE,UNIQUE(FILTER('Data Master'!$D$2:$D1887,'Data Master'!$C$2:$C1887=A383)))"),"")</f>
        <v/>
      </c>
    </row>
    <row r="384" hidden="1">
      <c r="C384" s="40" t="str">
        <f>IFERROR(__xludf.DUMMYFUNCTION("TEXTJOIN("", "",TRUE,UNIQUE(FILTER('Data Master'!$B$2:$B1887,'Data Master'!$C$2:$C1887=A384)))"),"petani")</f>
        <v>petani</v>
      </c>
      <c r="D384" s="40" t="str">
        <f>IFERROR(__xludf.DUMMYFUNCTION("TEXTJOIN("", "",TRUE,UNIQUE(FILTER('Data Master'!$D$2:$D1887,'Data Master'!$C$2:$C1887=A384)))"),"")</f>
        <v/>
      </c>
    </row>
    <row r="385" hidden="1">
      <c r="C385" s="40" t="str">
        <f>IFERROR(__xludf.DUMMYFUNCTION("TEXTJOIN("", "",TRUE,UNIQUE(FILTER('Data Master'!$B$2:$B1887,'Data Master'!$C$2:$C1887=A385)))"),"petani")</f>
        <v>petani</v>
      </c>
      <c r="D385" s="40" t="str">
        <f>IFERROR(__xludf.DUMMYFUNCTION("TEXTJOIN("", "",TRUE,UNIQUE(FILTER('Data Master'!$D$2:$D1887,'Data Master'!$C$2:$C1887=A385)))"),"")</f>
        <v/>
      </c>
    </row>
    <row r="386" hidden="1">
      <c r="C386" s="40" t="str">
        <f>IFERROR(__xludf.DUMMYFUNCTION("TEXTJOIN("", "",TRUE,UNIQUE(FILTER('Data Master'!$B$2:$B1887,'Data Master'!$C$2:$C1887=A386)))"),"petani")</f>
        <v>petani</v>
      </c>
      <c r="D386" s="40" t="str">
        <f>IFERROR(__xludf.DUMMYFUNCTION("TEXTJOIN("", "",TRUE,UNIQUE(FILTER('Data Master'!$D$2:$D1887,'Data Master'!$C$2:$C1887=A386)))"),"")</f>
        <v/>
      </c>
    </row>
    <row r="387" hidden="1">
      <c r="C387" s="40" t="str">
        <f>IFERROR(__xludf.DUMMYFUNCTION("TEXTJOIN("", "",TRUE,UNIQUE(FILTER('Data Master'!$B$2:$B1887,'Data Master'!$C$2:$C1887=A387)))"),"petani")</f>
        <v>petani</v>
      </c>
      <c r="D387" s="40" t="str">
        <f>IFERROR(__xludf.DUMMYFUNCTION("TEXTJOIN("", "",TRUE,UNIQUE(FILTER('Data Master'!$D$2:$D1887,'Data Master'!$C$2:$C1887=A387)))"),"")</f>
        <v/>
      </c>
    </row>
    <row r="388" hidden="1">
      <c r="C388" s="40" t="str">
        <f>IFERROR(__xludf.DUMMYFUNCTION("TEXTJOIN("", "",TRUE,UNIQUE(FILTER('Data Master'!$B$2:$B1887,'Data Master'!$C$2:$C1887=A388)))"),"petani")</f>
        <v>petani</v>
      </c>
      <c r="D388" s="40" t="str">
        <f>IFERROR(__xludf.DUMMYFUNCTION("TEXTJOIN("", "",TRUE,UNIQUE(FILTER('Data Master'!$D$2:$D1887,'Data Master'!$C$2:$C1887=A388)))"),"")</f>
        <v/>
      </c>
    </row>
    <row r="389" hidden="1">
      <c r="C389" s="40" t="str">
        <f>IFERROR(__xludf.DUMMYFUNCTION("TEXTJOIN("", "",TRUE,UNIQUE(FILTER('Data Master'!$B$2:$B1887,'Data Master'!$C$2:$C1887=A389)))"),"petani")</f>
        <v>petani</v>
      </c>
      <c r="D389" s="40" t="str">
        <f>IFERROR(__xludf.DUMMYFUNCTION("TEXTJOIN("", "",TRUE,UNIQUE(FILTER('Data Master'!$D$2:$D1887,'Data Master'!$C$2:$C1887=A389)))"),"")</f>
        <v/>
      </c>
    </row>
    <row r="390" hidden="1">
      <c r="C390" s="40" t="str">
        <f>IFERROR(__xludf.DUMMYFUNCTION("TEXTJOIN("", "",TRUE,UNIQUE(FILTER('Data Master'!$B$2:$B1887,'Data Master'!$C$2:$C1887=A390)))"),"petani")</f>
        <v>petani</v>
      </c>
      <c r="D390" s="40" t="str">
        <f>IFERROR(__xludf.DUMMYFUNCTION("TEXTJOIN("", "",TRUE,UNIQUE(FILTER('Data Master'!$D$2:$D1887,'Data Master'!$C$2:$C1887=A390)))"),"")</f>
        <v/>
      </c>
    </row>
    <row r="391" hidden="1">
      <c r="C391" s="40" t="str">
        <f>IFERROR(__xludf.DUMMYFUNCTION("TEXTJOIN("", "",TRUE,UNIQUE(FILTER('Data Master'!$B$2:$B1887,'Data Master'!$C$2:$C1887=A391)))"),"petani")</f>
        <v>petani</v>
      </c>
      <c r="D391" s="40" t="str">
        <f>IFERROR(__xludf.DUMMYFUNCTION("TEXTJOIN("", "",TRUE,UNIQUE(FILTER('Data Master'!$D$2:$D1887,'Data Master'!$C$2:$C1887=A391)))"),"")</f>
        <v/>
      </c>
    </row>
    <row r="392" hidden="1">
      <c r="C392" s="40" t="str">
        <f>IFERROR(__xludf.DUMMYFUNCTION("TEXTJOIN("", "",TRUE,UNIQUE(FILTER('Data Master'!$B$2:$B1887,'Data Master'!$C$2:$C1887=A392)))"),"petani")</f>
        <v>petani</v>
      </c>
      <c r="D392" s="40" t="str">
        <f>IFERROR(__xludf.DUMMYFUNCTION("TEXTJOIN("", "",TRUE,UNIQUE(FILTER('Data Master'!$D$2:$D1887,'Data Master'!$C$2:$C1887=A392)))"),"")</f>
        <v/>
      </c>
    </row>
    <row r="393" hidden="1">
      <c r="C393" s="40" t="str">
        <f>IFERROR(__xludf.DUMMYFUNCTION("TEXTJOIN("", "",TRUE,UNIQUE(FILTER('Data Master'!$B$2:$B1887,'Data Master'!$C$2:$C1887=A393)))"),"petani")</f>
        <v>petani</v>
      </c>
      <c r="D393" s="40" t="str">
        <f>IFERROR(__xludf.DUMMYFUNCTION("TEXTJOIN("", "",TRUE,UNIQUE(FILTER('Data Master'!$D$2:$D1887,'Data Master'!$C$2:$C1887=A393)))"),"")</f>
        <v/>
      </c>
    </row>
    <row r="394" hidden="1">
      <c r="C394" s="40" t="str">
        <f>IFERROR(__xludf.DUMMYFUNCTION("TEXTJOIN("", "",TRUE,UNIQUE(FILTER('Data Master'!$B$2:$B1887,'Data Master'!$C$2:$C1887=A394)))"),"petani")</f>
        <v>petani</v>
      </c>
      <c r="D394" s="40" t="str">
        <f>IFERROR(__xludf.DUMMYFUNCTION("TEXTJOIN("", "",TRUE,UNIQUE(FILTER('Data Master'!$D$2:$D1887,'Data Master'!$C$2:$C1887=A394)))"),"")</f>
        <v/>
      </c>
    </row>
    <row r="395" hidden="1">
      <c r="C395" s="40" t="str">
        <f>IFERROR(__xludf.DUMMYFUNCTION("TEXTJOIN("", "",TRUE,UNIQUE(FILTER('Data Master'!$B$2:$B1887,'Data Master'!$C$2:$C1887=A395)))"),"petani")</f>
        <v>petani</v>
      </c>
      <c r="D395" s="40" t="str">
        <f>IFERROR(__xludf.DUMMYFUNCTION("TEXTJOIN("", "",TRUE,UNIQUE(FILTER('Data Master'!$D$2:$D1887,'Data Master'!$C$2:$C1887=A395)))"),"")</f>
        <v/>
      </c>
    </row>
    <row r="396" hidden="1">
      <c r="C396" s="40" t="str">
        <f>IFERROR(__xludf.DUMMYFUNCTION("TEXTJOIN("", "",TRUE,UNIQUE(FILTER('Data Master'!$B$2:$B1887,'Data Master'!$C$2:$C1887=A396)))"),"petani")</f>
        <v>petani</v>
      </c>
      <c r="D396" s="40" t="str">
        <f>IFERROR(__xludf.DUMMYFUNCTION("TEXTJOIN("", "",TRUE,UNIQUE(FILTER('Data Master'!$D$2:$D1887,'Data Master'!$C$2:$C1887=A396)))"),"")</f>
        <v/>
      </c>
    </row>
    <row r="397" hidden="1">
      <c r="C397" s="40" t="str">
        <f>IFERROR(__xludf.DUMMYFUNCTION("TEXTJOIN("", "",TRUE,UNIQUE(FILTER('Data Master'!$B$2:$B1887,'Data Master'!$C$2:$C1887=A397)))"),"petani")</f>
        <v>petani</v>
      </c>
      <c r="D397" s="40" t="str">
        <f>IFERROR(__xludf.DUMMYFUNCTION("TEXTJOIN("", "",TRUE,UNIQUE(FILTER('Data Master'!$D$2:$D1887,'Data Master'!$C$2:$C1887=A397)))"),"")</f>
        <v/>
      </c>
    </row>
    <row r="398" hidden="1">
      <c r="C398" s="40" t="str">
        <f>IFERROR(__xludf.DUMMYFUNCTION("TEXTJOIN("", "",TRUE,UNIQUE(FILTER('Data Master'!$B$2:$B1887,'Data Master'!$C$2:$C1887=A398)))"),"petani")</f>
        <v>petani</v>
      </c>
      <c r="D398" s="40" t="str">
        <f>IFERROR(__xludf.DUMMYFUNCTION("TEXTJOIN("", "",TRUE,UNIQUE(FILTER('Data Master'!$D$2:$D1887,'Data Master'!$C$2:$C1887=A398)))"),"")</f>
        <v/>
      </c>
    </row>
    <row r="399" hidden="1">
      <c r="C399" s="40" t="str">
        <f>IFERROR(__xludf.DUMMYFUNCTION("TEXTJOIN("", "",TRUE,UNIQUE(FILTER('Data Master'!$B$2:$B1887,'Data Master'!$C$2:$C1887=A399)))"),"penyuluh")</f>
        <v>penyuluh</v>
      </c>
      <c r="D399" s="40" t="str">
        <f>IFERROR(__xludf.DUMMYFUNCTION("TEXTJOIN("", "",TRUE,UNIQUE(FILTER('Data Master'!$D$2:$D1887,'Data Master'!$C$2:$C1887=A399)))"),"tionobambang9@gmail.com")</f>
        <v>tionobambang9@gmail.com</v>
      </c>
    </row>
    <row r="400" hidden="1">
      <c r="C400" s="40" t="str">
        <f>IFERROR(__xludf.DUMMYFUNCTION("TEXTJOIN("", "",TRUE,UNIQUE(FILTER('Data Master'!$B$2:$B1887,'Data Master'!$C$2:$C1887=A400)))"),"petani")</f>
        <v>petani</v>
      </c>
      <c r="D400" s="40" t="str">
        <f>IFERROR(__xludf.DUMMYFUNCTION("TEXTJOIN("", "",TRUE,UNIQUE(FILTER('Data Master'!$D$2:$D1887,'Data Master'!$C$2:$C1887=A400)))"),"")</f>
        <v/>
      </c>
    </row>
    <row r="401" hidden="1">
      <c r="C401" s="40" t="str">
        <f>IFERROR(__xludf.DUMMYFUNCTION("TEXTJOIN("", "",TRUE,UNIQUE(FILTER('Data Master'!$B$2:$B1887,'Data Master'!$C$2:$C1887=A401)))"),"petani")</f>
        <v>petani</v>
      </c>
      <c r="D401" s="40" t="str">
        <f>IFERROR(__xludf.DUMMYFUNCTION("TEXTJOIN("", "",TRUE,UNIQUE(FILTER('Data Master'!$D$2:$D1887,'Data Master'!$C$2:$C1887=A401)))"),"")</f>
        <v/>
      </c>
    </row>
    <row r="402" hidden="1">
      <c r="C402" s="40" t="str">
        <f>IFERROR(__xludf.DUMMYFUNCTION("TEXTJOIN("", "",TRUE,UNIQUE(FILTER('Data Master'!$B$2:$B1887,'Data Master'!$C$2:$C1887=A402)))"),"petani")</f>
        <v>petani</v>
      </c>
      <c r="D402" s="40" t="str">
        <f>IFERROR(__xludf.DUMMYFUNCTION("TEXTJOIN("", "",TRUE,UNIQUE(FILTER('Data Master'!$D$2:$D1887,'Data Master'!$C$2:$C1887=A402)))"),"")</f>
        <v/>
      </c>
    </row>
    <row r="403" hidden="1">
      <c r="C403" s="40" t="str">
        <f>IFERROR(__xludf.DUMMYFUNCTION("TEXTJOIN("", "",TRUE,UNIQUE(FILTER('Data Master'!$B$2:$B1887,'Data Master'!$C$2:$C1887=A403)))"),"petani")</f>
        <v>petani</v>
      </c>
      <c r="D403" s="40" t="str">
        <f>IFERROR(__xludf.DUMMYFUNCTION("TEXTJOIN("", "",TRUE,UNIQUE(FILTER('Data Master'!$D$2:$D1887,'Data Master'!$C$2:$C1887=A403)))"),"")</f>
        <v/>
      </c>
    </row>
    <row r="404" hidden="1">
      <c r="C404" s="40" t="str">
        <f>IFERROR(__xludf.DUMMYFUNCTION("TEXTJOIN("", "",TRUE,UNIQUE(FILTER('Data Master'!$B$2:$B1887,'Data Master'!$C$2:$C1887=A404)))"),"petani")</f>
        <v>petani</v>
      </c>
      <c r="D404" s="40" t="str">
        <f>IFERROR(__xludf.DUMMYFUNCTION("TEXTJOIN("", "",TRUE,UNIQUE(FILTER('Data Master'!$D$2:$D1887,'Data Master'!$C$2:$C1887=A404)))"),"")</f>
        <v/>
      </c>
    </row>
    <row r="405" hidden="1">
      <c r="C405" s="40" t="str">
        <f>IFERROR(__xludf.DUMMYFUNCTION("TEXTJOIN("", "",TRUE,UNIQUE(FILTER('Data Master'!$B$2:$B1887,'Data Master'!$C$2:$C1887=A405)))"),"petani")</f>
        <v>petani</v>
      </c>
      <c r="D405" s="40" t="str">
        <f>IFERROR(__xludf.DUMMYFUNCTION("TEXTJOIN("", "",TRUE,UNIQUE(FILTER('Data Master'!$D$2:$D1887,'Data Master'!$C$2:$C1887=A405)))"),"")</f>
        <v/>
      </c>
    </row>
    <row r="406" hidden="1">
      <c r="C406" s="40" t="str">
        <f>IFERROR(__xludf.DUMMYFUNCTION("TEXTJOIN("", "",TRUE,UNIQUE(FILTER('Data Master'!$B$2:$B1887,'Data Master'!$C$2:$C1887=A406)))"),"petani")</f>
        <v>petani</v>
      </c>
      <c r="D406" s="40" t="str">
        <f>IFERROR(__xludf.DUMMYFUNCTION("TEXTJOIN("", "",TRUE,UNIQUE(FILTER('Data Master'!$D$2:$D1887,'Data Master'!$C$2:$C1887=A406)))"),"")</f>
        <v/>
      </c>
    </row>
    <row r="407" hidden="1">
      <c r="C407" s="40" t="str">
        <f>IFERROR(__xludf.DUMMYFUNCTION("TEXTJOIN("", "",TRUE,UNIQUE(FILTER('Data Master'!$B$2:$B1887,'Data Master'!$C$2:$C1887=A407)))"),"petani")</f>
        <v>petani</v>
      </c>
      <c r="D407" s="40" t="str">
        <f>IFERROR(__xludf.DUMMYFUNCTION("TEXTJOIN("", "",TRUE,UNIQUE(FILTER('Data Master'!$D$2:$D1887,'Data Master'!$C$2:$C1887=A407)))"),"")</f>
        <v/>
      </c>
    </row>
    <row r="408" hidden="1">
      <c r="C408" s="40" t="str">
        <f>IFERROR(__xludf.DUMMYFUNCTION("TEXTJOIN("", "",TRUE,UNIQUE(FILTER('Data Master'!$B$2:$B1887,'Data Master'!$C$2:$C1887=A408)))"),"petani")</f>
        <v>petani</v>
      </c>
      <c r="D408" s="40" t="str">
        <f>IFERROR(__xludf.DUMMYFUNCTION("TEXTJOIN("", "",TRUE,UNIQUE(FILTER('Data Master'!$D$2:$D1887,'Data Master'!$C$2:$C1887=A408)))"),"")</f>
        <v/>
      </c>
    </row>
    <row r="409" hidden="1">
      <c r="C409" s="40" t="str">
        <f>IFERROR(__xludf.DUMMYFUNCTION("TEXTJOIN("", "",TRUE,UNIQUE(FILTER('Data Master'!$B$2:$B1887,'Data Master'!$C$2:$C1887=A409)))"),"petani")</f>
        <v>petani</v>
      </c>
      <c r="D409" s="40" t="str">
        <f>IFERROR(__xludf.DUMMYFUNCTION("TEXTJOIN("", "",TRUE,UNIQUE(FILTER('Data Master'!$D$2:$D1887,'Data Master'!$C$2:$C1887=A409)))"),"")</f>
        <v/>
      </c>
    </row>
    <row r="410" hidden="1">
      <c r="C410" s="40" t="str">
        <f>IFERROR(__xludf.DUMMYFUNCTION("TEXTJOIN("", "",TRUE,UNIQUE(FILTER('Data Master'!$B$2:$B1887,'Data Master'!$C$2:$C1887=A410)))"),"petani")</f>
        <v>petani</v>
      </c>
      <c r="D410" s="40" t="str">
        <f>IFERROR(__xludf.DUMMYFUNCTION("TEXTJOIN("", "",TRUE,UNIQUE(FILTER('Data Master'!$D$2:$D1887,'Data Master'!$C$2:$C1887=A410)))"),"")</f>
        <v/>
      </c>
    </row>
    <row r="411" hidden="1">
      <c r="C411" s="40" t="str">
        <f>IFERROR(__xludf.DUMMYFUNCTION("TEXTJOIN("", "",TRUE,UNIQUE(FILTER('Data Master'!$B$2:$B1887,'Data Master'!$C$2:$C1887=A411)))"),"petani")</f>
        <v>petani</v>
      </c>
      <c r="D411" s="40" t="str">
        <f>IFERROR(__xludf.DUMMYFUNCTION("TEXTJOIN("", "",TRUE,UNIQUE(FILTER('Data Master'!$D$2:$D1887,'Data Master'!$C$2:$C1887=A411)))"),"")</f>
        <v/>
      </c>
    </row>
    <row r="412" hidden="1">
      <c r="C412" s="40" t="str">
        <f>IFERROR(__xludf.DUMMYFUNCTION("TEXTJOIN("", "",TRUE,UNIQUE(FILTER('Data Master'!$B$2:$B1887,'Data Master'!$C$2:$C1887=A412)))"),"petani")</f>
        <v>petani</v>
      </c>
      <c r="D412" s="40" t="str">
        <f>IFERROR(__xludf.DUMMYFUNCTION("TEXTJOIN("", "",TRUE,UNIQUE(FILTER('Data Master'!$D$2:$D1887,'Data Master'!$C$2:$C1887=A412)))"),"bayudwinugroho@gmail.com")</f>
        <v>bayudwinugroho@gmail.com</v>
      </c>
    </row>
    <row r="413" hidden="1">
      <c r="C413" s="40" t="str">
        <f>IFERROR(__xludf.DUMMYFUNCTION("TEXTJOIN("", "",TRUE,UNIQUE(FILTER('Data Master'!$B$2:$B1887,'Data Master'!$C$2:$C1887=A413)))"),"petani")</f>
        <v>petani</v>
      </c>
      <c r="D413" s="40" t="str">
        <f>IFERROR(__xludf.DUMMYFUNCTION("TEXTJOIN("", "",TRUE,UNIQUE(FILTER('Data Master'!$D$2:$D1887,'Data Master'!$C$2:$C1887=A413)))"),"")</f>
        <v/>
      </c>
    </row>
    <row r="414" hidden="1">
      <c r="C414" s="40" t="str">
        <f>IFERROR(__xludf.DUMMYFUNCTION("TEXTJOIN("", "",TRUE,UNIQUE(FILTER('Data Master'!$B$2:$B1887,'Data Master'!$C$2:$C1887=A414)))"),"petani")</f>
        <v>petani</v>
      </c>
      <c r="D414" s="40" t="str">
        <f>IFERROR(__xludf.DUMMYFUNCTION("TEXTJOIN("", "",TRUE,UNIQUE(FILTER('Data Master'!$D$2:$D1887,'Data Master'!$C$2:$C1887=A414)))"),"")</f>
        <v/>
      </c>
    </row>
    <row r="415" hidden="1">
      <c r="C415" s="40" t="str">
        <f>IFERROR(__xludf.DUMMYFUNCTION("TEXTJOIN("", "",TRUE,UNIQUE(FILTER('Data Master'!$B$2:$B1887,'Data Master'!$C$2:$C1887=A415)))"),"petani")</f>
        <v>petani</v>
      </c>
      <c r="D415" s="40" t="str">
        <f>IFERROR(__xludf.DUMMYFUNCTION("TEXTJOIN("", "",TRUE,UNIQUE(FILTER('Data Master'!$D$2:$D1887,'Data Master'!$C$2:$C1887=A415)))"),"")</f>
        <v/>
      </c>
    </row>
    <row r="416" hidden="1">
      <c r="C416" s="40" t="str">
        <f>IFERROR(__xludf.DUMMYFUNCTION("TEXTJOIN("", "",TRUE,UNIQUE(FILTER('Data Master'!$B$2:$B1887,'Data Master'!$C$2:$C1887=A416)))"),"petani")</f>
        <v>petani</v>
      </c>
      <c r="D416" s="40" t="str">
        <f>IFERROR(__xludf.DUMMYFUNCTION("TEXTJOIN("", "",TRUE,UNIQUE(FILTER('Data Master'!$D$2:$D1887,'Data Master'!$C$2:$C1887=A416)))"),"")</f>
        <v/>
      </c>
    </row>
    <row r="417" hidden="1">
      <c r="C417" s="40" t="str">
        <f>IFERROR(__xludf.DUMMYFUNCTION("TEXTJOIN("", "",TRUE,UNIQUE(FILTER('Data Master'!$B$2:$B1887,'Data Master'!$C$2:$C1887=A417)))"),"petani")</f>
        <v>petani</v>
      </c>
      <c r="D417" s="40" t="str">
        <f>IFERROR(__xludf.DUMMYFUNCTION("TEXTJOIN("", "",TRUE,UNIQUE(FILTER('Data Master'!$D$2:$D1887,'Data Master'!$C$2:$C1887=A417)))"),"")</f>
        <v/>
      </c>
    </row>
    <row r="418" hidden="1">
      <c r="C418" s="40" t="str">
        <f>IFERROR(__xludf.DUMMYFUNCTION("TEXTJOIN("", "",TRUE,UNIQUE(FILTER('Data Master'!$B$2:$B1887,'Data Master'!$C$2:$C1887=A418)))"),"petani")</f>
        <v>petani</v>
      </c>
      <c r="D418" s="40" t="str">
        <f>IFERROR(__xludf.DUMMYFUNCTION("TEXTJOIN("", "",TRUE,UNIQUE(FILTER('Data Master'!$D$2:$D1887,'Data Master'!$C$2:$C1887=A418)))"),"")</f>
        <v/>
      </c>
    </row>
    <row r="419" hidden="1">
      <c r="C419" s="40" t="str">
        <f>IFERROR(__xludf.DUMMYFUNCTION("TEXTJOIN("", "",TRUE,UNIQUE(FILTER('Data Master'!$B$2:$B1887,'Data Master'!$C$2:$C1887=A419)))"),"petani")</f>
        <v>petani</v>
      </c>
      <c r="D419" s="40" t="str">
        <f>IFERROR(__xludf.DUMMYFUNCTION("TEXTJOIN("", "",TRUE,UNIQUE(FILTER('Data Master'!$D$2:$D1887,'Data Master'!$C$2:$C1887=A419)))"),"")</f>
        <v/>
      </c>
    </row>
    <row r="420" hidden="1">
      <c r="C420" s="40" t="str">
        <f>IFERROR(__xludf.DUMMYFUNCTION("TEXTJOIN("", "",TRUE,UNIQUE(FILTER('Data Master'!$B$2:$B1887,'Data Master'!$C$2:$C1887=A420)))"),"petani")</f>
        <v>petani</v>
      </c>
      <c r="D420" s="40" t="str">
        <f>IFERROR(__xludf.DUMMYFUNCTION("TEXTJOIN("", "",TRUE,UNIQUE(FILTER('Data Master'!$D$2:$D1887,'Data Master'!$C$2:$C1887=A420)))"),"")</f>
        <v/>
      </c>
    </row>
    <row r="421" hidden="1">
      <c r="C421" s="40" t="str">
        <f>IFERROR(__xludf.DUMMYFUNCTION("TEXTJOIN("", "",TRUE,UNIQUE(FILTER('Data Master'!$B$2:$B1887,'Data Master'!$C$2:$C1887=A421)))"),"petani")</f>
        <v>petani</v>
      </c>
      <c r="D421" s="40" t="str">
        <f>IFERROR(__xludf.DUMMYFUNCTION("TEXTJOIN("", "",TRUE,UNIQUE(FILTER('Data Master'!$D$2:$D1887,'Data Master'!$C$2:$C1887=A421)))"),"")</f>
        <v/>
      </c>
    </row>
    <row r="422" hidden="1">
      <c r="C422" s="40" t="str">
        <f>IFERROR(__xludf.DUMMYFUNCTION("TEXTJOIN("", "",TRUE,UNIQUE(FILTER('Data Master'!$B$2:$B1887,'Data Master'!$C$2:$C1887=A422)))"),"petani")</f>
        <v>petani</v>
      </c>
      <c r="D422" s="40" t="str">
        <f>IFERROR(__xludf.DUMMYFUNCTION("TEXTJOIN("", "",TRUE,UNIQUE(FILTER('Data Master'!$D$2:$D1887,'Data Master'!$C$2:$C1887=A422)))"),"")</f>
        <v/>
      </c>
    </row>
    <row r="423" hidden="1">
      <c r="C423" s="40" t="str">
        <f>IFERROR(__xludf.DUMMYFUNCTION("TEXTJOIN("", "",TRUE,UNIQUE(FILTER('Data Master'!$B$2:$B1887,'Data Master'!$C$2:$C1887=A423)))"),"petani")</f>
        <v>petani</v>
      </c>
      <c r="D423" s="40" t="str">
        <f>IFERROR(__xludf.DUMMYFUNCTION("TEXTJOIN("", "",TRUE,UNIQUE(FILTER('Data Master'!$D$2:$D1887,'Data Master'!$C$2:$C1887=A423)))"),"")</f>
        <v/>
      </c>
    </row>
    <row r="424" hidden="1">
      <c r="C424" s="40" t="str">
        <f>IFERROR(__xludf.DUMMYFUNCTION("TEXTJOIN("", "",TRUE,UNIQUE(FILTER('Data Master'!$B$2:$B1887,'Data Master'!$C$2:$C1887=A424)))"),"petani")</f>
        <v>petani</v>
      </c>
      <c r="D424" s="40" t="str">
        <f>IFERROR(__xludf.DUMMYFUNCTION("TEXTJOIN("", "",TRUE,UNIQUE(FILTER('Data Master'!$D$2:$D1887,'Data Master'!$C$2:$C1887=A424)))"),"")</f>
        <v/>
      </c>
    </row>
    <row r="425" hidden="1">
      <c r="C425" s="40" t="str">
        <f>IFERROR(__xludf.DUMMYFUNCTION("TEXTJOIN("", "",TRUE,UNIQUE(FILTER('Data Master'!$B$2:$B1887,'Data Master'!$C$2:$C1887=A425)))"),"petani")</f>
        <v>petani</v>
      </c>
      <c r="D425" s="40" t="str">
        <f>IFERROR(__xludf.DUMMYFUNCTION("TEXTJOIN("", "",TRUE,UNIQUE(FILTER('Data Master'!$D$2:$D1887,'Data Master'!$C$2:$C1887=A425)))"),"")</f>
        <v/>
      </c>
    </row>
    <row r="426" hidden="1">
      <c r="C426" s="40" t="str">
        <f>IFERROR(__xludf.DUMMYFUNCTION("TEXTJOIN("", "",TRUE,UNIQUE(FILTER('Data Master'!$B$2:$B1887,'Data Master'!$C$2:$C1887=A426)))"),"petani")</f>
        <v>petani</v>
      </c>
      <c r="D426" s="40" t="str">
        <f>IFERROR(__xludf.DUMMYFUNCTION("TEXTJOIN("", "",TRUE,UNIQUE(FILTER('Data Master'!$D$2:$D1887,'Data Master'!$C$2:$C1887=A426)))"),"")</f>
        <v/>
      </c>
    </row>
    <row r="427" hidden="1">
      <c r="C427" s="40" t="str">
        <f>IFERROR(__xludf.DUMMYFUNCTION("TEXTJOIN("", "",TRUE,UNIQUE(FILTER('Data Master'!$B$2:$B1887,'Data Master'!$C$2:$C1887=A427)))"),"petani")</f>
        <v>petani</v>
      </c>
      <c r="D427" s="40" t="str">
        <f>IFERROR(__xludf.DUMMYFUNCTION("TEXTJOIN("", "",TRUE,UNIQUE(FILTER('Data Master'!$D$2:$D1887,'Data Master'!$C$2:$C1887=A427)))"),"")</f>
        <v/>
      </c>
    </row>
    <row r="428" hidden="1">
      <c r="C428" s="40" t="str">
        <f>IFERROR(__xludf.DUMMYFUNCTION("TEXTJOIN("", "",TRUE,UNIQUE(FILTER('Data Master'!$B$2:$B1887,'Data Master'!$C$2:$C1887=A428)))"),"petani")</f>
        <v>petani</v>
      </c>
      <c r="D428" s="40" t="str">
        <f>IFERROR(__xludf.DUMMYFUNCTION("TEXTJOIN("", "",TRUE,UNIQUE(FILTER('Data Master'!$D$2:$D1887,'Data Master'!$C$2:$C1887=A428)))"),"")</f>
        <v/>
      </c>
    </row>
    <row r="429" hidden="1">
      <c r="C429" s="40" t="str">
        <f>IFERROR(__xludf.DUMMYFUNCTION("TEXTJOIN("", "",TRUE,UNIQUE(FILTER('Data Master'!$B$2:$B1887,'Data Master'!$C$2:$C1887=A429)))"),"petani")</f>
        <v>petani</v>
      </c>
      <c r="D429" s="40" t="str">
        <f>IFERROR(__xludf.DUMMYFUNCTION("TEXTJOIN("", "",TRUE,UNIQUE(FILTER('Data Master'!$D$2:$D1887,'Data Master'!$C$2:$C1887=A429)))"),"")</f>
        <v/>
      </c>
    </row>
    <row r="430" hidden="1">
      <c r="C430" s="40" t="str">
        <f>IFERROR(__xludf.DUMMYFUNCTION("TEXTJOIN("", "",TRUE,UNIQUE(FILTER('Data Master'!$B$2:$B1887,'Data Master'!$C$2:$C1887=A430)))"),"petani")</f>
        <v>petani</v>
      </c>
      <c r="D430" s="40" t="str">
        <f>IFERROR(__xludf.DUMMYFUNCTION("TEXTJOIN("", "",TRUE,UNIQUE(FILTER('Data Master'!$D$2:$D1887,'Data Master'!$C$2:$C1887=A430)))"),"")</f>
        <v/>
      </c>
    </row>
    <row r="431" hidden="1">
      <c r="C431" s="40" t="str">
        <f>IFERROR(__xludf.DUMMYFUNCTION("TEXTJOIN("", "",TRUE,UNIQUE(FILTER('Data Master'!$B$2:$B1887,'Data Master'!$C$2:$C1887=A431)))"),"petani")</f>
        <v>petani</v>
      </c>
      <c r="D431" s="40" t="str">
        <f>IFERROR(__xludf.DUMMYFUNCTION("TEXTJOIN("", "",TRUE,UNIQUE(FILTER('Data Master'!$D$2:$D1887,'Data Master'!$C$2:$C1887=A431)))"),"")</f>
        <v/>
      </c>
    </row>
    <row r="432" hidden="1">
      <c r="C432" s="40" t="str">
        <f>IFERROR(__xludf.DUMMYFUNCTION("TEXTJOIN("", "",TRUE,UNIQUE(FILTER('Data Master'!$B$2:$B1887,'Data Master'!$C$2:$C1887=A432)))"),"petani")</f>
        <v>petani</v>
      </c>
      <c r="D432" s="40" t="str">
        <f>IFERROR(__xludf.DUMMYFUNCTION("TEXTJOIN("", "",TRUE,UNIQUE(FILTER('Data Master'!$D$2:$D1887,'Data Master'!$C$2:$C1887=A432)))"),"")</f>
        <v/>
      </c>
    </row>
    <row r="433" hidden="1">
      <c r="C433" s="40" t="str">
        <f>IFERROR(__xludf.DUMMYFUNCTION("TEXTJOIN("", "",TRUE,UNIQUE(FILTER('Data Master'!$B$2:$B1887,'Data Master'!$C$2:$C1887=A433)))"),"petani")</f>
        <v>petani</v>
      </c>
      <c r="D433" s="40" t="str">
        <f>IFERROR(__xludf.DUMMYFUNCTION("TEXTJOIN("", "",TRUE,UNIQUE(FILTER('Data Master'!$D$2:$D1887,'Data Master'!$C$2:$C1887=A433)))"),"")</f>
        <v/>
      </c>
    </row>
    <row r="434" hidden="1">
      <c r="C434" s="40" t="str">
        <f>IFERROR(__xludf.DUMMYFUNCTION("TEXTJOIN("", "",TRUE,UNIQUE(FILTER('Data Master'!$B$2:$B1887,'Data Master'!$C$2:$C1887=A434)))"),"petani")</f>
        <v>petani</v>
      </c>
      <c r="D434" s="40" t="str">
        <f>IFERROR(__xludf.DUMMYFUNCTION("TEXTJOIN("", "",TRUE,UNIQUE(FILTER('Data Master'!$D$2:$D1887,'Data Master'!$C$2:$C1887=A434)))"),"")</f>
        <v/>
      </c>
    </row>
    <row r="435" hidden="1">
      <c r="C435" s="40" t="str">
        <f>IFERROR(__xludf.DUMMYFUNCTION("TEXTJOIN("", "",TRUE,UNIQUE(FILTER('Data Master'!$B$2:$B1887,'Data Master'!$C$2:$C1887=A435)))"),"petani")</f>
        <v>petani</v>
      </c>
      <c r="D435" s="40" t="str">
        <f>IFERROR(__xludf.DUMMYFUNCTION("TEXTJOIN("", "",TRUE,UNIQUE(FILTER('Data Master'!$D$2:$D1887,'Data Master'!$C$2:$C1887=A435)))"),"")</f>
        <v/>
      </c>
    </row>
    <row r="436" hidden="1">
      <c r="C436" s="40" t="str">
        <f>IFERROR(__xludf.DUMMYFUNCTION("TEXTJOIN("", "",TRUE,UNIQUE(FILTER('Data Master'!$B$2:$B1887,'Data Master'!$C$2:$C1887=A436)))"),"petani")</f>
        <v>petani</v>
      </c>
      <c r="D436" s="40" t="str">
        <f>IFERROR(__xludf.DUMMYFUNCTION("TEXTJOIN("", "",TRUE,UNIQUE(FILTER('Data Master'!$D$2:$D1887,'Data Master'!$C$2:$C1887=A436)))"),"")</f>
        <v/>
      </c>
    </row>
    <row r="437" hidden="1">
      <c r="C437" s="40" t="str">
        <f>IFERROR(__xludf.DUMMYFUNCTION("TEXTJOIN("", "",TRUE,UNIQUE(FILTER('Data Master'!$B$2:$B1887,'Data Master'!$C$2:$C1887=A437)))"),"petani")</f>
        <v>petani</v>
      </c>
      <c r="D437" s="40" t="str">
        <f>IFERROR(__xludf.DUMMYFUNCTION("TEXTJOIN("", "",TRUE,UNIQUE(FILTER('Data Master'!$D$2:$D1887,'Data Master'!$C$2:$C1887=A437)))"),"")</f>
        <v/>
      </c>
    </row>
    <row r="438" hidden="1">
      <c r="C438" s="40" t="str">
        <f>IFERROR(__xludf.DUMMYFUNCTION("TEXTJOIN("", "",TRUE,UNIQUE(FILTER('Data Master'!$B$2:$B1887,'Data Master'!$C$2:$C1887=A438)))"),"petani")</f>
        <v>petani</v>
      </c>
      <c r="D438" s="40" t="str">
        <f>IFERROR(__xludf.DUMMYFUNCTION("TEXTJOIN("", "",TRUE,UNIQUE(FILTER('Data Master'!$D$2:$D1887,'Data Master'!$C$2:$C1887=A438)))"),"")</f>
        <v/>
      </c>
    </row>
    <row r="439" hidden="1">
      <c r="C439" s="40" t="str">
        <f>IFERROR(__xludf.DUMMYFUNCTION("TEXTJOIN("", "",TRUE,UNIQUE(FILTER('Data Master'!$B$2:$B1887,'Data Master'!$C$2:$C1887=A439)))"),"petani")</f>
        <v>petani</v>
      </c>
      <c r="D439" s="40" t="str">
        <f>IFERROR(__xludf.DUMMYFUNCTION("TEXTJOIN("", "",TRUE,UNIQUE(FILTER('Data Master'!$D$2:$D1887,'Data Master'!$C$2:$C1887=A439)))"),"")</f>
        <v/>
      </c>
    </row>
    <row r="440" hidden="1">
      <c r="C440" s="40" t="str">
        <f>IFERROR(__xludf.DUMMYFUNCTION("TEXTJOIN("", "",TRUE,UNIQUE(FILTER('Data Master'!$B$2:$B1887,'Data Master'!$C$2:$C1887=A440)))"),"petani")</f>
        <v>petani</v>
      </c>
      <c r="D440" s="40" t="str">
        <f>IFERROR(__xludf.DUMMYFUNCTION("TEXTJOIN("", "",TRUE,UNIQUE(FILTER('Data Master'!$D$2:$D1887,'Data Master'!$C$2:$C1887=A440)))"),"")</f>
        <v/>
      </c>
    </row>
    <row r="441" hidden="1">
      <c r="C441" s="40" t="str">
        <f>IFERROR(__xludf.DUMMYFUNCTION("TEXTJOIN("", "",TRUE,UNIQUE(FILTER('Data Master'!$B$2:$B1887,'Data Master'!$C$2:$C1887=A441)))"),"petani")</f>
        <v>petani</v>
      </c>
      <c r="D441" s="40" t="str">
        <f>IFERROR(__xludf.DUMMYFUNCTION("TEXTJOIN("", "",TRUE,UNIQUE(FILTER('Data Master'!$D$2:$D1887,'Data Master'!$C$2:$C1887=A441)))"),"")</f>
        <v/>
      </c>
    </row>
    <row r="442" hidden="1">
      <c r="C442" s="40" t="str">
        <f>IFERROR(__xludf.DUMMYFUNCTION("TEXTJOIN("", "",TRUE,UNIQUE(FILTER('Data Master'!$B$2:$B1887,'Data Master'!$C$2:$C1887=A442)))"),"petani")</f>
        <v>petani</v>
      </c>
      <c r="D442" s="40" t="str">
        <f>IFERROR(__xludf.DUMMYFUNCTION("TEXTJOIN("", "",TRUE,UNIQUE(FILTER('Data Master'!$D$2:$D1887,'Data Master'!$C$2:$C1887=A442)))"),"")</f>
        <v/>
      </c>
    </row>
    <row r="443" hidden="1">
      <c r="C443" s="40" t="str">
        <f>IFERROR(__xludf.DUMMYFUNCTION("TEXTJOIN("", "",TRUE,UNIQUE(FILTER('Data Master'!$B$2:$B1887,'Data Master'!$C$2:$C1887=A443)))"),"petani")</f>
        <v>petani</v>
      </c>
      <c r="D443" s="40" t="str">
        <f>IFERROR(__xludf.DUMMYFUNCTION("TEXTJOIN("", "",TRUE,UNIQUE(FILTER('Data Master'!$D$2:$D1887,'Data Master'!$C$2:$C1887=A443)))"),"")</f>
        <v/>
      </c>
    </row>
    <row r="444" hidden="1">
      <c r="C444" s="40" t="str">
        <f>IFERROR(__xludf.DUMMYFUNCTION("TEXTJOIN("", "",TRUE,UNIQUE(FILTER('Data Master'!$B$2:$B1887,'Data Master'!$C$2:$C1887=A444)))"),"penyuluh")</f>
        <v>penyuluh</v>
      </c>
      <c r="D444" s="40" t="str">
        <f>IFERROR(__xludf.DUMMYFUNCTION("TEXTJOIN("", "",TRUE,UNIQUE(FILTER('Data Master'!$D$2:$D1887,'Data Master'!$C$2:$C1887=A444)))"),"")</f>
        <v/>
      </c>
    </row>
    <row r="445" hidden="1">
      <c r="C445" s="40" t="str">
        <f>IFERROR(__xludf.DUMMYFUNCTION("TEXTJOIN("", "",TRUE,UNIQUE(FILTER('Data Master'!$B$2:$B1887,'Data Master'!$C$2:$C1887=A445)))"),"petani")</f>
        <v>petani</v>
      </c>
      <c r="D445" s="40" t="str">
        <f>IFERROR(__xludf.DUMMYFUNCTION("TEXTJOIN("", "",TRUE,UNIQUE(FILTER('Data Master'!$D$2:$D1887,'Data Master'!$C$2:$C1887=A445)))"),"")</f>
        <v/>
      </c>
    </row>
    <row r="446" hidden="1">
      <c r="C446" s="40" t="str">
        <f>IFERROR(__xludf.DUMMYFUNCTION("TEXTJOIN("", "",TRUE,UNIQUE(FILTER('Data Master'!$B$2:$B1887,'Data Master'!$C$2:$C1887=A446)))"),"petani")</f>
        <v>petani</v>
      </c>
      <c r="D446" s="40" t="str">
        <f>IFERROR(__xludf.DUMMYFUNCTION("TEXTJOIN("", "",TRUE,UNIQUE(FILTER('Data Master'!$D$2:$D1887,'Data Master'!$C$2:$C1887=A446)))"),"")</f>
        <v/>
      </c>
    </row>
    <row r="447" hidden="1">
      <c r="C447" s="40" t="str">
        <f>IFERROR(__xludf.DUMMYFUNCTION("TEXTJOIN("", "",TRUE,UNIQUE(FILTER('Data Master'!$B$2:$B1887,'Data Master'!$C$2:$C1887=A447)))"),"petani")</f>
        <v>petani</v>
      </c>
      <c r="D447" s="40" t="str">
        <f>IFERROR(__xludf.DUMMYFUNCTION("TEXTJOIN("", "",TRUE,UNIQUE(FILTER('Data Master'!$D$2:$D1887,'Data Master'!$C$2:$C1887=A447)))"),"")</f>
        <v/>
      </c>
    </row>
    <row r="448" hidden="1">
      <c r="C448" s="40" t="str">
        <f>IFERROR(__xludf.DUMMYFUNCTION("TEXTJOIN("", "",TRUE,UNIQUE(FILTER('Data Master'!$B$2:$B1887,'Data Master'!$C$2:$C1887=A448)))"),"petani")</f>
        <v>petani</v>
      </c>
      <c r="D448" s="40" t="str">
        <f>IFERROR(__xludf.DUMMYFUNCTION("TEXTJOIN("", "",TRUE,UNIQUE(FILTER('Data Master'!$D$2:$D1887,'Data Master'!$C$2:$C1887=A448)))"),"")</f>
        <v/>
      </c>
    </row>
    <row r="449" hidden="1">
      <c r="C449" s="40" t="str">
        <f>IFERROR(__xludf.DUMMYFUNCTION("TEXTJOIN("", "",TRUE,UNIQUE(FILTER('Data Master'!$B$2:$B1887,'Data Master'!$C$2:$C1887=A449)))"),"petani")</f>
        <v>petani</v>
      </c>
      <c r="D449" s="40" t="str">
        <f>IFERROR(__xludf.DUMMYFUNCTION("TEXTJOIN("", "",TRUE,UNIQUE(FILTER('Data Master'!$D$2:$D1887,'Data Master'!$C$2:$C1887=A449)))"),"")</f>
        <v/>
      </c>
    </row>
    <row r="450" hidden="1">
      <c r="C450" s="40" t="str">
        <f>IFERROR(__xludf.DUMMYFUNCTION("TEXTJOIN("", "",TRUE,UNIQUE(FILTER('Data Master'!$B$2:$B1887,'Data Master'!$C$2:$C1887=A450)))"),"penyuluh")</f>
        <v>penyuluh</v>
      </c>
      <c r="D450" s="40" t="str">
        <f>IFERROR(__xludf.DUMMYFUNCTION("TEXTJOIN("", "",TRUE,UNIQUE(FILTER('Data Master'!$D$2:$D1887,'Data Master'!$C$2:$C1887=A450)))"),"cahyono@penyuluh.com")</f>
        <v>cahyono@penyuluh.com</v>
      </c>
    </row>
    <row r="451" hidden="1">
      <c r="C451" s="40" t="str">
        <f>IFERROR(__xludf.DUMMYFUNCTION("TEXTJOIN("", "",TRUE,UNIQUE(FILTER('Data Master'!$B$2:$B1887,'Data Master'!$C$2:$C1887=A451)))"),"petani")</f>
        <v>petani</v>
      </c>
      <c r="D451" s="40" t="str">
        <f>IFERROR(__xludf.DUMMYFUNCTION("TEXTJOIN("", "",TRUE,UNIQUE(FILTER('Data Master'!$D$2:$D1887,'Data Master'!$C$2:$C1887=A451)))"),"")</f>
        <v/>
      </c>
    </row>
    <row r="452" hidden="1">
      <c r="C452" s="40" t="str">
        <f>IFERROR(__xludf.DUMMYFUNCTION("TEXTJOIN("", "",TRUE,UNIQUE(FILTER('Data Master'!$B$2:$B1887,'Data Master'!$C$2:$C1887=A452)))"),"petani")</f>
        <v>petani</v>
      </c>
      <c r="D452" s="40" t="str">
        <f>IFERROR(__xludf.DUMMYFUNCTION("TEXTJOIN("", "",TRUE,UNIQUE(FILTER('Data Master'!$D$2:$D1887,'Data Master'!$C$2:$C1887=A452)))"),"")</f>
        <v/>
      </c>
    </row>
    <row r="453" hidden="1">
      <c r="C453" s="40" t="str">
        <f>IFERROR(__xludf.DUMMYFUNCTION("TEXTJOIN("", "",TRUE,UNIQUE(FILTER('Data Master'!$B$2:$B1887,'Data Master'!$C$2:$C1887=A453)))"),"petani")</f>
        <v>petani</v>
      </c>
      <c r="D453" s="40" t="str">
        <f>IFERROR(__xludf.DUMMYFUNCTION("TEXTJOIN("", "",TRUE,UNIQUE(FILTER('Data Master'!$D$2:$D1887,'Data Master'!$C$2:$C1887=A453)))"),"")</f>
        <v/>
      </c>
    </row>
    <row r="454" hidden="1">
      <c r="C454" s="40" t="str">
        <f>IFERROR(__xludf.DUMMYFUNCTION("TEXTJOIN("", "",TRUE,UNIQUE(FILTER('Data Master'!$B$2:$B1887,'Data Master'!$C$2:$C1887=A454)))"),"petani")</f>
        <v>petani</v>
      </c>
      <c r="D454" s="40" t="str">
        <f>IFERROR(__xludf.DUMMYFUNCTION("TEXTJOIN("", "",TRUE,UNIQUE(FILTER('Data Master'!$D$2:$D1887,'Data Master'!$C$2:$C1887=A454)))"),"")</f>
        <v/>
      </c>
    </row>
    <row r="455" hidden="1">
      <c r="C455" s="40" t="str">
        <f>IFERROR(__xludf.DUMMYFUNCTION("TEXTJOIN("", "",TRUE,UNIQUE(FILTER('Data Master'!$B$2:$B1887,'Data Master'!$C$2:$C1887=A455)))"),"petani")</f>
        <v>petani</v>
      </c>
      <c r="D455" s="40" t="str">
        <f>IFERROR(__xludf.DUMMYFUNCTION("TEXTJOIN("", "",TRUE,UNIQUE(FILTER('Data Master'!$D$2:$D1887,'Data Master'!$C$2:$C1887=A455)))"),"")</f>
        <v/>
      </c>
    </row>
    <row r="456" hidden="1">
      <c r="C456" s="40" t="str">
        <f>IFERROR(__xludf.DUMMYFUNCTION("TEXTJOIN("", "",TRUE,UNIQUE(FILTER('Data Master'!$B$2:$B1887,'Data Master'!$C$2:$C1887=A456)))"),"petani")</f>
        <v>petani</v>
      </c>
      <c r="D456" s="40" t="str">
        <f>IFERROR(__xludf.DUMMYFUNCTION("TEXTJOIN("", "",TRUE,UNIQUE(FILTER('Data Master'!$D$2:$D1887,'Data Master'!$C$2:$C1887=A456)))"),"")</f>
        <v/>
      </c>
    </row>
    <row r="457" hidden="1">
      <c r="C457" s="40" t="str">
        <f>IFERROR(__xludf.DUMMYFUNCTION("TEXTJOIN("", "",TRUE,UNIQUE(FILTER('Data Master'!$B$2:$B1887,'Data Master'!$C$2:$C1887=A457)))"),"petani")</f>
        <v>petani</v>
      </c>
      <c r="D457" s="40" t="str">
        <f>IFERROR(__xludf.DUMMYFUNCTION("TEXTJOIN("", "",TRUE,UNIQUE(FILTER('Data Master'!$D$2:$D1887,'Data Master'!$C$2:$C1887=A457)))"),"")</f>
        <v/>
      </c>
    </row>
    <row r="458" hidden="1">
      <c r="C458" s="40" t="str">
        <f>IFERROR(__xludf.DUMMYFUNCTION("TEXTJOIN("", "",TRUE,UNIQUE(FILTER('Data Master'!$B$2:$B1887,'Data Master'!$C$2:$C1887=A458)))"),"petani")</f>
        <v>petani</v>
      </c>
      <c r="D458" s="40" t="str">
        <f>IFERROR(__xludf.DUMMYFUNCTION("TEXTJOIN("", "",TRUE,UNIQUE(FILTER('Data Master'!$D$2:$D1887,'Data Master'!$C$2:$C1887=A458)))"),"")</f>
        <v/>
      </c>
    </row>
    <row r="459" hidden="1">
      <c r="C459" s="40" t="str">
        <f>IFERROR(__xludf.DUMMYFUNCTION("TEXTJOIN("", "",TRUE,UNIQUE(FILTER('Data Master'!$B$2:$B1887,'Data Master'!$C$2:$C1887=A459)))"),"petani")</f>
        <v>petani</v>
      </c>
      <c r="D459" s="40" t="str">
        <f>IFERROR(__xludf.DUMMYFUNCTION("TEXTJOIN("", "",TRUE,UNIQUE(FILTER('Data Master'!$D$2:$D1887,'Data Master'!$C$2:$C1887=A459)))"),"")</f>
        <v/>
      </c>
    </row>
    <row r="460" hidden="1">
      <c r="C460" s="40" t="str">
        <f>IFERROR(__xludf.DUMMYFUNCTION("TEXTJOIN("", "",TRUE,UNIQUE(FILTER('Data Master'!$B$2:$B1887,'Data Master'!$C$2:$C1887=A460)))"),"petani")</f>
        <v>petani</v>
      </c>
      <c r="D460" s="40" t="str">
        <f>IFERROR(__xludf.DUMMYFUNCTION("TEXTJOIN("", "",TRUE,UNIQUE(FILTER('Data Master'!$D$2:$D1887,'Data Master'!$C$2:$C1887=A460)))"),"")</f>
        <v/>
      </c>
    </row>
    <row r="461" hidden="1">
      <c r="C461" s="40" t="str">
        <f>IFERROR(__xludf.DUMMYFUNCTION("TEXTJOIN("", "",TRUE,UNIQUE(FILTER('Data Master'!$B$2:$B1887,'Data Master'!$C$2:$C1887=A461)))"),"petani")</f>
        <v>petani</v>
      </c>
      <c r="D461" s="40" t="str">
        <f>IFERROR(__xludf.DUMMYFUNCTION("TEXTJOIN("", "",TRUE,UNIQUE(FILTER('Data Master'!$D$2:$D1887,'Data Master'!$C$2:$C1887=A461)))"),"")</f>
        <v/>
      </c>
    </row>
    <row r="462" hidden="1">
      <c r="C462" s="40" t="str">
        <f>IFERROR(__xludf.DUMMYFUNCTION("TEXTJOIN("", "",TRUE,UNIQUE(FILTER('Data Master'!$B$2:$B1887,'Data Master'!$C$2:$C1887=A462)))"),"penyuluh")</f>
        <v>penyuluh</v>
      </c>
      <c r="D462" s="40" t="str">
        <f>IFERROR(__xludf.DUMMYFUNCTION("TEXTJOIN("", "",TRUE,UNIQUE(FILTER('Data Master'!$D$2:$D1887,'Data Master'!$C$2:$C1887=A462)))"),"ckptw@gmail.com")</f>
        <v>ckptw@gmail.com</v>
      </c>
    </row>
    <row r="463" hidden="1">
      <c r="C463" s="40" t="str">
        <f>IFERROR(__xludf.DUMMYFUNCTION("TEXTJOIN("", "",TRUE,UNIQUE(FILTER('Data Master'!$B$2:$B1887,'Data Master'!$C$2:$C1887=A463)))"),"penyuluh")</f>
        <v>penyuluh</v>
      </c>
      <c r="D463" s="40" t="str">
        <f>IFERROR(__xludf.DUMMYFUNCTION("TEXTJOIN("", "",TRUE,UNIQUE(FILTER('Data Master'!$D$2:$D1887,'Data Master'!$C$2:$C1887=A463)))"),"ckptw2@gmail.com")</f>
        <v>ckptw2@gmail.com</v>
      </c>
    </row>
    <row r="464" hidden="1">
      <c r="C464" s="40" t="str">
        <f>IFERROR(__xludf.DUMMYFUNCTION("TEXTJOIN("", "",TRUE,UNIQUE(FILTER('Data Master'!$B$2:$B1887,'Data Master'!$C$2:$C1887=A464)))"),"petani")</f>
        <v>petani</v>
      </c>
      <c r="D464" s="40" t="str">
        <f>IFERROR(__xludf.DUMMYFUNCTION("TEXTJOIN("", "",TRUE,UNIQUE(FILTER('Data Master'!$D$2:$D1887,'Data Master'!$C$2:$C1887=A464)))"),"")</f>
        <v/>
      </c>
    </row>
    <row r="465" hidden="1">
      <c r="C465" s="40" t="str">
        <f>IFERROR(__xludf.DUMMYFUNCTION("TEXTJOIN("", "",TRUE,UNIQUE(FILTER('Data Master'!$B$2:$B1887,'Data Master'!$C$2:$C1887=A465)))"),"petani")</f>
        <v>petani</v>
      </c>
      <c r="D465" s="40" t="str">
        <f>IFERROR(__xludf.DUMMYFUNCTION("TEXTJOIN("", "",TRUE,UNIQUE(FILTER('Data Master'!$D$2:$D1887,'Data Master'!$C$2:$C1887=A465)))"),"")</f>
        <v/>
      </c>
    </row>
    <row r="466" hidden="1">
      <c r="C466" s="40" t="str">
        <f>IFERROR(__xludf.DUMMYFUNCTION("TEXTJOIN("", "",TRUE,UNIQUE(FILTER('Data Master'!$B$2:$B1887,'Data Master'!$C$2:$C1887=A466)))"),"petani")</f>
        <v>petani</v>
      </c>
      <c r="D466" s="40" t="str">
        <f>IFERROR(__xludf.DUMMYFUNCTION("TEXTJOIN("", "",TRUE,UNIQUE(FILTER('Data Master'!$D$2:$D1887,'Data Master'!$C$2:$C1887=A466)))"),"")</f>
        <v/>
      </c>
    </row>
    <row r="467" hidden="1">
      <c r="C467" s="40" t="str">
        <f>IFERROR(__xludf.DUMMYFUNCTION("TEXTJOIN("", "",TRUE,UNIQUE(FILTER('Data Master'!$B$2:$B1887,'Data Master'!$C$2:$C1887=A467)))"),"petani")</f>
        <v>petani</v>
      </c>
      <c r="D467" s="40" t="str">
        <f>IFERROR(__xludf.DUMMYFUNCTION("TEXTJOIN("", "",TRUE,UNIQUE(FILTER('Data Master'!$D$2:$D1887,'Data Master'!$C$2:$C1887=A467)))"),"")</f>
        <v/>
      </c>
    </row>
    <row r="468" hidden="1">
      <c r="C468" s="40" t="str">
        <f>IFERROR(__xludf.DUMMYFUNCTION("TEXTJOIN("", "",TRUE,UNIQUE(FILTER('Data Master'!$B$2:$B1887,'Data Master'!$C$2:$C1887=A468)))"),"petani")</f>
        <v>petani</v>
      </c>
      <c r="D468" s="40" t="str">
        <f>IFERROR(__xludf.DUMMYFUNCTION("TEXTJOIN("", "",TRUE,UNIQUE(FILTER('Data Master'!$D$2:$D1887,'Data Master'!$C$2:$C1887=A468)))"),"")</f>
        <v/>
      </c>
    </row>
    <row r="469" hidden="1">
      <c r="C469" s="40" t="str">
        <f>IFERROR(__xludf.DUMMYFUNCTION("TEXTJOIN("", "",TRUE,UNIQUE(FILTER('Data Master'!$B$2:$B1887,'Data Master'!$C$2:$C1887=A469)))"),"penyuluh")</f>
        <v>penyuluh</v>
      </c>
      <c r="D469" s="40" t="str">
        <f>IFERROR(__xludf.DUMMYFUNCTION("TEXTJOIN("", "",TRUE,UNIQUE(FILTER('Data Master'!$D$2:$D1887,'Data Master'!$C$2:$C1887=A469)))"),"")</f>
        <v/>
      </c>
    </row>
    <row r="470" hidden="1">
      <c r="C470" s="40" t="str">
        <f>IFERROR(__xludf.DUMMYFUNCTION("TEXTJOIN("", "",TRUE,UNIQUE(FILTER('Data Master'!$B$2:$B1887,'Data Master'!$C$2:$C1887=A470)))"),"petani")</f>
        <v>petani</v>
      </c>
      <c r="D470" s="40" t="str">
        <f>IFERROR(__xludf.DUMMYFUNCTION("TEXTJOIN("", "",TRUE,UNIQUE(FILTER('Data Master'!$D$2:$D1887,'Data Master'!$C$2:$C1887=A470)))"),"")</f>
        <v/>
      </c>
    </row>
    <row r="471" hidden="1">
      <c r="C471" s="40" t="str">
        <f>IFERROR(__xludf.DUMMYFUNCTION("TEXTJOIN("", "",TRUE,UNIQUE(FILTER('Data Master'!$B$2:$B1887,'Data Master'!$C$2:$C1887=A471)))"),"petani")</f>
        <v>petani</v>
      </c>
      <c r="D471" s="40" t="str">
        <f>IFERROR(__xludf.DUMMYFUNCTION("TEXTJOIN("", "",TRUE,UNIQUE(FILTER('Data Master'!$D$2:$D1887,'Data Master'!$C$2:$C1887=A471)))"),"")</f>
        <v/>
      </c>
    </row>
    <row r="472" hidden="1">
      <c r="C472" s="40" t="str">
        <f>IFERROR(__xludf.DUMMYFUNCTION("TEXTJOIN("", "",TRUE,UNIQUE(FILTER('Data Master'!$B$2:$B1887,'Data Master'!$C$2:$C1887=A472)))"),"petani")</f>
        <v>petani</v>
      </c>
      <c r="D472" s="40" t="str">
        <f>IFERROR(__xludf.DUMMYFUNCTION("TEXTJOIN("", "",TRUE,UNIQUE(FILTER('Data Master'!$D$2:$D1887,'Data Master'!$C$2:$C1887=A472)))"),"")</f>
        <v/>
      </c>
    </row>
    <row r="473" hidden="1">
      <c r="C473" s="40" t="str">
        <f>IFERROR(__xludf.DUMMYFUNCTION("TEXTJOIN("", "",TRUE,UNIQUE(FILTER('Data Master'!$B$2:$B1887,'Data Master'!$C$2:$C1887=A473)))"),"petani")</f>
        <v>petani</v>
      </c>
      <c r="D473" s="40" t="str">
        <f>IFERROR(__xludf.DUMMYFUNCTION("TEXTJOIN("", "",TRUE,UNIQUE(FILTER('Data Master'!$D$2:$D1887,'Data Master'!$C$2:$C1887=A473)))"),"")</f>
        <v/>
      </c>
    </row>
    <row r="474" hidden="1">
      <c r="C474" s="40" t="str">
        <f>IFERROR(__xludf.DUMMYFUNCTION("TEXTJOIN("", "",TRUE,UNIQUE(FILTER('Data Master'!$B$2:$B1887,'Data Master'!$C$2:$C1887=A474)))"),"petani")</f>
        <v>petani</v>
      </c>
      <c r="D474" s="40" t="str">
        <f>IFERROR(__xludf.DUMMYFUNCTION("TEXTJOIN("", "",TRUE,UNIQUE(FILTER('Data Master'!$D$2:$D1887,'Data Master'!$C$2:$C1887=A474)))"),"")</f>
        <v/>
      </c>
    </row>
    <row r="475" hidden="1">
      <c r="C475" s="40" t="str">
        <f>IFERROR(__xludf.DUMMYFUNCTION("TEXTJOIN("", "",TRUE,UNIQUE(FILTER('Data Master'!$B$2:$B1887,'Data Master'!$C$2:$C1887=A475)))"),"petani")</f>
        <v>petani</v>
      </c>
      <c r="D475" s="40" t="str">
        <f>IFERROR(__xludf.DUMMYFUNCTION("TEXTJOIN("", "",TRUE,UNIQUE(FILTER('Data Master'!$D$2:$D1887,'Data Master'!$C$2:$C1887=A475)))"),"")</f>
        <v/>
      </c>
    </row>
    <row r="476" hidden="1">
      <c r="C476" s="40" t="str">
        <f>IFERROR(__xludf.DUMMYFUNCTION("TEXTJOIN("", "",TRUE,UNIQUE(FILTER('Data Master'!$B$2:$B1887,'Data Master'!$C$2:$C1887=A476)))"),"petani")</f>
        <v>petani</v>
      </c>
      <c r="D476" s="40" t="str">
        <f>IFERROR(__xludf.DUMMYFUNCTION("TEXTJOIN("", "",TRUE,UNIQUE(FILTER('Data Master'!$D$2:$D1887,'Data Master'!$C$2:$C1887=A476)))"),"")</f>
        <v/>
      </c>
    </row>
    <row r="477" hidden="1">
      <c r="C477" s="40" t="str">
        <f>IFERROR(__xludf.DUMMYFUNCTION("TEXTJOIN("", "",TRUE,UNIQUE(FILTER('Data Master'!$B$2:$B1887,'Data Master'!$C$2:$C1887=A477)))"),"petani")</f>
        <v>petani</v>
      </c>
      <c r="D477" s="40" t="str">
        <f>IFERROR(__xludf.DUMMYFUNCTION("TEXTJOIN("", "",TRUE,UNIQUE(FILTER('Data Master'!$D$2:$D1887,'Data Master'!$C$2:$C1887=A477)))"),"")</f>
        <v/>
      </c>
    </row>
    <row r="478" hidden="1">
      <c r="C478" s="40" t="str">
        <f>IFERROR(__xludf.DUMMYFUNCTION("TEXTJOIN("", "",TRUE,UNIQUE(FILTER('Data Master'!$B$2:$B1887,'Data Master'!$C$2:$C1887=A478)))"),"petani")</f>
        <v>petani</v>
      </c>
      <c r="D478" s="40" t="str">
        <f>IFERROR(__xludf.DUMMYFUNCTION("TEXTJOIN("", "",TRUE,UNIQUE(FILTER('Data Master'!$D$2:$D1887,'Data Master'!$C$2:$C1887=A478)))"),"")</f>
        <v/>
      </c>
    </row>
    <row r="479" hidden="1">
      <c r="C479" s="40" t="str">
        <f>IFERROR(__xludf.DUMMYFUNCTION("TEXTJOIN("", "",TRUE,UNIQUE(FILTER('Data Master'!$B$2:$B1887,'Data Master'!$C$2:$C1887=A479)))"),"petani")</f>
        <v>petani</v>
      </c>
      <c r="D479" s="40" t="str">
        <f>IFERROR(__xludf.DUMMYFUNCTION("TEXTJOIN("", "",TRUE,UNIQUE(FILTER('Data Master'!$D$2:$D1887,'Data Master'!$C$2:$C1887=A479)))"),"")</f>
        <v/>
      </c>
    </row>
    <row r="480" hidden="1">
      <c r="C480" s="40" t="str">
        <f>IFERROR(__xludf.DUMMYFUNCTION("TEXTJOIN("", "",TRUE,UNIQUE(FILTER('Data Master'!$B$2:$B1887,'Data Master'!$C$2:$C1887=A480)))"),"petani")</f>
        <v>petani</v>
      </c>
      <c r="D480" s="40" t="str">
        <f>IFERROR(__xludf.DUMMYFUNCTION("TEXTJOIN("", "",TRUE,UNIQUE(FILTER('Data Master'!$D$2:$D1887,'Data Master'!$C$2:$C1887=A480)))"),"")</f>
        <v/>
      </c>
    </row>
    <row r="481" hidden="1">
      <c r="C481" s="40" t="str">
        <f>IFERROR(__xludf.DUMMYFUNCTION("TEXTJOIN("", "",TRUE,UNIQUE(FILTER('Data Master'!$B$2:$B1887,'Data Master'!$C$2:$C1887=A481)))"),"petani")</f>
        <v>petani</v>
      </c>
      <c r="D481" s="40" t="str">
        <f>IFERROR(__xludf.DUMMYFUNCTION("TEXTJOIN("", "",TRUE,UNIQUE(FILTER('Data Master'!$D$2:$D1887,'Data Master'!$C$2:$C1887=A481)))"),"")</f>
        <v/>
      </c>
    </row>
    <row r="482" hidden="1">
      <c r="C482" s="40" t="str">
        <f>IFERROR(__xludf.DUMMYFUNCTION("TEXTJOIN("", "",TRUE,UNIQUE(FILTER('Data Master'!$B$2:$B1887,'Data Master'!$C$2:$C1887=A482)))"),"petani")</f>
        <v>petani</v>
      </c>
      <c r="D482" s="40" t="str">
        <f>IFERROR(__xludf.DUMMYFUNCTION("TEXTJOIN("", "",TRUE,UNIQUE(FILTER('Data Master'!$D$2:$D1887,'Data Master'!$C$2:$C1887=A482)))"),"")</f>
        <v/>
      </c>
    </row>
    <row r="483" hidden="1">
      <c r="C483" s="40" t="str">
        <f>IFERROR(__xludf.DUMMYFUNCTION("TEXTJOIN("", "",TRUE,UNIQUE(FILTER('Data Master'!$B$2:$B1887,'Data Master'!$C$2:$C1887=A483)))"),"petani")</f>
        <v>petani</v>
      </c>
      <c r="D483" s="40" t="str">
        <f>IFERROR(__xludf.DUMMYFUNCTION("TEXTJOIN("", "",TRUE,UNIQUE(FILTER('Data Master'!$D$2:$D1887,'Data Master'!$C$2:$C1887=A483)))"),"")</f>
        <v/>
      </c>
    </row>
    <row r="484" hidden="1">
      <c r="C484" s="40" t="str">
        <f>IFERROR(__xludf.DUMMYFUNCTION("TEXTJOIN("", "",TRUE,UNIQUE(FILTER('Data Master'!$B$2:$B1887,'Data Master'!$C$2:$C1887=A484)))"),"petani")</f>
        <v>petani</v>
      </c>
      <c r="D484" s="40" t="str">
        <f>IFERROR(__xludf.DUMMYFUNCTION("TEXTJOIN("", "",TRUE,UNIQUE(FILTER('Data Master'!$D$2:$D1887,'Data Master'!$C$2:$C1887=A484)))"),"")</f>
        <v/>
      </c>
    </row>
    <row r="485" hidden="1">
      <c r="C485" s="40" t="str">
        <f>IFERROR(__xludf.DUMMYFUNCTION("TEXTJOIN("", "",TRUE,UNIQUE(FILTER('Data Master'!$B$2:$B1887,'Data Master'!$C$2:$C1887=A485)))"),"petani")</f>
        <v>petani</v>
      </c>
      <c r="D485" s="40" t="str">
        <f>IFERROR(__xludf.DUMMYFUNCTION("TEXTJOIN("", "",TRUE,UNIQUE(FILTER('Data Master'!$D$2:$D1887,'Data Master'!$C$2:$C1887=A485)))"),"")</f>
        <v/>
      </c>
    </row>
    <row r="486" hidden="1">
      <c r="C486" s="40" t="str">
        <f>IFERROR(__xludf.DUMMYFUNCTION("TEXTJOIN("", "",TRUE,UNIQUE(FILTER('Data Master'!$B$2:$B1887,'Data Master'!$C$2:$C1887=A486)))"),"petani")</f>
        <v>petani</v>
      </c>
      <c r="D486" s="40" t="str">
        <f>IFERROR(__xludf.DUMMYFUNCTION("TEXTJOIN("", "",TRUE,UNIQUE(FILTER('Data Master'!$D$2:$D1887,'Data Master'!$C$2:$C1887=A486)))"),"darmo@gmail.com")</f>
        <v>darmo@gmail.com</v>
      </c>
    </row>
    <row r="487" hidden="1">
      <c r="C487" s="40" t="str">
        <f>IFERROR(__xludf.DUMMYFUNCTION("TEXTJOIN("", "",TRUE,UNIQUE(FILTER('Data Master'!$B$2:$B1887,'Data Master'!$C$2:$C1887=A487)))"),"petani")</f>
        <v>petani</v>
      </c>
      <c r="D487" s="40" t="str">
        <f>IFERROR(__xludf.DUMMYFUNCTION("TEXTJOIN("", "",TRUE,UNIQUE(FILTER('Data Master'!$D$2:$D1887,'Data Master'!$C$2:$C1887=A487)))"),"")</f>
        <v/>
      </c>
    </row>
    <row r="488" hidden="1">
      <c r="C488" s="40" t="str">
        <f>IFERROR(__xludf.DUMMYFUNCTION("TEXTJOIN("", "",TRUE,UNIQUE(FILTER('Data Master'!$B$2:$B1887,'Data Master'!$C$2:$C1887=A488)))"),"petani")</f>
        <v>petani</v>
      </c>
      <c r="D488" s="40" t="str">
        <f>IFERROR(__xludf.DUMMYFUNCTION("TEXTJOIN("", "",TRUE,UNIQUE(FILTER('Data Master'!$D$2:$D1887,'Data Master'!$C$2:$C1887=A488)))"),"")</f>
        <v/>
      </c>
    </row>
    <row r="489" hidden="1">
      <c r="C489" s="40" t="str">
        <f>IFERROR(__xludf.DUMMYFUNCTION("TEXTJOIN("", "",TRUE,UNIQUE(FILTER('Data Master'!$B$2:$B1887,'Data Master'!$C$2:$C1887=A489)))"),"petani")</f>
        <v>petani</v>
      </c>
      <c r="D489" s="40" t="str">
        <f>IFERROR(__xludf.DUMMYFUNCTION("TEXTJOIN("", "",TRUE,UNIQUE(FILTER('Data Master'!$D$2:$D1887,'Data Master'!$C$2:$C1887=A489)))"),"")</f>
        <v/>
      </c>
    </row>
    <row r="490" hidden="1">
      <c r="C490" s="40" t="str">
        <f>IFERROR(__xludf.DUMMYFUNCTION("TEXTJOIN("", "",TRUE,UNIQUE(FILTER('Data Master'!$B$2:$B1887,'Data Master'!$C$2:$C1887=A490)))"),"petani")</f>
        <v>petani</v>
      </c>
      <c r="D490" s="40" t="str">
        <f>IFERROR(__xludf.DUMMYFUNCTION("TEXTJOIN("", "",TRUE,UNIQUE(FILTER('Data Master'!$D$2:$D1887,'Data Master'!$C$2:$C1887=A490)))"),"")</f>
        <v/>
      </c>
    </row>
    <row r="491" hidden="1">
      <c r="C491" s="40" t="str">
        <f>IFERROR(__xludf.DUMMYFUNCTION("TEXTJOIN("", "",TRUE,UNIQUE(FILTER('Data Master'!$B$2:$B1887,'Data Master'!$C$2:$C1887=A491)))"),"petani")</f>
        <v>petani</v>
      </c>
      <c r="D491" s="40" t="str">
        <f>IFERROR(__xludf.DUMMYFUNCTION("TEXTJOIN("", "",TRUE,UNIQUE(FILTER('Data Master'!$D$2:$D1887,'Data Master'!$C$2:$C1887=A491)))"),"")</f>
        <v/>
      </c>
    </row>
    <row r="492" hidden="1">
      <c r="C492" s="40" t="str">
        <f>IFERROR(__xludf.DUMMYFUNCTION("TEXTJOIN("", "",TRUE,UNIQUE(FILTER('Data Master'!$B$2:$B1887,'Data Master'!$C$2:$C1887=A492)))"),"petani")</f>
        <v>petani</v>
      </c>
      <c r="D492" s="40" t="str">
        <f>IFERROR(__xludf.DUMMYFUNCTION("TEXTJOIN("", "",TRUE,UNIQUE(FILTER('Data Master'!$D$2:$D1887,'Data Master'!$C$2:$C1887=A492)))"),"")</f>
        <v/>
      </c>
    </row>
    <row r="493" hidden="1">
      <c r="C493" s="40" t="str">
        <f>IFERROR(__xludf.DUMMYFUNCTION("TEXTJOIN("", "",TRUE,UNIQUE(FILTER('Data Master'!$B$2:$B1887,'Data Master'!$C$2:$C1887=A493)))"),"petani")</f>
        <v>petani</v>
      </c>
      <c r="D493" s="40" t="str">
        <f>IFERROR(__xludf.DUMMYFUNCTION("TEXTJOIN("", "",TRUE,UNIQUE(FILTER('Data Master'!$D$2:$D1887,'Data Master'!$C$2:$C1887=A493)))"),"")</f>
        <v/>
      </c>
    </row>
    <row r="494" hidden="1">
      <c r="C494" s="40" t="str">
        <f>IFERROR(__xludf.DUMMYFUNCTION("TEXTJOIN("", "",TRUE,UNIQUE(FILTER('Data Master'!$B$2:$B1887,'Data Master'!$C$2:$C1887=A494)))"),"petani")</f>
        <v>petani</v>
      </c>
      <c r="D494" s="40" t="str">
        <f>IFERROR(__xludf.DUMMYFUNCTION("TEXTJOIN("", "",TRUE,UNIQUE(FILTER('Data Master'!$D$2:$D1887,'Data Master'!$C$2:$C1887=A494)))"),"")</f>
        <v/>
      </c>
    </row>
    <row r="495" hidden="1">
      <c r="C495" s="40" t="str">
        <f>IFERROR(__xludf.DUMMYFUNCTION("TEXTJOIN("", "",TRUE,UNIQUE(FILTER('Data Master'!$B$2:$B1887,'Data Master'!$C$2:$C1887=A495)))"),"petani")</f>
        <v>petani</v>
      </c>
      <c r="D495" s="40" t="str">
        <f>IFERROR(__xludf.DUMMYFUNCTION("TEXTJOIN("", "",TRUE,UNIQUE(FILTER('Data Master'!$D$2:$D1887,'Data Master'!$C$2:$C1887=A495)))"),"")</f>
        <v/>
      </c>
    </row>
    <row r="496" hidden="1">
      <c r="C496" s="40" t="str">
        <f>IFERROR(__xludf.DUMMYFUNCTION("TEXTJOIN("", "",TRUE,UNIQUE(FILTER('Data Master'!$B$2:$B1887,'Data Master'!$C$2:$C1887=A496)))"),"petani")</f>
        <v>petani</v>
      </c>
      <c r="D496" s="40" t="str">
        <f>IFERROR(__xludf.DUMMYFUNCTION("TEXTJOIN("", "",TRUE,UNIQUE(FILTER('Data Master'!$D$2:$D1887,'Data Master'!$C$2:$C1887=A496)))"),"")</f>
        <v/>
      </c>
    </row>
    <row r="497" hidden="1">
      <c r="C497" s="40" t="str">
        <f>IFERROR(__xludf.DUMMYFUNCTION("TEXTJOIN("", "",TRUE,UNIQUE(FILTER('Data Master'!$B$2:$B1887,'Data Master'!$C$2:$C1887=A497)))"),"petani")</f>
        <v>petani</v>
      </c>
      <c r="D497" s="40" t="str">
        <f>IFERROR(__xludf.DUMMYFUNCTION("TEXTJOIN("", "",TRUE,UNIQUE(FILTER('Data Master'!$D$2:$D1887,'Data Master'!$C$2:$C1887=A497)))"),"")</f>
        <v/>
      </c>
    </row>
    <row r="498" hidden="1">
      <c r="C498" s="40" t="str">
        <f>IFERROR(__xludf.DUMMYFUNCTION("TEXTJOIN("", "",TRUE,UNIQUE(FILTER('Data Master'!$B$2:$B1887,'Data Master'!$C$2:$C1887=A498)))"),"petani")</f>
        <v>petani</v>
      </c>
      <c r="D498" s="40" t="str">
        <f>IFERROR(__xludf.DUMMYFUNCTION("TEXTJOIN("", "",TRUE,UNIQUE(FILTER('Data Master'!$D$2:$D1887,'Data Master'!$C$2:$C1887=A498)))"),"")</f>
        <v/>
      </c>
    </row>
    <row r="499" hidden="1">
      <c r="C499" s="40" t="str">
        <f>IFERROR(__xludf.DUMMYFUNCTION("TEXTJOIN("", "",TRUE,UNIQUE(FILTER('Data Master'!$B$2:$B1887,'Data Master'!$C$2:$C1887=A499)))"),"petani")</f>
        <v>petani</v>
      </c>
      <c r="D499" s="40" t="str">
        <f>IFERROR(__xludf.DUMMYFUNCTION("TEXTJOIN("", "",TRUE,UNIQUE(FILTER('Data Master'!$D$2:$D1887,'Data Master'!$C$2:$C1887=A499)))"),"")</f>
        <v/>
      </c>
    </row>
    <row r="500" hidden="1">
      <c r="C500" s="40" t="str">
        <f>IFERROR(__xludf.DUMMYFUNCTION("TEXTJOIN("", "",TRUE,UNIQUE(FILTER('Data Master'!$B$2:$B1887,'Data Master'!$C$2:$C1887=A500)))"),"petani")</f>
        <v>petani</v>
      </c>
      <c r="D500" s="40" t="str">
        <f>IFERROR(__xludf.DUMMYFUNCTION("TEXTJOIN("", "",TRUE,UNIQUE(FILTER('Data Master'!$D$2:$D1887,'Data Master'!$C$2:$C1887=A500)))"),"")</f>
        <v/>
      </c>
    </row>
    <row r="501" hidden="1">
      <c r="C501" s="40" t="str">
        <f>IFERROR(__xludf.DUMMYFUNCTION("TEXTJOIN("", "",TRUE,UNIQUE(FILTER('Data Master'!$B$2:$B1887,'Data Master'!$C$2:$C1887=A501)))"),"petani")</f>
        <v>petani</v>
      </c>
      <c r="D501" s="40" t="str">
        <f>IFERROR(__xludf.DUMMYFUNCTION("TEXTJOIN("", "",TRUE,UNIQUE(FILTER('Data Master'!$D$2:$D1887,'Data Master'!$C$2:$C1887=A501)))"),"")</f>
        <v/>
      </c>
    </row>
    <row r="502" hidden="1">
      <c r="C502" s="40" t="str">
        <f>IFERROR(__xludf.DUMMYFUNCTION("TEXTJOIN("", "",TRUE,UNIQUE(FILTER('Data Master'!$B$2:$B1887,'Data Master'!$C$2:$C1887=A502)))"),"petani")</f>
        <v>petani</v>
      </c>
      <c r="D502" s="40" t="str">
        <f>IFERROR(__xludf.DUMMYFUNCTION("TEXTJOIN("", "",TRUE,UNIQUE(FILTER('Data Master'!$D$2:$D1887,'Data Master'!$C$2:$C1887=A502)))"),"")</f>
        <v/>
      </c>
    </row>
    <row r="503" hidden="1">
      <c r="C503" s="40" t="str">
        <f>IFERROR(__xludf.DUMMYFUNCTION("TEXTJOIN("", "",TRUE,UNIQUE(FILTER('Data Master'!$B$2:$B1887,'Data Master'!$C$2:$C1887=A503)))"),"petani")</f>
        <v>petani</v>
      </c>
      <c r="D503" s="40" t="str">
        <f>IFERROR(__xludf.DUMMYFUNCTION("TEXTJOIN("", "",TRUE,UNIQUE(FILTER('Data Master'!$D$2:$D1887,'Data Master'!$C$2:$C1887=A503)))"),"")</f>
        <v/>
      </c>
    </row>
    <row r="504" hidden="1">
      <c r="C504" s="40" t="str">
        <f>IFERROR(__xludf.DUMMYFUNCTION("TEXTJOIN("", "",TRUE,UNIQUE(FILTER('Data Master'!$B$2:$B1887,'Data Master'!$C$2:$C1887=A504)))"),"petani")</f>
        <v>petani</v>
      </c>
      <c r="D504" s="40" t="str">
        <f>IFERROR(__xludf.DUMMYFUNCTION("TEXTJOIN("", "",TRUE,UNIQUE(FILTER('Data Master'!$D$2:$D1887,'Data Master'!$C$2:$C1887=A504)))"),"")</f>
        <v/>
      </c>
    </row>
    <row r="505" hidden="1">
      <c r="C505" s="40" t="str">
        <f>IFERROR(__xludf.DUMMYFUNCTION("TEXTJOIN("", "",TRUE,UNIQUE(FILTER('Data Master'!$B$2:$B1887,'Data Master'!$C$2:$C1887=A505)))"),"petani")</f>
        <v>petani</v>
      </c>
      <c r="D505" s="40" t="str">
        <f>IFERROR(__xludf.DUMMYFUNCTION("TEXTJOIN("", "",TRUE,UNIQUE(FILTER('Data Master'!$D$2:$D1887,'Data Master'!$C$2:$C1887=A505)))"),"")</f>
        <v/>
      </c>
    </row>
    <row r="506" hidden="1">
      <c r="C506" s="40" t="str">
        <f>IFERROR(__xludf.DUMMYFUNCTION("TEXTJOIN("", "",TRUE,UNIQUE(FILTER('Data Master'!$B$2:$B1887,'Data Master'!$C$2:$C1887=A506)))"),"petani")</f>
        <v>petani</v>
      </c>
      <c r="D506" s="40" t="str">
        <f>IFERROR(__xludf.DUMMYFUNCTION("TEXTJOIN("", "",TRUE,UNIQUE(FILTER('Data Master'!$D$2:$D1887,'Data Master'!$C$2:$C1887=A506)))"),"")</f>
        <v/>
      </c>
    </row>
    <row r="507" hidden="1">
      <c r="C507" s="40" t="str">
        <f>IFERROR(__xludf.DUMMYFUNCTION("TEXTJOIN("", "",TRUE,UNIQUE(FILTER('Data Master'!$B$2:$B1887,'Data Master'!$C$2:$C1887=A507)))"),"petani")</f>
        <v>petani</v>
      </c>
      <c r="D507" s="40" t="str">
        <f>IFERROR(__xludf.DUMMYFUNCTION("TEXTJOIN("", "",TRUE,UNIQUE(FILTER('Data Master'!$D$2:$D1887,'Data Master'!$C$2:$C1887=A507)))"),"")</f>
        <v/>
      </c>
    </row>
    <row r="508" hidden="1">
      <c r="C508" s="40" t="str">
        <f>IFERROR(__xludf.DUMMYFUNCTION("TEXTJOIN("", "",TRUE,UNIQUE(FILTER('Data Master'!$B$2:$B1887,'Data Master'!$C$2:$C1887=A508)))"),"petani")</f>
        <v>petani</v>
      </c>
      <c r="D508" s="40" t="str">
        <f>IFERROR(__xludf.DUMMYFUNCTION("TEXTJOIN("", "",TRUE,UNIQUE(FILTER('Data Master'!$D$2:$D1887,'Data Master'!$C$2:$C1887=A508)))"),"")</f>
        <v/>
      </c>
    </row>
    <row r="509" hidden="1">
      <c r="C509" s="40" t="str">
        <f>IFERROR(__xludf.DUMMYFUNCTION("TEXTJOIN("", "",TRUE,UNIQUE(FILTER('Data Master'!$B$2:$B1887,'Data Master'!$C$2:$C1887=A509)))"),"petani")</f>
        <v>petani</v>
      </c>
      <c r="D509" s="40" t="str">
        <f>IFERROR(__xludf.DUMMYFUNCTION("TEXTJOIN("", "",TRUE,UNIQUE(FILTER('Data Master'!$D$2:$D1887,'Data Master'!$C$2:$C1887=A509)))"),"")</f>
        <v/>
      </c>
    </row>
    <row r="510" hidden="1">
      <c r="C510" s="40" t="str">
        <f>IFERROR(__xludf.DUMMYFUNCTION("TEXTJOIN("", "",TRUE,UNIQUE(FILTER('Data Master'!$B$2:$B1887,'Data Master'!$C$2:$C1887=A510)))"),"petani")</f>
        <v>petani</v>
      </c>
      <c r="D510" s="40" t="str">
        <f>IFERROR(__xludf.DUMMYFUNCTION("TEXTJOIN("", "",TRUE,UNIQUE(FILTER('Data Master'!$D$2:$D1887,'Data Master'!$C$2:$C1887=A510)))"),"")</f>
        <v/>
      </c>
    </row>
    <row r="511" hidden="1">
      <c r="C511" s="40" t="str">
        <f>IFERROR(__xludf.DUMMYFUNCTION("TEXTJOIN("", "",TRUE,UNIQUE(FILTER('Data Master'!$B$2:$B1887,'Data Master'!$C$2:$C1887=A511)))"),"petani")</f>
        <v>petani</v>
      </c>
      <c r="D511" s="40" t="str">
        <f>IFERROR(__xludf.DUMMYFUNCTION("TEXTJOIN("", "",TRUE,UNIQUE(FILTER('Data Master'!$D$2:$D1887,'Data Master'!$C$2:$C1887=A511)))"),"")</f>
        <v/>
      </c>
    </row>
    <row r="512" hidden="1">
      <c r="C512" s="40" t="str">
        <f>IFERROR(__xludf.DUMMYFUNCTION("TEXTJOIN("", "",TRUE,UNIQUE(FILTER('Data Master'!$B$2:$B1887,'Data Master'!$C$2:$C1887=A512)))"),"petani")</f>
        <v>petani</v>
      </c>
      <c r="D512" s="40" t="str">
        <f>IFERROR(__xludf.DUMMYFUNCTION("TEXTJOIN("", "",TRUE,UNIQUE(FILTER('Data Master'!$D$2:$D1887,'Data Master'!$C$2:$C1887=A512)))"),"")</f>
        <v/>
      </c>
    </row>
    <row r="513" hidden="1">
      <c r="C513" s="40" t="str">
        <f>IFERROR(__xludf.DUMMYFUNCTION("TEXTJOIN("", "",TRUE,UNIQUE(FILTER('Data Master'!$B$2:$B1887,'Data Master'!$C$2:$C1887=A513)))"),"petani")</f>
        <v>petani</v>
      </c>
      <c r="D513" s="40" t="str">
        <f>IFERROR(__xludf.DUMMYFUNCTION("TEXTJOIN("", "",TRUE,UNIQUE(FILTER('Data Master'!$D$2:$D1887,'Data Master'!$C$2:$C1887=A513)))"),"")</f>
        <v/>
      </c>
    </row>
    <row r="514" hidden="1">
      <c r="C514" s="40" t="str">
        <f>IFERROR(__xludf.DUMMYFUNCTION("TEXTJOIN("", "",TRUE,UNIQUE(FILTER('Data Master'!$B$2:$B1887,'Data Master'!$C$2:$C1887=A514)))"),"petani")</f>
        <v>petani</v>
      </c>
      <c r="D514" s="40" t="str">
        <f>IFERROR(__xludf.DUMMYFUNCTION("TEXTJOIN("", "",TRUE,UNIQUE(FILTER('Data Master'!$D$2:$D1887,'Data Master'!$C$2:$C1887=A514)))"),"")</f>
        <v/>
      </c>
    </row>
    <row r="515" hidden="1">
      <c r="C515" s="40" t="str">
        <f>IFERROR(__xludf.DUMMYFUNCTION("TEXTJOIN("", "",TRUE,UNIQUE(FILTER('Data Master'!$B$2:$B1887,'Data Master'!$C$2:$C1887=A515)))"),"petani")</f>
        <v>petani</v>
      </c>
      <c r="D515" s="40" t="str">
        <f>IFERROR(__xludf.DUMMYFUNCTION("TEXTJOIN("", "",TRUE,UNIQUE(FILTER('Data Master'!$D$2:$D1887,'Data Master'!$C$2:$C1887=A515)))"),"")</f>
        <v/>
      </c>
    </row>
    <row r="516" hidden="1">
      <c r="C516" s="40" t="str">
        <f>IFERROR(__xludf.DUMMYFUNCTION("TEXTJOIN("", "",TRUE,UNIQUE(FILTER('Data Master'!$B$2:$B1887,'Data Master'!$C$2:$C1887=A516)))"),"petani")</f>
        <v>petani</v>
      </c>
      <c r="D516" s="40" t="str">
        <f>IFERROR(__xludf.DUMMYFUNCTION("TEXTJOIN("", "",TRUE,UNIQUE(FILTER('Data Master'!$D$2:$D1887,'Data Master'!$C$2:$C1887=A516)))"),"")</f>
        <v/>
      </c>
    </row>
    <row r="517" hidden="1">
      <c r="C517" s="40" t="str">
        <f>IFERROR(__xludf.DUMMYFUNCTION("TEXTJOIN("", "",TRUE,UNIQUE(FILTER('Data Master'!$B$2:$B1887,'Data Master'!$C$2:$C1887=A517)))"),"petani")</f>
        <v>petani</v>
      </c>
      <c r="D517" s="40" t="str">
        <f>IFERROR(__xludf.DUMMYFUNCTION("TEXTJOIN("", "",TRUE,UNIQUE(FILTER('Data Master'!$D$2:$D1887,'Data Master'!$C$2:$C1887=A517)))"),"")</f>
        <v/>
      </c>
    </row>
    <row r="518" hidden="1">
      <c r="C518" s="40" t="str">
        <f>IFERROR(__xludf.DUMMYFUNCTION("TEXTJOIN("", "",TRUE,UNIQUE(FILTER('Data Master'!$B$2:$B1887,'Data Master'!$C$2:$C1887=A518)))"),"petani")</f>
        <v>petani</v>
      </c>
      <c r="D518" s="40" t="str">
        <f>IFERROR(__xludf.DUMMYFUNCTION("TEXTJOIN("", "",TRUE,UNIQUE(FILTER('Data Master'!$D$2:$D1887,'Data Master'!$C$2:$C1887=A518)))"),"")</f>
        <v/>
      </c>
    </row>
    <row r="519" hidden="1">
      <c r="C519" s="40" t="str">
        <f>IFERROR(__xludf.DUMMYFUNCTION("TEXTJOIN("", "",TRUE,UNIQUE(FILTER('Data Master'!$B$2:$B1887,'Data Master'!$C$2:$C1887=A519)))"),"petani")</f>
        <v>petani</v>
      </c>
      <c r="D519" s="40" t="str">
        <f>IFERROR(__xludf.DUMMYFUNCTION("TEXTJOIN("", "",TRUE,UNIQUE(FILTER('Data Master'!$D$2:$D1887,'Data Master'!$C$2:$C1887=A519)))"),"")</f>
        <v/>
      </c>
    </row>
    <row r="520" hidden="1">
      <c r="C520" s="40" t="str">
        <f>IFERROR(__xludf.DUMMYFUNCTION("TEXTJOIN("", "",TRUE,UNIQUE(FILTER('Data Master'!$B$2:$B1887,'Data Master'!$C$2:$C1887=A520)))"),"petani")</f>
        <v>petani</v>
      </c>
      <c r="D520" s="40" t="str">
        <f>IFERROR(__xludf.DUMMYFUNCTION("TEXTJOIN("", "",TRUE,UNIQUE(FILTER('Data Master'!$D$2:$D1887,'Data Master'!$C$2:$C1887=A520)))"),"")</f>
        <v/>
      </c>
    </row>
    <row r="521" hidden="1">
      <c r="C521" s="40" t="str">
        <f>IFERROR(__xludf.DUMMYFUNCTION("TEXTJOIN("", "",TRUE,UNIQUE(FILTER('Data Master'!$B$2:$B1887,'Data Master'!$C$2:$C1887=A521)))"),"petani")</f>
        <v>petani</v>
      </c>
      <c r="D521" s="40" t="str">
        <f>IFERROR(__xludf.DUMMYFUNCTION("TEXTJOIN("", "",TRUE,UNIQUE(FILTER('Data Master'!$D$2:$D1887,'Data Master'!$C$2:$C1887=A521)))"),"")</f>
        <v/>
      </c>
    </row>
    <row r="522" hidden="1">
      <c r="C522" s="40" t="str">
        <f>IFERROR(__xludf.DUMMYFUNCTION("TEXTJOIN("", "",TRUE,UNIQUE(FILTER('Data Master'!$B$2:$B1887,'Data Master'!$C$2:$C1887=A522)))"),"penyuluh")</f>
        <v>penyuluh</v>
      </c>
      <c r="D522" s="40" t="str">
        <f>IFERROR(__xludf.DUMMYFUNCTION("TEXTJOIN("", "",TRUE,UNIQUE(FILTER('Data Master'!$D$2:$D1887,'Data Master'!$C$2:$C1887=A522)))"),"")</f>
        <v/>
      </c>
    </row>
    <row r="523" hidden="1">
      <c r="C523" s="40" t="str">
        <f>IFERROR(__xludf.DUMMYFUNCTION("TEXTJOIN("", "",TRUE,UNIQUE(FILTER('Data Master'!$B$2:$B1887,'Data Master'!$C$2:$C1887=A523)))"),"operator admin, penyuluh")</f>
        <v>operator admin, penyuluh</v>
      </c>
      <c r="D523" s="40" t="str">
        <f>IFERROR(__xludf.DUMMYFUNCTION("TEXTJOIN("", "",TRUE,UNIQUE(FILTER('Data Master'!$D$2:$D1887,'Data Master'!$C$2:$C1887=A523)))"),"bppkaranganyarngw@gmail.com, dehapurwoko@gmail.com")</f>
        <v>bppkaranganyarngw@gmail.com, dehapurwoko@gmail.com</v>
      </c>
    </row>
    <row r="524" hidden="1">
      <c r="C524" s="40" t="str">
        <f>IFERROR(__xludf.DUMMYFUNCTION("TEXTJOIN("", "",TRUE,UNIQUE(FILTER('Data Master'!$B$2:$B1887,'Data Master'!$C$2:$C1887=A524)))"),"petani")</f>
        <v>petani</v>
      </c>
      <c r="D524" s="40" t="str">
        <f>IFERROR(__xludf.DUMMYFUNCTION("TEXTJOIN("", "",TRUE,UNIQUE(FILTER('Data Master'!$D$2:$D1887,'Data Master'!$C$2:$C1887=A524)))"),"")</f>
        <v/>
      </c>
    </row>
    <row r="525" hidden="1">
      <c r="C525" s="40" t="str">
        <f>IFERROR(__xludf.DUMMYFUNCTION("TEXTJOIN("", "",TRUE,UNIQUE(FILTER('Data Master'!$B$2:$B1887,'Data Master'!$C$2:$C1887=A525)))"),"petani")</f>
        <v>petani</v>
      </c>
      <c r="D525" s="40" t="str">
        <f>IFERROR(__xludf.DUMMYFUNCTION("TEXTJOIN("", "",TRUE,UNIQUE(FILTER('Data Master'!$D$2:$D1887,'Data Master'!$C$2:$C1887=A525)))"),"")</f>
        <v/>
      </c>
    </row>
    <row r="526" hidden="1">
      <c r="C526" s="40" t="str">
        <f>IFERROR(__xludf.DUMMYFUNCTION("TEXTJOIN("", "",TRUE,UNIQUE(FILTER('Data Master'!$B$2:$B1887,'Data Master'!$C$2:$C1887=A526)))"),"petani")</f>
        <v>petani</v>
      </c>
      <c r="D526" s="40" t="str">
        <f>IFERROR(__xludf.DUMMYFUNCTION("TEXTJOIN("", "",TRUE,UNIQUE(FILTER('Data Master'!$D$2:$D1887,'Data Master'!$C$2:$C1887=A526)))"),"")</f>
        <v/>
      </c>
    </row>
    <row r="527" hidden="1">
      <c r="C527" s="40" t="str">
        <f>IFERROR(__xludf.DUMMYFUNCTION("TEXTJOIN("", "",TRUE,UNIQUE(FILTER('Data Master'!$B$2:$B1887,'Data Master'!$C$2:$C1887=A527)))"),"petani")</f>
        <v>petani</v>
      </c>
      <c r="D527" s="40" t="str">
        <f>IFERROR(__xludf.DUMMYFUNCTION("TEXTJOIN("", "",TRUE,UNIQUE(FILTER('Data Master'!$D$2:$D1887,'Data Master'!$C$2:$C1887=A527)))"),"")</f>
        <v/>
      </c>
    </row>
    <row r="528" hidden="1">
      <c r="C528" s="40" t="str">
        <f>IFERROR(__xludf.DUMMYFUNCTION("TEXTJOIN("", "",TRUE,UNIQUE(FILTER('Data Master'!$B$2:$B1887,'Data Master'!$C$2:$C1887=A528)))"),"petani")</f>
        <v>petani</v>
      </c>
      <c r="D528" s="40" t="str">
        <f>IFERROR(__xludf.DUMMYFUNCTION("TEXTJOIN("", "",TRUE,UNIQUE(FILTER('Data Master'!$D$2:$D1887,'Data Master'!$C$2:$C1887=A528)))"),"")</f>
        <v/>
      </c>
    </row>
    <row r="529" hidden="1">
      <c r="C529" s="40" t="str">
        <f>IFERROR(__xludf.DUMMYFUNCTION("TEXTJOIN("", "",TRUE,UNIQUE(FILTER('Data Master'!$B$2:$B1887,'Data Master'!$C$2:$C1887=A529)))"),"petani")</f>
        <v>petani</v>
      </c>
      <c r="D529" s="40" t="str">
        <f>IFERROR(__xludf.DUMMYFUNCTION("TEXTJOIN("", "",TRUE,UNIQUE(FILTER('Data Master'!$D$2:$D1887,'Data Master'!$C$2:$C1887=A529)))"),"")</f>
        <v/>
      </c>
    </row>
    <row r="530" hidden="1">
      <c r="C530" s="40" t="str">
        <f>IFERROR(__xludf.DUMMYFUNCTION("TEXTJOIN("", "",TRUE,UNIQUE(FILTER('Data Master'!$B$2:$B1887,'Data Master'!$C$2:$C1887=A530)))"),"petani")</f>
        <v>petani</v>
      </c>
      <c r="D530" s="40" t="str">
        <f>IFERROR(__xludf.DUMMYFUNCTION("TEXTJOIN("", "",TRUE,UNIQUE(FILTER('Data Master'!$D$2:$D1887,'Data Master'!$C$2:$C1887=A530)))"),"")</f>
        <v/>
      </c>
    </row>
    <row r="531" hidden="1">
      <c r="C531" s="40" t="str">
        <f>IFERROR(__xludf.DUMMYFUNCTION("TEXTJOIN("", "",TRUE,UNIQUE(FILTER('Data Master'!$B$2:$B1887,'Data Master'!$C$2:$C1887=A531)))"),"petani")</f>
        <v>petani</v>
      </c>
      <c r="D531" s="40" t="str">
        <f>IFERROR(__xludf.DUMMYFUNCTION("TEXTJOIN("", "",TRUE,UNIQUE(FILTER('Data Master'!$D$2:$D1887,'Data Master'!$C$2:$C1887=A531)))"),"")</f>
        <v/>
      </c>
    </row>
    <row r="532" hidden="1">
      <c r="C532" s="40" t="str">
        <f>IFERROR(__xludf.DUMMYFUNCTION("TEXTJOIN("", "",TRUE,UNIQUE(FILTER('Data Master'!$B$2:$B1887,'Data Master'!$C$2:$C1887=A532)))"),"petani")</f>
        <v>petani</v>
      </c>
      <c r="D532" s="40" t="str">
        <f>IFERROR(__xludf.DUMMYFUNCTION("TEXTJOIN("", "",TRUE,UNIQUE(FILTER('Data Master'!$D$2:$D1887,'Data Master'!$C$2:$C1887=A532)))"),"")</f>
        <v/>
      </c>
    </row>
    <row r="533" hidden="1">
      <c r="C533" s="40" t="str">
        <f>IFERROR(__xludf.DUMMYFUNCTION("TEXTJOIN("", "",TRUE,UNIQUE(FILTER('Data Master'!$B$2:$B1887,'Data Master'!$C$2:$C1887=A533)))"),"petani")</f>
        <v>petani</v>
      </c>
      <c r="D533" s="40" t="str">
        <f>IFERROR(__xludf.DUMMYFUNCTION("TEXTJOIN("", "",TRUE,UNIQUE(FILTER('Data Master'!$D$2:$D1887,'Data Master'!$C$2:$C1887=A533)))"),"")</f>
        <v/>
      </c>
    </row>
    <row r="534" hidden="1">
      <c r="C534" s="40" t="str">
        <f>IFERROR(__xludf.DUMMYFUNCTION("TEXTJOIN("", "",TRUE,UNIQUE(FILTER('Data Master'!$B$2:$B1887,'Data Master'!$C$2:$C1887=A534)))"),"petani")</f>
        <v>petani</v>
      </c>
      <c r="D534" s="40" t="str">
        <f>IFERROR(__xludf.DUMMYFUNCTION("TEXTJOIN("", "",TRUE,UNIQUE(FILTER('Data Master'!$D$2:$D1887,'Data Master'!$C$2:$C1887=A534)))"),"")</f>
        <v/>
      </c>
    </row>
    <row r="535" hidden="1">
      <c r="C535" s="40" t="str">
        <f>IFERROR(__xludf.DUMMYFUNCTION("TEXTJOIN("", "",TRUE,UNIQUE(FILTER('Data Master'!$B$2:$B1887,'Data Master'!$C$2:$C1887=A535)))"),"petani")</f>
        <v>petani</v>
      </c>
      <c r="D535" s="40" t="str">
        <f>IFERROR(__xludf.DUMMYFUNCTION("TEXTJOIN("", "",TRUE,UNIQUE(FILTER('Data Master'!$D$2:$D1887,'Data Master'!$C$2:$C1887=A535)))"),"")</f>
        <v/>
      </c>
    </row>
    <row r="536" hidden="1">
      <c r="C536" s="40" t="str">
        <f>IFERROR(__xludf.DUMMYFUNCTION("TEXTJOIN("", "",TRUE,UNIQUE(FILTER('Data Master'!$B$2:$B1887,'Data Master'!$C$2:$C1887=A536)))"),"petani")</f>
        <v>petani</v>
      </c>
      <c r="D536" s="40" t="str">
        <f>IFERROR(__xludf.DUMMYFUNCTION("TEXTJOIN("", "",TRUE,UNIQUE(FILTER('Data Master'!$D$2:$D1887,'Data Master'!$C$2:$C1887=A536)))"),"")</f>
        <v/>
      </c>
    </row>
    <row r="537" hidden="1">
      <c r="C537" s="40" t="str">
        <f>IFERROR(__xludf.DUMMYFUNCTION("TEXTJOIN("", "",TRUE,UNIQUE(FILTER('Data Master'!$B$2:$B1887,'Data Master'!$C$2:$C1887=A537)))"),"petani")</f>
        <v>petani</v>
      </c>
      <c r="D537" s="40" t="str">
        <f>IFERROR(__xludf.DUMMYFUNCTION("TEXTJOIN("", "",TRUE,UNIQUE(FILTER('Data Master'!$D$2:$D1887,'Data Master'!$C$2:$C1887=A537)))"),"")</f>
        <v/>
      </c>
    </row>
    <row r="538" hidden="1">
      <c r="C538" s="40" t="str">
        <f>IFERROR(__xludf.DUMMYFUNCTION("TEXTJOIN("", "",TRUE,UNIQUE(FILTER('Data Master'!$B$2:$B1887,'Data Master'!$C$2:$C1887=A538)))"),"petani")</f>
        <v>petani</v>
      </c>
      <c r="D538" s="40" t="str">
        <f>IFERROR(__xludf.DUMMYFUNCTION("TEXTJOIN("", "",TRUE,UNIQUE(FILTER('Data Master'!$D$2:$D1887,'Data Master'!$C$2:$C1887=A538)))"),"")</f>
        <v/>
      </c>
    </row>
    <row r="539" hidden="1">
      <c r="C539" s="40" t="str">
        <f>IFERROR(__xludf.DUMMYFUNCTION("TEXTJOIN("", "",TRUE,UNIQUE(FILTER('Data Master'!$B$2:$B1887,'Data Master'!$C$2:$C1887=A539)))"),"petani")</f>
        <v>petani</v>
      </c>
      <c r="D539" s="40" t="str">
        <f>IFERROR(__xludf.DUMMYFUNCTION("TEXTJOIN("", "",TRUE,UNIQUE(FILTER('Data Master'!$D$2:$D1887,'Data Master'!$C$2:$C1887=A539)))"),"")</f>
        <v/>
      </c>
    </row>
    <row r="540" hidden="1">
      <c r="C540" s="40" t="str">
        <f>IFERROR(__xludf.DUMMYFUNCTION("TEXTJOIN("", "",TRUE,UNIQUE(FILTER('Data Master'!$B$2:$B1887,'Data Master'!$C$2:$C1887=A540)))"),"petani")</f>
        <v>petani</v>
      </c>
      <c r="D540" s="40" t="str">
        <f>IFERROR(__xludf.DUMMYFUNCTION("TEXTJOIN("", "",TRUE,UNIQUE(FILTER('Data Master'!$D$2:$D1887,'Data Master'!$C$2:$C1887=A540)))"),"")</f>
        <v/>
      </c>
    </row>
    <row r="541" hidden="1">
      <c r="C541" s="40" t="str">
        <f>IFERROR(__xludf.DUMMYFUNCTION("TEXTJOIN("", "",TRUE,UNIQUE(FILTER('Data Master'!$B$2:$B1887,'Data Master'!$C$2:$C1887=A541)))"),"petani")</f>
        <v>petani</v>
      </c>
      <c r="D541" s="40" t="str">
        <f>IFERROR(__xludf.DUMMYFUNCTION("TEXTJOIN("", "",TRUE,UNIQUE(FILTER('Data Master'!$D$2:$D1887,'Data Master'!$C$2:$C1887=A541)))"),"")</f>
        <v/>
      </c>
    </row>
    <row r="542" hidden="1">
      <c r="C542" s="40" t="str">
        <f>IFERROR(__xludf.DUMMYFUNCTION("TEXTJOIN("", "",TRUE,UNIQUE(FILTER('Data Master'!$B$2:$B1887,'Data Master'!$C$2:$C1887=A542)))"),"petani")</f>
        <v>petani</v>
      </c>
      <c r="D542" s="40" t="str">
        <f>IFERROR(__xludf.DUMMYFUNCTION("TEXTJOIN("", "",TRUE,UNIQUE(FILTER('Data Master'!$D$2:$D1887,'Data Master'!$C$2:$C1887=A542)))"),"")</f>
        <v/>
      </c>
    </row>
    <row r="543" hidden="1">
      <c r="C543" s="40" t="str">
        <f>IFERROR(__xludf.DUMMYFUNCTION("TEXTJOIN("", "",TRUE,UNIQUE(FILTER('Data Master'!$B$2:$B1887,'Data Master'!$C$2:$C1887=A543)))"),"petani")</f>
        <v>petani</v>
      </c>
      <c r="D543" s="40" t="str">
        <f>IFERROR(__xludf.DUMMYFUNCTION("TEXTJOIN("", "",TRUE,UNIQUE(FILTER('Data Master'!$D$2:$D1887,'Data Master'!$C$2:$C1887=A543)))"),"")</f>
        <v/>
      </c>
    </row>
    <row r="544" hidden="1">
      <c r="C544" s="40" t="str">
        <f>IFERROR(__xludf.DUMMYFUNCTION("TEXTJOIN("", "",TRUE,UNIQUE(FILTER('Data Master'!$B$2:$B1887,'Data Master'!$C$2:$C1887=A544)))"),"petani")</f>
        <v>petani</v>
      </c>
      <c r="D544" s="40" t="str">
        <f>IFERROR(__xludf.DUMMYFUNCTION("TEXTJOIN("", "",TRUE,UNIQUE(FILTER('Data Master'!$D$2:$D1887,'Data Master'!$C$2:$C1887=A544)))"),"")</f>
        <v/>
      </c>
    </row>
    <row r="545" hidden="1">
      <c r="C545" s="40" t="str">
        <f>IFERROR(__xludf.DUMMYFUNCTION("TEXTJOIN("", "",TRUE,UNIQUE(FILTER('Data Master'!$B$2:$B1887,'Data Master'!$C$2:$C1887=A545)))"),"petani")</f>
        <v>petani</v>
      </c>
      <c r="D545" s="40" t="str">
        <f>IFERROR(__xludf.DUMMYFUNCTION("TEXTJOIN("", "",TRUE,UNIQUE(FILTER('Data Master'!$D$2:$D1887,'Data Master'!$C$2:$C1887=A545)))"),"")</f>
        <v/>
      </c>
    </row>
    <row r="546" hidden="1">
      <c r="C546" s="40" t="str">
        <f>IFERROR(__xludf.DUMMYFUNCTION("TEXTJOIN("", "",TRUE,UNIQUE(FILTER('Data Master'!$B$2:$B1887,'Data Master'!$C$2:$C1887=A546)))"),"petani")</f>
        <v>petani</v>
      </c>
      <c r="D546" s="40" t="str">
        <f>IFERROR(__xludf.DUMMYFUNCTION("TEXTJOIN("", "",TRUE,UNIQUE(FILTER('Data Master'!$D$2:$D1887,'Data Master'!$C$2:$C1887=A546)))"),"")</f>
        <v/>
      </c>
    </row>
    <row r="547" hidden="1">
      <c r="C547" s="40" t="str">
        <f>IFERROR(__xludf.DUMMYFUNCTION("TEXTJOIN("", "",TRUE,UNIQUE(FILTER('Data Master'!$B$2:$B1887,'Data Master'!$C$2:$C1887=A547)))"),"penyuluh")</f>
        <v>penyuluh</v>
      </c>
      <c r="D547" s="40" t="str">
        <f>IFERROR(__xludf.DUMMYFUNCTION("TEXTJOIN("", "",TRUE,UNIQUE(FILTER('Data Master'!$D$2:$D1887,'Data Master'!$C$2:$C1887=A547)))"),"dika.lusianto@gmail.com")</f>
        <v>dika.lusianto@gmail.com</v>
      </c>
    </row>
    <row r="548" hidden="1">
      <c r="C548" s="40" t="str">
        <f>IFERROR(__xludf.DUMMYFUNCTION("TEXTJOIN("", "",TRUE,UNIQUE(FILTER('Data Master'!$B$2:$B1887,'Data Master'!$C$2:$C1887=A548)))"),"petani")</f>
        <v>petani</v>
      </c>
      <c r="D548" s="40" t="str">
        <f>IFERROR(__xludf.DUMMYFUNCTION("TEXTJOIN("", "",TRUE,UNIQUE(FILTER('Data Master'!$D$2:$D1887,'Data Master'!$C$2:$C1887=A548)))"),"")</f>
        <v/>
      </c>
    </row>
    <row r="549" hidden="1">
      <c r="C549" s="40" t="str">
        <f>IFERROR(__xludf.DUMMYFUNCTION("TEXTJOIN("", "",TRUE,UNIQUE(FILTER('Data Master'!$B$2:$B1887,'Data Master'!$C$2:$C1887=A549)))"),"petani")</f>
        <v>petani</v>
      </c>
      <c r="D549" s="40" t="str">
        <f>IFERROR(__xludf.DUMMYFUNCTION("TEXTJOIN("", "",TRUE,UNIQUE(FILTER('Data Master'!$D$2:$D1887,'Data Master'!$C$2:$C1887=A549)))"),"")</f>
        <v/>
      </c>
    </row>
    <row r="550" hidden="1">
      <c r="C550" s="40" t="str">
        <f>IFERROR(__xludf.DUMMYFUNCTION("TEXTJOIN("", "",TRUE,UNIQUE(FILTER('Data Master'!$B$2:$B1887,'Data Master'!$C$2:$C1887=A550)))"),"petani")</f>
        <v>petani</v>
      </c>
      <c r="D550" s="40" t="str">
        <f>IFERROR(__xludf.DUMMYFUNCTION("TEXTJOIN("", "",TRUE,UNIQUE(FILTER('Data Master'!$D$2:$D1887,'Data Master'!$C$2:$C1887=A550)))"),"")</f>
        <v/>
      </c>
    </row>
    <row r="551" hidden="1">
      <c r="C551" s="40" t="str">
        <f>IFERROR(__xludf.DUMMYFUNCTION("TEXTJOIN("", "",TRUE,UNIQUE(FILTER('Data Master'!$B$2:$B1887,'Data Master'!$C$2:$C1887=A551)))"),"penyuluh")</f>
        <v>penyuluh</v>
      </c>
      <c r="D551" s="40" t="str">
        <f>IFERROR(__xludf.DUMMYFUNCTION("TEXTJOIN("", "",TRUE,UNIQUE(FILTER('Data Master'!$D$2:$D1887,'Data Master'!$C$2:$C1887=A551)))"),"")</f>
        <v/>
      </c>
    </row>
    <row r="552" hidden="1">
      <c r="C552" s="40" t="str">
        <f>IFERROR(__xludf.DUMMYFUNCTION("TEXTJOIN("", "",TRUE,UNIQUE(FILTER('Data Master'!$B$2:$B1887,'Data Master'!$C$2:$C1887=A552)))"),"petani")</f>
        <v>petani</v>
      </c>
      <c r="D552" s="40" t="str">
        <f>IFERROR(__xludf.DUMMYFUNCTION("TEXTJOIN("", "",TRUE,UNIQUE(FILTER('Data Master'!$D$2:$D1887,'Data Master'!$C$2:$C1887=A552)))"),"")</f>
        <v/>
      </c>
    </row>
    <row r="553" hidden="1">
      <c r="C553" s="40" t="str">
        <f>IFERROR(__xludf.DUMMYFUNCTION("TEXTJOIN("", "",TRUE,UNIQUE(FILTER('Data Master'!$B$2:$B1887,'Data Master'!$C$2:$C1887=A553)))"),"petani")</f>
        <v>petani</v>
      </c>
      <c r="D553" s="40" t="str">
        <f>IFERROR(__xludf.DUMMYFUNCTION("TEXTJOIN("", "",TRUE,UNIQUE(FILTER('Data Master'!$D$2:$D1887,'Data Master'!$C$2:$C1887=A553)))"),"")</f>
        <v/>
      </c>
    </row>
    <row r="554" hidden="1">
      <c r="C554" s="40" t="str">
        <f>IFERROR(__xludf.DUMMYFUNCTION("TEXTJOIN("", "",TRUE,UNIQUE(FILTER('Data Master'!$B$2:$B1887,'Data Master'!$C$2:$C1887=A554)))"),"petani")</f>
        <v>petani</v>
      </c>
      <c r="D554" s="40" t="str">
        <f>IFERROR(__xludf.DUMMYFUNCTION("TEXTJOIN("", "",TRUE,UNIQUE(FILTER('Data Master'!$D$2:$D1887,'Data Master'!$C$2:$C1887=A554)))"),"")</f>
        <v/>
      </c>
    </row>
    <row r="555" hidden="1">
      <c r="C555" s="40" t="str">
        <f>IFERROR(__xludf.DUMMYFUNCTION("TEXTJOIN("", "",TRUE,UNIQUE(FILTER('Data Master'!$B$2:$B1887,'Data Master'!$C$2:$C1887=A555)))"),"petani")</f>
        <v>petani</v>
      </c>
      <c r="D555" s="40" t="str">
        <f>IFERROR(__xludf.DUMMYFUNCTION("TEXTJOIN("", "",TRUE,UNIQUE(FILTER('Data Master'!$D$2:$D1887,'Data Master'!$C$2:$C1887=A555)))"),"")</f>
        <v/>
      </c>
    </row>
    <row r="556" hidden="1">
      <c r="C556" s="40" t="str">
        <f>IFERROR(__xludf.DUMMYFUNCTION("TEXTJOIN("", "",TRUE,UNIQUE(FILTER('Data Master'!$B$2:$B1887,'Data Master'!$C$2:$C1887=A556)))"),"petani")</f>
        <v>petani</v>
      </c>
      <c r="D556" s="40" t="str">
        <f>IFERROR(__xludf.DUMMYFUNCTION("TEXTJOIN("", "",TRUE,UNIQUE(FILTER('Data Master'!$D$2:$D1887,'Data Master'!$C$2:$C1887=A556)))"),"")</f>
        <v/>
      </c>
    </row>
    <row r="557" hidden="1">
      <c r="C557" s="40" t="str">
        <f>IFERROR(__xludf.DUMMYFUNCTION("TEXTJOIN("", "",TRUE,UNIQUE(FILTER('Data Master'!$B$2:$B1887,'Data Master'!$C$2:$C1887=A557)))"),"petani")</f>
        <v>petani</v>
      </c>
      <c r="D557" s="40" t="str">
        <f>IFERROR(__xludf.DUMMYFUNCTION("TEXTJOIN("", "",TRUE,UNIQUE(FILTER('Data Master'!$D$2:$D1887,'Data Master'!$C$2:$C1887=A557)))"),"")</f>
        <v/>
      </c>
    </row>
    <row r="558" hidden="1">
      <c r="C558" s="40" t="str">
        <f>IFERROR(__xludf.DUMMYFUNCTION("TEXTJOIN("", "",TRUE,UNIQUE(FILTER('Data Master'!$B$2:$B1887,'Data Master'!$C$2:$C1887=A558)))"),"petani")</f>
        <v>petani</v>
      </c>
      <c r="D558" s="40" t="str">
        <f>IFERROR(__xludf.DUMMYFUNCTION("TEXTJOIN("", "",TRUE,UNIQUE(FILTER('Data Master'!$D$2:$D1887,'Data Master'!$C$2:$C1887=A558)))"),"")</f>
        <v/>
      </c>
    </row>
    <row r="559" hidden="1">
      <c r="C559" s="40" t="str">
        <f>IFERROR(__xludf.DUMMYFUNCTION("TEXTJOIN("", "",TRUE,UNIQUE(FILTER('Data Master'!$B$2:$B1887,'Data Master'!$C$2:$C1887=A559)))"),"petani")</f>
        <v>petani</v>
      </c>
      <c r="D559" s="40" t="str">
        <f>IFERROR(__xludf.DUMMYFUNCTION("TEXTJOIN("", "",TRUE,UNIQUE(FILTER('Data Master'!$D$2:$D1887,'Data Master'!$C$2:$C1887=A559)))"),"")</f>
        <v/>
      </c>
    </row>
    <row r="560" hidden="1">
      <c r="C560" s="40" t="str">
        <f>IFERROR(__xludf.DUMMYFUNCTION("TEXTJOIN("", "",TRUE,UNIQUE(FILTER('Data Master'!$B$2:$B1887,'Data Master'!$C$2:$C1887=A560)))"),"petani")</f>
        <v>petani</v>
      </c>
      <c r="D560" s="40" t="str">
        <f>IFERROR(__xludf.DUMMYFUNCTION("TEXTJOIN("", "",TRUE,UNIQUE(FILTER('Data Master'!$D$2:$D1887,'Data Master'!$C$2:$C1887=A560)))"),"")</f>
        <v/>
      </c>
    </row>
    <row r="561" hidden="1">
      <c r="C561" s="40" t="str">
        <f>IFERROR(__xludf.DUMMYFUNCTION("TEXTJOIN("", "",TRUE,UNIQUE(FILTER('Data Master'!$B$2:$B1887,'Data Master'!$C$2:$C1887=A561)))"),"petani")</f>
        <v>petani</v>
      </c>
      <c r="D561" s="40" t="str">
        <f>IFERROR(__xludf.DUMMYFUNCTION("TEXTJOIN("", "",TRUE,UNIQUE(FILTER('Data Master'!$D$2:$D1887,'Data Master'!$C$2:$C1887=A561)))"),"")</f>
        <v/>
      </c>
    </row>
    <row r="562" hidden="1">
      <c r="C562" s="40" t="str">
        <f>IFERROR(__xludf.DUMMYFUNCTION("TEXTJOIN("", "",TRUE,UNIQUE(FILTER('Data Master'!$B$2:$B1887,'Data Master'!$C$2:$C1887=A562)))"),"petani")</f>
        <v>petani</v>
      </c>
      <c r="D562" s="40" t="str">
        <f>IFERROR(__xludf.DUMMYFUNCTION("TEXTJOIN("", "",TRUE,UNIQUE(FILTER('Data Master'!$D$2:$D1887,'Data Master'!$C$2:$C1887=A562)))"),"")</f>
        <v/>
      </c>
    </row>
    <row r="563" hidden="1">
      <c r="C563" s="40" t="str">
        <f>IFERROR(__xludf.DUMMYFUNCTION("TEXTJOIN("", "",TRUE,UNIQUE(FILTER('Data Master'!$B$2:$B1887,'Data Master'!$C$2:$C1887=A563)))"),"petani")</f>
        <v>petani</v>
      </c>
      <c r="D563" s="40" t="str">
        <f>IFERROR(__xludf.DUMMYFUNCTION("TEXTJOIN("", "",TRUE,UNIQUE(FILTER('Data Master'!$D$2:$D1887,'Data Master'!$C$2:$C1887=A563)))"),"")</f>
        <v/>
      </c>
    </row>
    <row r="564" hidden="1">
      <c r="C564" s="40" t="str">
        <f>IFERROR(__xludf.DUMMYFUNCTION("TEXTJOIN("", "",TRUE,UNIQUE(FILTER('Data Master'!$B$2:$B1887,'Data Master'!$C$2:$C1887=A564)))"),"petani")</f>
        <v>petani</v>
      </c>
      <c r="D564" s="40" t="str">
        <f>IFERROR(__xludf.DUMMYFUNCTION("TEXTJOIN("", "",TRUE,UNIQUE(FILTER('Data Master'!$D$2:$D1887,'Data Master'!$C$2:$C1887=A564)))"),"")</f>
        <v/>
      </c>
    </row>
    <row r="565" hidden="1">
      <c r="C565" s="40" t="str">
        <f>IFERROR(__xludf.DUMMYFUNCTION("TEXTJOIN("", "",TRUE,UNIQUE(FILTER('Data Master'!$B$2:$B1887,'Data Master'!$C$2:$C1887=A565)))"),"petani")</f>
        <v>petani</v>
      </c>
      <c r="D565" s="40" t="str">
        <f>IFERROR(__xludf.DUMMYFUNCTION("TEXTJOIN("", "",TRUE,UNIQUE(FILTER('Data Master'!$D$2:$D1887,'Data Master'!$C$2:$C1887=A565)))"),"")</f>
        <v/>
      </c>
    </row>
    <row r="566" hidden="1">
      <c r="C566" s="40" t="str">
        <f>IFERROR(__xludf.DUMMYFUNCTION("TEXTJOIN("", "",TRUE,UNIQUE(FILTER('Data Master'!$B$2:$B1887,'Data Master'!$C$2:$C1887=A566)))"),"petani")</f>
        <v>petani</v>
      </c>
      <c r="D566" s="40" t="str">
        <f>IFERROR(__xludf.DUMMYFUNCTION("TEXTJOIN("", "",TRUE,UNIQUE(FILTER('Data Master'!$D$2:$D1887,'Data Master'!$C$2:$C1887=A566)))"),"")</f>
        <v/>
      </c>
    </row>
    <row r="567" hidden="1">
      <c r="C567" s="40" t="str">
        <f>IFERROR(__xludf.DUMMYFUNCTION("TEXTJOIN("", "",TRUE,UNIQUE(FILTER('Data Master'!$B$2:$B1887,'Data Master'!$C$2:$C1887=A567)))"),"petani")</f>
        <v>petani</v>
      </c>
      <c r="D567" s="40" t="str">
        <f>IFERROR(__xludf.DUMMYFUNCTION("TEXTJOIN("", "",TRUE,UNIQUE(FILTER('Data Master'!$D$2:$D1887,'Data Master'!$C$2:$C1887=A567)))"),"")</f>
        <v/>
      </c>
    </row>
    <row r="568" hidden="1">
      <c r="C568" s="40" t="str">
        <f>IFERROR(__xludf.DUMMYFUNCTION("TEXTJOIN("", "",TRUE,UNIQUE(FILTER('Data Master'!$B$2:$B1887,'Data Master'!$C$2:$C1887=A568)))"),"petani")</f>
        <v>petani</v>
      </c>
      <c r="D568" s="40" t="str">
        <f>IFERROR(__xludf.DUMMYFUNCTION("TEXTJOIN("", "",TRUE,UNIQUE(FILTER('Data Master'!$D$2:$D1887,'Data Master'!$C$2:$C1887=A568)))"),"")</f>
        <v/>
      </c>
    </row>
    <row r="569" hidden="1">
      <c r="C569" s="40" t="str">
        <f>IFERROR(__xludf.DUMMYFUNCTION("TEXTJOIN("", "",TRUE,UNIQUE(FILTER('Data Master'!$B$2:$B1887,'Data Master'!$C$2:$C1887=A569)))"),"petani")</f>
        <v>petani</v>
      </c>
      <c r="D569" s="40" t="str">
        <f>IFERROR(__xludf.DUMMYFUNCTION("TEXTJOIN("", "",TRUE,UNIQUE(FILTER('Data Master'!$D$2:$D1887,'Data Master'!$C$2:$C1887=A569)))"),"")</f>
        <v/>
      </c>
    </row>
    <row r="570" hidden="1">
      <c r="C570" s="40" t="str">
        <f>IFERROR(__xludf.DUMMYFUNCTION("TEXTJOIN("", "",TRUE,UNIQUE(FILTER('Data Master'!$B$2:$B1887,'Data Master'!$C$2:$C1887=A570)))"),"petani")</f>
        <v>petani</v>
      </c>
      <c r="D570" s="40" t="str">
        <f>IFERROR(__xludf.DUMMYFUNCTION("TEXTJOIN("", "",TRUE,UNIQUE(FILTER('Data Master'!$D$2:$D1887,'Data Master'!$C$2:$C1887=A570)))"),"")</f>
        <v/>
      </c>
    </row>
    <row r="571" hidden="1">
      <c r="C571" s="40" t="str">
        <f>IFERROR(__xludf.DUMMYFUNCTION("TEXTJOIN("", "",TRUE,UNIQUE(FILTER('Data Master'!$B$2:$B1887,'Data Master'!$C$2:$C1887=A571)))"),"petani")</f>
        <v>petani</v>
      </c>
      <c r="D571" s="40" t="str">
        <f>IFERROR(__xludf.DUMMYFUNCTION("TEXTJOIN("", "",TRUE,UNIQUE(FILTER('Data Master'!$D$2:$D1887,'Data Master'!$C$2:$C1887=A571)))"),"")</f>
        <v/>
      </c>
    </row>
    <row r="572" hidden="1">
      <c r="C572" s="40" t="str">
        <f>IFERROR(__xludf.DUMMYFUNCTION("TEXTJOIN("", "",TRUE,UNIQUE(FILTER('Data Master'!$B$2:$B1887,'Data Master'!$C$2:$C1887=A572)))"),"petani")</f>
        <v>petani</v>
      </c>
      <c r="D572" s="40" t="str">
        <f>IFERROR(__xludf.DUMMYFUNCTION("TEXTJOIN("", "",TRUE,UNIQUE(FILTER('Data Master'!$D$2:$D1887,'Data Master'!$C$2:$C1887=A572)))"),"")</f>
        <v/>
      </c>
    </row>
    <row r="573" hidden="1">
      <c r="C573" s="40" t="str">
        <f>IFERROR(__xludf.DUMMYFUNCTION("TEXTJOIN("", "",TRUE,UNIQUE(FILTER('Data Master'!$B$2:$B1887,'Data Master'!$C$2:$C1887=A573)))"),"petani")</f>
        <v>petani</v>
      </c>
      <c r="D573" s="40" t="str">
        <f>IFERROR(__xludf.DUMMYFUNCTION("TEXTJOIN("", "",TRUE,UNIQUE(FILTER('Data Master'!$D$2:$D1887,'Data Master'!$C$2:$C1887=A573)))"),"")</f>
        <v/>
      </c>
    </row>
    <row r="574" hidden="1">
      <c r="C574" s="40" t="str">
        <f>IFERROR(__xludf.DUMMYFUNCTION("TEXTJOIN("", "",TRUE,UNIQUE(FILTER('Data Master'!$B$2:$B1887,'Data Master'!$C$2:$C1887=A574)))"),"petani")</f>
        <v>petani</v>
      </c>
      <c r="D574" s="40" t="str">
        <f>IFERROR(__xludf.DUMMYFUNCTION("TEXTJOIN("", "",TRUE,UNIQUE(FILTER('Data Master'!$D$2:$D1887,'Data Master'!$C$2:$C1887=A574)))"),"")</f>
        <v/>
      </c>
    </row>
    <row r="575" hidden="1">
      <c r="C575" s="40" t="str">
        <f>IFERROR(__xludf.DUMMYFUNCTION("TEXTJOIN("", "",TRUE,UNIQUE(FILTER('Data Master'!$B$2:$B1887,'Data Master'!$C$2:$C1887=A575)))"),"petani")</f>
        <v>petani</v>
      </c>
      <c r="D575" s="40" t="str">
        <f>IFERROR(__xludf.DUMMYFUNCTION("TEXTJOIN("", "",TRUE,UNIQUE(FILTER('Data Master'!$D$2:$D1887,'Data Master'!$C$2:$C1887=A575)))"),"")</f>
        <v/>
      </c>
    </row>
    <row r="576" hidden="1">
      <c r="C576" s="40" t="str">
        <f>IFERROR(__xludf.DUMMYFUNCTION("TEXTJOIN("", "",TRUE,UNIQUE(FILTER('Data Master'!$B$2:$B1887,'Data Master'!$C$2:$C1887=A576)))"),"petani")</f>
        <v>petani</v>
      </c>
      <c r="D576" s="40" t="str">
        <f>IFERROR(__xludf.DUMMYFUNCTION("TEXTJOIN("", "",TRUE,UNIQUE(FILTER('Data Master'!$D$2:$D1887,'Data Master'!$C$2:$C1887=A576)))"),"")</f>
        <v/>
      </c>
    </row>
    <row r="577" hidden="1">
      <c r="C577" s="40" t="str">
        <f>IFERROR(__xludf.DUMMYFUNCTION("TEXTJOIN("", "",TRUE,UNIQUE(FILTER('Data Master'!$B$2:$B1887,'Data Master'!$C$2:$C1887=A577)))"),"petani")</f>
        <v>petani</v>
      </c>
      <c r="D577" s="40" t="str">
        <f>IFERROR(__xludf.DUMMYFUNCTION("TEXTJOIN("", "",TRUE,UNIQUE(FILTER('Data Master'!$D$2:$D1887,'Data Master'!$C$2:$C1887=A577)))"),"")</f>
        <v/>
      </c>
    </row>
    <row r="578" hidden="1">
      <c r="C578" s="40" t="str">
        <f>IFERROR(__xludf.DUMMYFUNCTION("TEXTJOIN("", "",TRUE,UNIQUE(FILTER('Data Master'!$B$2:$B1887,'Data Master'!$C$2:$C1887=A578)))"),"penyuluh")</f>
        <v>penyuluh</v>
      </c>
      <c r="D578" s="40" t="str">
        <f>IFERROR(__xludf.DUMMYFUNCTION("TEXTJOIN("", "",TRUE,UNIQUE(FILTER('Data Master'!$D$2:$D1887,'Data Master'!$C$2:$C1887=A578)))"),"")</f>
        <v/>
      </c>
    </row>
    <row r="579" hidden="1">
      <c r="C579" s="40" t="str">
        <f>IFERROR(__xludf.DUMMYFUNCTION("TEXTJOIN("", "",TRUE,UNIQUE(FILTER('Data Master'!$B$2:$B1887,'Data Master'!$C$2:$C1887=A579)))"),"penyuluh")</f>
        <v>penyuluh</v>
      </c>
      <c r="D579" s="40" t="str">
        <f>IFERROR(__xludf.DUMMYFUNCTION("TEXTJOIN("", "",TRUE,UNIQUE(FILTER('Data Master'!$D$2:$D1887,'Data Master'!$C$2:$C1887=A579)))"),"novi.drh@gmail.com")</f>
        <v>novi.drh@gmail.com</v>
      </c>
    </row>
    <row r="580" hidden="1">
      <c r="C580" s="40" t="str">
        <f>IFERROR(__xludf.DUMMYFUNCTION("TEXTJOIN("", "",TRUE,UNIQUE(FILTER('Data Master'!$B$2:$B1887,'Data Master'!$C$2:$C1887=A580)))"),"petani")</f>
        <v>petani</v>
      </c>
      <c r="D580" s="40" t="str">
        <f>IFERROR(__xludf.DUMMYFUNCTION("TEXTJOIN("", "",TRUE,UNIQUE(FILTER('Data Master'!$D$2:$D1887,'Data Master'!$C$2:$C1887=A580)))"),"")</f>
        <v/>
      </c>
    </row>
    <row r="581" hidden="1">
      <c r="C581" s="40" t="str">
        <f>IFERROR(__xludf.DUMMYFUNCTION("TEXTJOIN("", "",TRUE,UNIQUE(FILTER('Data Master'!$B$2:$B1887,'Data Master'!$C$2:$C1887=A581)))"),"petani")</f>
        <v>petani</v>
      </c>
      <c r="D581" s="40" t="str">
        <f>IFERROR(__xludf.DUMMYFUNCTION("TEXTJOIN("", "",TRUE,UNIQUE(FILTER('Data Master'!$D$2:$D1887,'Data Master'!$C$2:$C1887=A581)))"),"")</f>
        <v/>
      </c>
    </row>
    <row r="582" hidden="1">
      <c r="C582" s="40" t="str">
        <f>IFERROR(__xludf.DUMMYFUNCTION("TEXTJOIN("", "",TRUE,UNIQUE(FILTER('Data Master'!$B$2:$B1887,'Data Master'!$C$2:$C1887=A582)))"),"petani")</f>
        <v>petani</v>
      </c>
      <c r="D582" s="40" t="str">
        <f>IFERROR(__xludf.DUMMYFUNCTION("TEXTJOIN("", "",TRUE,UNIQUE(FILTER('Data Master'!$D$2:$D1887,'Data Master'!$C$2:$C1887=A582)))"),"")</f>
        <v/>
      </c>
    </row>
    <row r="583" hidden="1">
      <c r="C583" s="40" t="str">
        <f>IFERROR(__xludf.DUMMYFUNCTION("TEXTJOIN("", "",TRUE,UNIQUE(FILTER('Data Master'!$B$2:$B1887,'Data Master'!$C$2:$C1887=A583)))"),"petani")</f>
        <v>petani</v>
      </c>
      <c r="D583" s="40" t="str">
        <f>IFERROR(__xludf.DUMMYFUNCTION("TEXTJOIN("", "",TRUE,UNIQUE(FILTER('Data Master'!$D$2:$D1887,'Data Master'!$C$2:$C1887=A583)))"),"")</f>
        <v/>
      </c>
    </row>
    <row r="584" hidden="1">
      <c r="C584" s="40" t="str">
        <f>IFERROR(__xludf.DUMMYFUNCTION("TEXTJOIN("", "",TRUE,UNIQUE(FILTER('Data Master'!$B$2:$B1887,'Data Master'!$C$2:$C1887=A584)))"),"petani")</f>
        <v>petani</v>
      </c>
      <c r="D584" s="40" t="str">
        <f>IFERROR(__xludf.DUMMYFUNCTION("TEXTJOIN("", "",TRUE,UNIQUE(FILTER('Data Master'!$D$2:$D1887,'Data Master'!$C$2:$C1887=A584)))"),"")</f>
        <v/>
      </c>
    </row>
    <row r="585" hidden="1">
      <c r="C585" s="40" t="str">
        <f>IFERROR(__xludf.DUMMYFUNCTION("TEXTJOIN("", "",TRUE,UNIQUE(FILTER('Data Master'!$B$2:$B1887,'Data Master'!$C$2:$C1887=A585)))"),"petani")</f>
        <v>petani</v>
      </c>
      <c r="D585" s="40" t="str">
        <f>IFERROR(__xludf.DUMMYFUNCTION("TEXTJOIN("", "",TRUE,UNIQUE(FILTER('Data Master'!$D$2:$D1887,'Data Master'!$C$2:$C1887=A585)))"),"")</f>
        <v/>
      </c>
    </row>
    <row r="586" hidden="1">
      <c r="C586" s="40" t="str">
        <f>IFERROR(__xludf.DUMMYFUNCTION("TEXTJOIN("", "",TRUE,UNIQUE(FILTER('Data Master'!$B$2:$B1887,'Data Master'!$C$2:$C1887=A586)))"),"petani")</f>
        <v>petani</v>
      </c>
      <c r="D586" s="40" t="str">
        <f>IFERROR(__xludf.DUMMYFUNCTION("TEXTJOIN("", "",TRUE,UNIQUE(FILTER('Data Master'!$D$2:$D1887,'Data Master'!$C$2:$C1887=A586)))"),"")</f>
        <v/>
      </c>
    </row>
    <row r="587" hidden="1">
      <c r="C587" s="40" t="str">
        <f>IFERROR(__xludf.DUMMYFUNCTION("TEXTJOIN("", "",TRUE,UNIQUE(FILTER('Data Master'!$B$2:$B1887,'Data Master'!$C$2:$C1887=A587)))"),"petani")</f>
        <v>petani</v>
      </c>
      <c r="D587" s="40" t="str">
        <f>IFERROR(__xludf.DUMMYFUNCTION("TEXTJOIN("", "",TRUE,UNIQUE(FILTER('Data Master'!$D$2:$D1887,'Data Master'!$C$2:$C1887=A587)))"),"")</f>
        <v/>
      </c>
    </row>
    <row r="588" hidden="1">
      <c r="C588" s="40" t="str">
        <f>IFERROR(__xludf.DUMMYFUNCTION("TEXTJOIN("", "",TRUE,UNIQUE(FILTER('Data Master'!$B$2:$B1887,'Data Master'!$C$2:$C1887=A588)))"),"penyuluh")</f>
        <v>penyuluh</v>
      </c>
      <c r="D588" s="40" t="str">
        <f>IFERROR(__xludf.DUMMYFUNCTION("TEXTJOIN("", "",TRUE,UNIQUE(FILTER('Data Master'!$D$2:$D1887,'Data Master'!$C$2:$C1887=A588)))"),"dwielisak@gmail.com")</f>
        <v>dwielisak@gmail.com</v>
      </c>
    </row>
    <row r="589">
      <c r="C589" s="43" t="str">
        <f>IFERROR(__xludf.DUMMYFUNCTION("TEXTJOIN("", "",TRUE,UNIQUE(FILTER('Data Master'!$B$2:$B1887,'Data Master'!$C$2:$C1887=A589)))"),"operator admin, penyuluh")</f>
        <v>operator admin, penyuluh</v>
      </c>
      <c r="D589" s="43" t="str">
        <f>IFERROR(__xludf.DUMMYFUNCTION("TEXTJOIN("", "",TRUE,UNIQUE(FILTER('Data Master'!$D$2:$D1887,'Data Master'!$C$2:$C1887=A589)))"),"dwihand127@gmail.com")</f>
        <v>dwihand127@gmail.com</v>
      </c>
    </row>
    <row r="590" hidden="1">
      <c r="C590" s="40" t="str">
        <f>IFERROR(__xludf.DUMMYFUNCTION("TEXTJOIN("", "",TRUE,UNIQUE(FILTER('Data Master'!$B$2:$B1887,'Data Master'!$C$2:$C1887=A590)))"),"petani")</f>
        <v>petani</v>
      </c>
      <c r="D590" s="40" t="str">
        <f>IFERROR(__xludf.DUMMYFUNCTION("TEXTJOIN("", "",TRUE,UNIQUE(FILTER('Data Master'!$D$2:$D1887,'Data Master'!$C$2:$C1887=A590)))"),"")</f>
        <v/>
      </c>
    </row>
    <row r="591" hidden="1">
      <c r="C591" s="40" t="str">
        <f>IFERROR(__xludf.DUMMYFUNCTION("TEXTJOIN("", "",TRUE,UNIQUE(FILTER('Data Master'!$B$2:$B1887,'Data Master'!$C$2:$C1887=A591)))"),"petani")</f>
        <v>petani</v>
      </c>
      <c r="D591" s="40" t="str">
        <f>IFERROR(__xludf.DUMMYFUNCTION("TEXTJOIN("", "",TRUE,UNIQUE(FILTER('Data Master'!$D$2:$D1887,'Data Master'!$C$2:$C1887=A591)))"),"")</f>
        <v/>
      </c>
    </row>
    <row r="592" hidden="1">
      <c r="C592" s="40" t="str">
        <f>IFERROR(__xludf.DUMMYFUNCTION("TEXTJOIN("", "",TRUE,UNIQUE(FILTER('Data Master'!$B$2:$B1887,'Data Master'!$C$2:$C1887=A592)))"),"petani")</f>
        <v>petani</v>
      </c>
      <c r="D592" s="40" t="str">
        <f>IFERROR(__xludf.DUMMYFUNCTION("TEXTJOIN("", "",TRUE,UNIQUE(FILTER('Data Master'!$D$2:$D1887,'Data Master'!$C$2:$C1887=A592)))"),"")</f>
        <v/>
      </c>
    </row>
    <row r="593" hidden="1">
      <c r="C593" s="40" t="str">
        <f>IFERROR(__xludf.DUMMYFUNCTION("TEXTJOIN("", "",TRUE,UNIQUE(FILTER('Data Master'!$B$2:$B1887,'Data Master'!$C$2:$C1887=A593)))"),"petani")</f>
        <v>petani</v>
      </c>
      <c r="D593" s="40" t="str">
        <f>IFERROR(__xludf.DUMMYFUNCTION("TEXTJOIN("", "",TRUE,UNIQUE(FILTER('Data Master'!$D$2:$D1887,'Data Master'!$C$2:$C1887=A593)))"),"null")</f>
        <v>null</v>
      </c>
    </row>
    <row r="594" hidden="1">
      <c r="C594" s="40" t="str">
        <f>IFERROR(__xludf.DUMMYFUNCTION("TEXTJOIN("", "",TRUE,UNIQUE(FILTER('Data Master'!$B$2:$B1887,'Data Master'!$C$2:$C1887=A594)))"),"petani")</f>
        <v>petani</v>
      </c>
      <c r="D594" s="40" t="str">
        <f>IFERROR(__xludf.DUMMYFUNCTION("TEXTJOIN("", "",TRUE,UNIQUE(FILTER('Data Master'!$D$2:$D1887,'Data Master'!$C$2:$C1887=A594)))"),"")</f>
        <v/>
      </c>
    </row>
    <row r="595" hidden="1">
      <c r="C595" s="40" t="str">
        <f>IFERROR(__xludf.DUMMYFUNCTION("TEXTJOIN("", "",TRUE,UNIQUE(FILTER('Data Master'!$B$2:$B1887,'Data Master'!$C$2:$C1887=A595)))"),"petani")</f>
        <v>petani</v>
      </c>
      <c r="D595" s="40" t="str">
        <f>IFERROR(__xludf.DUMMYFUNCTION("TEXTJOIN("", "",TRUE,UNIQUE(FILTER('Data Master'!$D$2:$D1887,'Data Master'!$C$2:$C1887=A595)))"),"")</f>
        <v/>
      </c>
    </row>
    <row r="596" hidden="1">
      <c r="C596" s="40" t="str">
        <f>IFERROR(__xludf.DUMMYFUNCTION("TEXTJOIN("", "",TRUE,UNIQUE(FILTER('Data Master'!$B$2:$B1887,'Data Master'!$C$2:$C1887=A596)))"),"petani")</f>
        <v>petani</v>
      </c>
      <c r="D596" s="40" t="str">
        <f>IFERROR(__xludf.DUMMYFUNCTION("TEXTJOIN("", "",TRUE,UNIQUE(FILTER('Data Master'!$D$2:$D1887,'Data Master'!$C$2:$C1887=A596)))"),"")</f>
        <v/>
      </c>
    </row>
    <row r="597" hidden="1">
      <c r="C597" s="40" t="str">
        <f>IFERROR(__xludf.DUMMYFUNCTION("TEXTJOIN("", "",TRUE,UNIQUE(FILTER('Data Master'!$B$2:$B1887,'Data Master'!$C$2:$C1887=A597)))"),"penyuluh")</f>
        <v>penyuluh</v>
      </c>
      <c r="D597" s="40" t="str">
        <f>IFERROR(__xludf.DUMMYFUNCTION("TEXTJOIN("", "",TRUE,UNIQUE(FILTER('Data Master'!$D$2:$D1887,'Data Master'!$C$2:$C1887=A597)))"),"")</f>
        <v/>
      </c>
    </row>
    <row r="598" hidden="1">
      <c r="C598" s="40" t="str">
        <f>IFERROR(__xludf.DUMMYFUNCTION("TEXTJOIN("", "",TRUE,UNIQUE(FILTER('Data Master'!$B$2:$B1887,'Data Master'!$C$2:$C1887=A598)))"),"petani")</f>
        <v>petani</v>
      </c>
      <c r="D598" s="40" t="str">
        <f>IFERROR(__xludf.DUMMYFUNCTION("TEXTJOIN("", "",TRUE,UNIQUE(FILTER('Data Master'!$D$2:$D1887,'Data Master'!$C$2:$C1887=A598)))"),"")</f>
        <v/>
      </c>
    </row>
    <row r="599" hidden="1">
      <c r="C599" s="40" t="str">
        <f>IFERROR(__xludf.DUMMYFUNCTION("TEXTJOIN("", "",TRUE,UNIQUE(FILTER('Data Master'!$B$2:$B1887,'Data Master'!$C$2:$C1887=A599)))"),"petani")</f>
        <v>petani</v>
      </c>
      <c r="D599" s="40" t="str">
        <f>IFERROR(__xludf.DUMMYFUNCTION("TEXTJOIN("", "",TRUE,UNIQUE(FILTER('Data Master'!$D$2:$D1887,'Data Master'!$C$2:$C1887=A599)))"),"")</f>
        <v/>
      </c>
    </row>
    <row r="600" hidden="1">
      <c r="C600" s="40" t="str">
        <f>IFERROR(__xludf.DUMMYFUNCTION("TEXTJOIN("", "",TRUE,UNIQUE(FILTER('Data Master'!$B$2:$B1887,'Data Master'!$C$2:$C1887=A600)))"),"penyuluh")</f>
        <v>penyuluh</v>
      </c>
      <c r="D600" s="40" t="str">
        <f>IFERROR(__xludf.DUMMYFUNCTION("TEXTJOIN("", "",TRUE,UNIQUE(FILTER('Data Master'!$D$2:$D1887,'Data Master'!$C$2:$C1887=A600)))"),"du.punya@gmail.com")</f>
        <v>du.punya@gmail.com</v>
      </c>
    </row>
    <row r="601" hidden="1">
      <c r="C601" s="40" t="str">
        <f>IFERROR(__xludf.DUMMYFUNCTION("TEXTJOIN("", "",TRUE,UNIQUE(FILTER('Data Master'!$B$2:$B1887,'Data Master'!$C$2:$C1887=A601)))"),"petani")</f>
        <v>petani</v>
      </c>
      <c r="D601" s="40" t="str">
        <f>IFERROR(__xludf.DUMMYFUNCTION("TEXTJOIN("", "",TRUE,UNIQUE(FILTER('Data Master'!$D$2:$D1887,'Data Master'!$C$2:$C1887=A601)))"),"")</f>
        <v/>
      </c>
    </row>
    <row r="602" hidden="1">
      <c r="C602" s="40" t="str">
        <f>IFERROR(__xludf.DUMMYFUNCTION("TEXTJOIN("", "",TRUE,UNIQUE(FILTER('Data Master'!$B$2:$B1887,'Data Master'!$C$2:$C1887=A602)))"),"petani")</f>
        <v>petani</v>
      </c>
      <c r="D602" s="40" t="str">
        <f>IFERROR(__xludf.DUMMYFUNCTION("TEXTJOIN("", "",TRUE,UNIQUE(FILTER('Data Master'!$D$2:$D1887,'Data Master'!$C$2:$C1887=A602)))"),"")</f>
        <v/>
      </c>
    </row>
    <row r="603" hidden="1">
      <c r="C603" s="40" t="str">
        <f>IFERROR(__xludf.DUMMYFUNCTION("TEXTJOIN("", "",TRUE,UNIQUE(FILTER('Data Master'!$B$2:$B1887,'Data Master'!$C$2:$C1887=A603)))"),"petani")</f>
        <v>petani</v>
      </c>
      <c r="D603" s="40" t="str">
        <f>IFERROR(__xludf.DUMMYFUNCTION("TEXTJOIN("", "",TRUE,UNIQUE(FILTER('Data Master'!$D$2:$D1887,'Data Master'!$C$2:$C1887=A603)))"),"")</f>
        <v/>
      </c>
    </row>
    <row r="604" hidden="1">
      <c r="C604" s="40" t="str">
        <f>IFERROR(__xludf.DUMMYFUNCTION("TEXTJOIN("", "",TRUE,UNIQUE(FILTER('Data Master'!$B$2:$B1887,'Data Master'!$C$2:$C1887=A604)))"),"petani")</f>
        <v>petani</v>
      </c>
      <c r="D604" s="40" t="str">
        <f>IFERROR(__xludf.DUMMYFUNCTION("TEXTJOIN("", "",TRUE,UNIQUE(FILTER('Data Master'!$D$2:$D1887,'Data Master'!$C$2:$C1887=A604)))"),"")</f>
        <v/>
      </c>
    </row>
    <row r="605" hidden="1">
      <c r="C605" s="40" t="str">
        <f>IFERROR(__xludf.DUMMYFUNCTION("TEXTJOIN("", "",TRUE,UNIQUE(FILTER('Data Master'!$B$2:$B1887,'Data Master'!$C$2:$C1887=A605)))"),"petani")</f>
        <v>petani</v>
      </c>
      <c r="D605" s="40" t="str">
        <f>IFERROR(__xludf.DUMMYFUNCTION("TEXTJOIN("", "",TRUE,UNIQUE(FILTER('Data Master'!$D$2:$D1887,'Data Master'!$C$2:$C1887=A605)))"),"")</f>
        <v/>
      </c>
    </row>
    <row r="606" hidden="1">
      <c r="C606" s="40" t="str">
        <f>IFERROR(__xludf.DUMMYFUNCTION("TEXTJOIN("", "",TRUE,UNIQUE(FILTER('Data Master'!$B$2:$B1887,'Data Master'!$C$2:$C1887=A606)))"),"petani")</f>
        <v>petani</v>
      </c>
      <c r="D606" s="40" t="str">
        <f>IFERROR(__xludf.DUMMYFUNCTION("TEXTJOIN("", "",TRUE,UNIQUE(FILTER('Data Master'!$D$2:$D1887,'Data Master'!$C$2:$C1887=A606)))"),"")</f>
        <v/>
      </c>
    </row>
    <row r="607" hidden="1">
      <c r="C607" s="40" t="str">
        <f>IFERROR(__xludf.DUMMYFUNCTION("TEXTJOIN("", "",TRUE,UNIQUE(FILTER('Data Master'!$B$2:$B1887,'Data Master'!$C$2:$C1887=A607)))"),"petani")</f>
        <v>petani</v>
      </c>
      <c r="D607" s="40" t="str">
        <f>IFERROR(__xludf.DUMMYFUNCTION("TEXTJOIN("", "",TRUE,UNIQUE(FILTER('Data Master'!$D$2:$D1887,'Data Master'!$C$2:$C1887=A607)))"),"")</f>
        <v/>
      </c>
    </row>
    <row r="608" hidden="1">
      <c r="C608" s="40" t="str">
        <f>IFERROR(__xludf.DUMMYFUNCTION("TEXTJOIN("", "",TRUE,UNIQUE(FILTER('Data Master'!$B$2:$B1887,'Data Master'!$C$2:$C1887=A608)))"),"petani")</f>
        <v>petani</v>
      </c>
      <c r="D608" s="40" t="str">
        <f>IFERROR(__xludf.DUMMYFUNCTION("TEXTJOIN("", "",TRUE,UNIQUE(FILTER('Data Master'!$D$2:$D1887,'Data Master'!$C$2:$C1887=A608)))"),"")</f>
        <v/>
      </c>
    </row>
    <row r="609" hidden="1">
      <c r="C609" s="40" t="str">
        <f>IFERROR(__xludf.DUMMYFUNCTION("TEXTJOIN("", "",TRUE,UNIQUE(FILTER('Data Master'!$B$2:$B1887,'Data Master'!$C$2:$C1887=A609)))"),"petani")</f>
        <v>petani</v>
      </c>
      <c r="D609" s="40" t="str">
        <f>IFERROR(__xludf.DUMMYFUNCTION("TEXTJOIN("", "",TRUE,UNIQUE(FILTER('Data Master'!$D$2:$D1887,'Data Master'!$C$2:$C1887=A609)))"),"")</f>
        <v/>
      </c>
    </row>
    <row r="610" hidden="1">
      <c r="C610" s="40" t="str">
        <f>IFERROR(__xludf.DUMMYFUNCTION("TEXTJOIN("", "",TRUE,UNIQUE(FILTER('Data Master'!$B$2:$B1887,'Data Master'!$C$2:$C1887=A610)))"),"petani")</f>
        <v>petani</v>
      </c>
      <c r="D610" s="40" t="str">
        <f>IFERROR(__xludf.DUMMYFUNCTION("TEXTJOIN("", "",TRUE,UNIQUE(FILTER('Data Master'!$D$2:$D1887,'Data Master'!$C$2:$C1887=A610)))"),"")</f>
        <v/>
      </c>
    </row>
    <row r="611" hidden="1">
      <c r="C611" s="40" t="str">
        <f>IFERROR(__xludf.DUMMYFUNCTION("TEXTJOIN("", "",TRUE,UNIQUE(FILTER('Data Master'!$B$2:$B1887,'Data Master'!$C$2:$C1887=A611)))"),"petani")</f>
        <v>petani</v>
      </c>
      <c r="D611" s="40" t="str">
        <f>IFERROR(__xludf.DUMMYFUNCTION("TEXTJOIN("", "",TRUE,UNIQUE(FILTER('Data Master'!$D$2:$D1887,'Data Master'!$C$2:$C1887=A611)))"),"")</f>
        <v/>
      </c>
    </row>
    <row r="612" hidden="1">
      <c r="C612" s="40" t="str">
        <f>IFERROR(__xludf.DUMMYFUNCTION("TEXTJOIN("", "",TRUE,UNIQUE(FILTER('Data Master'!$B$2:$B1887,'Data Master'!$C$2:$C1887=A612)))"),"penyuluh")</f>
        <v>penyuluh</v>
      </c>
      <c r="D612" s="40" t="str">
        <f>IFERROR(__xludf.DUMMYFUNCTION("TEXTJOIN("", "",TRUE,UNIQUE(FILTER('Data Master'!$D$2:$D1887,'Data Master'!$C$2:$C1887=A612)))"),"edysriyono90@gmail.com")</f>
        <v>edysriyono90@gmail.com</v>
      </c>
    </row>
    <row r="613" hidden="1">
      <c r="C613" s="40" t="str">
        <f>IFERROR(__xludf.DUMMYFUNCTION("TEXTJOIN("", "",TRUE,UNIQUE(FILTER('Data Master'!$B$2:$B1887,'Data Master'!$C$2:$C1887=A613)))"),"petani")</f>
        <v>petani</v>
      </c>
      <c r="D613" s="40" t="str">
        <f>IFERROR(__xludf.DUMMYFUNCTION("TEXTJOIN("", "",TRUE,UNIQUE(FILTER('Data Master'!$D$2:$D1887,'Data Master'!$C$2:$C1887=A613)))"),"")</f>
        <v/>
      </c>
    </row>
    <row r="614" hidden="1">
      <c r="C614" s="40" t="str">
        <f>IFERROR(__xludf.DUMMYFUNCTION("TEXTJOIN("", "",TRUE,UNIQUE(FILTER('Data Master'!$B$2:$B1887,'Data Master'!$C$2:$C1887=A614)))"),"petani")</f>
        <v>petani</v>
      </c>
      <c r="D614" s="40" t="str">
        <f>IFERROR(__xludf.DUMMYFUNCTION("TEXTJOIN("", "",TRUE,UNIQUE(FILTER('Data Master'!$D$2:$D1887,'Data Master'!$C$2:$C1887=A614)))"),"")</f>
        <v/>
      </c>
    </row>
    <row r="615" hidden="1">
      <c r="C615" s="40" t="str">
        <f>IFERROR(__xludf.DUMMYFUNCTION("TEXTJOIN("", "",TRUE,UNIQUE(FILTER('Data Master'!$B$2:$B1887,'Data Master'!$C$2:$C1887=A615)))"),"petani")</f>
        <v>petani</v>
      </c>
      <c r="D615" s="40" t="str">
        <f>IFERROR(__xludf.DUMMYFUNCTION("TEXTJOIN("", "",TRUE,UNIQUE(FILTER('Data Master'!$D$2:$D1887,'Data Master'!$C$2:$C1887=A615)))"),"")</f>
        <v/>
      </c>
    </row>
    <row r="616" hidden="1">
      <c r="C616" s="40" t="str">
        <f>IFERROR(__xludf.DUMMYFUNCTION("TEXTJOIN("", "",TRUE,UNIQUE(FILTER('Data Master'!$B$2:$B1887,'Data Master'!$C$2:$C1887=A616)))"),"petani")</f>
        <v>petani</v>
      </c>
      <c r="D616" s="40" t="str">
        <f>IFERROR(__xludf.DUMMYFUNCTION("TEXTJOIN("", "",TRUE,UNIQUE(FILTER('Data Master'!$D$2:$D1887,'Data Master'!$C$2:$C1887=A616)))"),"")</f>
        <v/>
      </c>
    </row>
    <row r="617" hidden="1">
      <c r="C617" s="40" t="str">
        <f>IFERROR(__xludf.DUMMYFUNCTION("TEXTJOIN("", "",TRUE,UNIQUE(FILTER('Data Master'!$B$2:$B1887,'Data Master'!$C$2:$C1887=A617)))"),"petani")</f>
        <v>petani</v>
      </c>
      <c r="D617" s="40" t="str">
        <f>IFERROR(__xludf.DUMMYFUNCTION("TEXTJOIN("", "",TRUE,UNIQUE(FILTER('Data Master'!$D$2:$D1887,'Data Master'!$C$2:$C1887=A617)))"),"")</f>
        <v/>
      </c>
    </row>
    <row r="618" hidden="1">
      <c r="C618" s="40" t="str">
        <f>IFERROR(__xludf.DUMMYFUNCTION("TEXTJOIN("", "",TRUE,UNIQUE(FILTER('Data Master'!$B$2:$B1887,'Data Master'!$C$2:$C1887=A618)))"),"petani")</f>
        <v>petani</v>
      </c>
      <c r="D618" s="40" t="str">
        <f>IFERROR(__xludf.DUMMYFUNCTION("TEXTJOIN("", "",TRUE,UNIQUE(FILTER('Data Master'!$D$2:$D1887,'Data Master'!$C$2:$C1887=A618)))"),"")</f>
        <v/>
      </c>
    </row>
    <row r="619" hidden="1">
      <c r="C619" s="40" t="str">
        <f>IFERROR(__xludf.DUMMYFUNCTION("TEXTJOIN("", "",TRUE,UNIQUE(FILTER('Data Master'!$B$2:$B1887,'Data Master'!$C$2:$C1887=A619)))"),"petani")</f>
        <v>petani</v>
      </c>
      <c r="D619" s="40" t="str">
        <f>IFERROR(__xludf.DUMMYFUNCTION("TEXTJOIN("", "",TRUE,UNIQUE(FILTER('Data Master'!$D$2:$D1887,'Data Master'!$C$2:$C1887=A619)))"),"")</f>
        <v/>
      </c>
    </row>
    <row r="620" hidden="1">
      <c r="C620" s="40" t="str">
        <f>IFERROR(__xludf.DUMMYFUNCTION("TEXTJOIN("", "",TRUE,UNIQUE(FILTER('Data Master'!$B$2:$B1887,'Data Master'!$C$2:$C1887=A620)))"),"petani")</f>
        <v>petani</v>
      </c>
      <c r="D620" s="40" t="str">
        <f>IFERROR(__xludf.DUMMYFUNCTION("TEXTJOIN("", "",TRUE,UNIQUE(FILTER('Data Master'!$D$2:$D1887,'Data Master'!$C$2:$C1887=A620)))"),"")</f>
        <v/>
      </c>
    </row>
    <row r="621" hidden="1">
      <c r="C621" s="40" t="str">
        <f>IFERROR(__xludf.DUMMYFUNCTION("TEXTJOIN("", "",TRUE,UNIQUE(FILTER('Data Master'!$B$2:$B1887,'Data Master'!$C$2:$C1887=A621)))"),"petani")</f>
        <v>petani</v>
      </c>
      <c r="D621" s="40" t="str">
        <f>IFERROR(__xludf.DUMMYFUNCTION("TEXTJOIN("", "",TRUE,UNIQUE(FILTER('Data Master'!$D$2:$D1887,'Data Master'!$C$2:$C1887=A621)))"),"")</f>
        <v/>
      </c>
    </row>
    <row r="622" hidden="1">
      <c r="C622" s="40" t="str">
        <f>IFERROR(__xludf.DUMMYFUNCTION("TEXTJOIN("", "",TRUE,UNIQUE(FILTER('Data Master'!$B$2:$B1887,'Data Master'!$C$2:$C1887=A622)))"),"petani")</f>
        <v>petani</v>
      </c>
      <c r="D622" s="40" t="str">
        <f>IFERROR(__xludf.DUMMYFUNCTION("TEXTJOIN("", "",TRUE,UNIQUE(FILTER('Data Master'!$D$2:$D1887,'Data Master'!$C$2:$C1887=A622)))"),"")</f>
        <v/>
      </c>
    </row>
    <row r="623" hidden="1">
      <c r="C623" s="40" t="str">
        <f>IFERROR(__xludf.DUMMYFUNCTION("TEXTJOIN("", "",TRUE,UNIQUE(FILTER('Data Master'!$B$2:$B1887,'Data Master'!$C$2:$C1887=A623)))"),"petani")</f>
        <v>petani</v>
      </c>
      <c r="D623" s="40" t="str">
        <f>IFERROR(__xludf.DUMMYFUNCTION("TEXTJOIN("", "",TRUE,UNIQUE(FILTER('Data Master'!$D$2:$D1887,'Data Master'!$C$2:$C1887=A623)))"),"")</f>
        <v/>
      </c>
    </row>
    <row r="624" hidden="1">
      <c r="C624" s="40" t="str">
        <f>IFERROR(__xludf.DUMMYFUNCTION("TEXTJOIN("", "",TRUE,UNIQUE(FILTER('Data Master'!$B$2:$B1887,'Data Master'!$C$2:$C1887=A624)))"),"petani")</f>
        <v>petani</v>
      </c>
      <c r="D624" s="40" t="str">
        <f>IFERROR(__xludf.DUMMYFUNCTION("TEXTJOIN("", "",TRUE,UNIQUE(FILTER('Data Master'!$D$2:$D1887,'Data Master'!$C$2:$C1887=A624)))"),"")</f>
        <v/>
      </c>
    </row>
    <row r="625" hidden="1">
      <c r="C625" s="40" t="str">
        <f>IFERROR(__xludf.DUMMYFUNCTION("TEXTJOIN("", "",TRUE,UNIQUE(FILTER('Data Master'!$B$2:$B1887,'Data Master'!$C$2:$C1887=A625)))"),"petani")</f>
        <v>petani</v>
      </c>
      <c r="D625" s="40" t="str">
        <f>IFERROR(__xludf.DUMMYFUNCTION("TEXTJOIN("", "",TRUE,UNIQUE(FILTER('Data Master'!$D$2:$D1887,'Data Master'!$C$2:$C1887=A625)))"),"")</f>
        <v/>
      </c>
    </row>
    <row r="626" hidden="1">
      <c r="C626" s="40" t="str">
        <f>IFERROR(__xludf.DUMMYFUNCTION("TEXTJOIN("", "",TRUE,UNIQUE(FILTER('Data Master'!$B$2:$B1887,'Data Master'!$C$2:$C1887=A626)))"),"petani")</f>
        <v>petani</v>
      </c>
      <c r="D626" s="40" t="str">
        <f>IFERROR(__xludf.DUMMYFUNCTION("TEXTJOIN("", "",TRUE,UNIQUE(FILTER('Data Master'!$D$2:$D1887,'Data Master'!$C$2:$C1887=A626)))"),"")</f>
        <v/>
      </c>
    </row>
    <row r="627" hidden="1">
      <c r="C627" s="40" t="str">
        <f>IFERROR(__xludf.DUMMYFUNCTION("TEXTJOIN("", "",TRUE,UNIQUE(FILTER('Data Master'!$B$2:$B1887,'Data Master'!$C$2:$C1887=A627)))"),"petani")</f>
        <v>petani</v>
      </c>
      <c r="D627" s="40" t="str">
        <f>IFERROR(__xludf.DUMMYFUNCTION("TEXTJOIN("", "",TRUE,UNIQUE(FILTER('Data Master'!$D$2:$D1887,'Data Master'!$C$2:$C1887=A627)))"),"")</f>
        <v/>
      </c>
    </row>
    <row r="628" hidden="1">
      <c r="C628" s="40" t="str">
        <f>IFERROR(__xludf.DUMMYFUNCTION("TEXTJOIN("", "",TRUE,UNIQUE(FILTER('Data Master'!$B$2:$B1887,'Data Master'!$C$2:$C1887=A628)))"),"petani")</f>
        <v>petani</v>
      </c>
      <c r="D628" s="40" t="str">
        <f>IFERROR(__xludf.DUMMYFUNCTION("TEXTJOIN("", "",TRUE,UNIQUE(FILTER('Data Master'!$D$2:$D1887,'Data Master'!$C$2:$C1887=A628)))"),"")</f>
        <v/>
      </c>
    </row>
    <row r="629" hidden="1">
      <c r="C629" s="40" t="str">
        <f>IFERROR(__xludf.DUMMYFUNCTION("TEXTJOIN("", "",TRUE,UNIQUE(FILTER('Data Master'!$B$2:$B1887,'Data Master'!$C$2:$C1887=A629)))"),"petani")</f>
        <v>petani</v>
      </c>
      <c r="D629" s="40" t="str">
        <f>IFERROR(__xludf.DUMMYFUNCTION("TEXTJOIN("", "",TRUE,UNIQUE(FILTER('Data Master'!$D$2:$D1887,'Data Master'!$C$2:$C1887=A629)))"),"")</f>
        <v/>
      </c>
    </row>
    <row r="630" hidden="1">
      <c r="C630" s="40" t="str">
        <f>IFERROR(__xludf.DUMMYFUNCTION("TEXTJOIN("", "",TRUE,UNIQUE(FILTER('Data Master'!$B$2:$B1887,'Data Master'!$C$2:$C1887=A630)))"),"petani")</f>
        <v>petani</v>
      </c>
      <c r="D630" s="40" t="str">
        <f>IFERROR(__xludf.DUMMYFUNCTION("TEXTJOIN("", "",TRUE,UNIQUE(FILTER('Data Master'!$D$2:$D1887,'Data Master'!$C$2:$C1887=A630)))"),"")</f>
        <v/>
      </c>
    </row>
    <row r="631" hidden="1">
      <c r="C631" s="40" t="str">
        <f>IFERROR(__xludf.DUMMYFUNCTION("TEXTJOIN("", "",TRUE,UNIQUE(FILTER('Data Master'!$B$2:$B1887,'Data Master'!$C$2:$C1887=A631)))"),"petani")</f>
        <v>petani</v>
      </c>
      <c r="D631" s="40" t="str">
        <f>IFERROR(__xludf.DUMMYFUNCTION("TEXTJOIN("", "",TRUE,UNIQUE(FILTER('Data Master'!$D$2:$D1887,'Data Master'!$C$2:$C1887=A631)))"),"")</f>
        <v/>
      </c>
    </row>
    <row r="632" hidden="1">
      <c r="C632" s="40" t="str">
        <f>IFERROR(__xludf.DUMMYFUNCTION("TEXTJOIN("", "",TRUE,UNIQUE(FILTER('Data Master'!$B$2:$B1887,'Data Master'!$C$2:$C1887=A632)))"),"petani")</f>
        <v>petani</v>
      </c>
      <c r="D632" s="40" t="str">
        <f>IFERROR(__xludf.DUMMYFUNCTION("TEXTJOIN("", "",TRUE,UNIQUE(FILTER('Data Master'!$D$2:$D1887,'Data Master'!$C$2:$C1887=A632)))"),"")</f>
        <v/>
      </c>
    </row>
    <row r="633" hidden="1">
      <c r="C633" s="40" t="str">
        <f>IFERROR(__xludf.DUMMYFUNCTION("TEXTJOIN("", "",TRUE,UNIQUE(FILTER('Data Master'!$B$2:$B1887,'Data Master'!$C$2:$C1887=A633)))"),"petani")</f>
        <v>petani</v>
      </c>
      <c r="D633" s="40" t="str">
        <f>IFERROR(__xludf.DUMMYFUNCTION("TEXTJOIN("", "",TRUE,UNIQUE(FILTER('Data Master'!$D$2:$D1887,'Data Master'!$C$2:$C1887=A633)))"),"")</f>
        <v/>
      </c>
    </row>
    <row r="634" hidden="1">
      <c r="C634" s="40" t="str">
        <f>IFERROR(__xludf.DUMMYFUNCTION("TEXTJOIN("", "",TRUE,UNIQUE(FILTER('Data Master'!$B$2:$B1887,'Data Master'!$C$2:$C1887=A634)))"),"petani")</f>
        <v>petani</v>
      </c>
      <c r="D634" s="40" t="str">
        <f>IFERROR(__xludf.DUMMYFUNCTION("TEXTJOIN("", "",TRUE,UNIQUE(FILTER('Data Master'!$D$2:$D1887,'Data Master'!$C$2:$C1887=A634)))"),"")</f>
        <v/>
      </c>
    </row>
    <row r="635" hidden="1">
      <c r="C635" s="40" t="str">
        <f>IFERROR(__xludf.DUMMYFUNCTION("TEXTJOIN("", "",TRUE,UNIQUE(FILTER('Data Master'!$B$2:$B1887,'Data Master'!$C$2:$C1887=A635)))"),"petani")</f>
        <v>petani</v>
      </c>
      <c r="D635" s="40" t="str">
        <f>IFERROR(__xludf.DUMMYFUNCTION("TEXTJOIN("", "",TRUE,UNIQUE(FILTER('Data Master'!$D$2:$D1887,'Data Master'!$C$2:$C1887=A635)))"),"")</f>
        <v/>
      </c>
    </row>
    <row r="636" hidden="1">
      <c r="C636" s="40" t="str">
        <f>IFERROR(__xludf.DUMMYFUNCTION("TEXTJOIN("", "",TRUE,UNIQUE(FILTER('Data Master'!$B$2:$B1887,'Data Master'!$C$2:$C1887=A636)))"),"petani")</f>
        <v>petani</v>
      </c>
      <c r="D636" s="40" t="str">
        <f>IFERROR(__xludf.DUMMYFUNCTION("TEXTJOIN("", "",TRUE,UNIQUE(FILTER('Data Master'!$D$2:$D1887,'Data Master'!$C$2:$C1887=A636)))"),"")</f>
        <v/>
      </c>
    </row>
    <row r="637" hidden="1">
      <c r="C637" s="40" t="str">
        <f>IFERROR(__xludf.DUMMYFUNCTION("TEXTJOIN("", "",TRUE,UNIQUE(FILTER('Data Master'!$B$2:$B1887,'Data Master'!$C$2:$C1887=A637)))"),"petani")</f>
        <v>petani</v>
      </c>
      <c r="D637" s="40" t="str">
        <f>IFERROR(__xludf.DUMMYFUNCTION("TEXTJOIN("", "",TRUE,UNIQUE(FILTER('Data Master'!$D$2:$D1887,'Data Master'!$C$2:$C1887=A637)))"),"")</f>
        <v/>
      </c>
    </row>
    <row r="638" hidden="1">
      <c r="C638" s="40" t="str">
        <f>IFERROR(__xludf.DUMMYFUNCTION("TEXTJOIN("", "",TRUE,UNIQUE(FILTER('Data Master'!$B$2:$B1887,'Data Master'!$C$2:$C1887=A638)))"),"petani")</f>
        <v>petani</v>
      </c>
      <c r="D638" s="40" t="str">
        <f>IFERROR(__xludf.DUMMYFUNCTION("TEXTJOIN("", "",TRUE,UNIQUE(FILTER('Data Master'!$D$2:$D1887,'Data Master'!$C$2:$C1887=A638)))"),"")</f>
        <v/>
      </c>
    </row>
    <row r="639" hidden="1">
      <c r="C639" s="40" t="str">
        <f>IFERROR(__xludf.DUMMYFUNCTION("TEXTJOIN("", "",TRUE,UNIQUE(FILTER('Data Master'!$B$2:$B1887,'Data Master'!$C$2:$C1887=A639)))"),"petani")</f>
        <v>petani</v>
      </c>
      <c r="D639" s="40" t="str">
        <f>IFERROR(__xludf.DUMMYFUNCTION("TEXTJOIN("", "",TRUE,UNIQUE(FILTER('Data Master'!$D$2:$D1887,'Data Master'!$C$2:$C1887=A639)))"),"")</f>
        <v/>
      </c>
    </row>
    <row r="640" hidden="1">
      <c r="C640" s="40" t="str">
        <f>IFERROR(__xludf.DUMMYFUNCTION("TEXTJOIN("", "",TRUE,UNIQUE(FILTER('Data Master'!$B$2:$B1887,'Data Master'!$C$2:$C1887=A640)))"),"petani")</f>
        <v>petani</v>
      </c>
      <c r="D640" s="40" t="str">
        <f>IFERROR(__xludf.DUMMYFUNCTION("TEXTJOIN("", "",TRUE,UNIQUE(FILTER('Data Master'!$D$2:$D1887,'Data Master'!$C$2:$C1887=A640)))"),"")</f>
        <v/>
      </c>
    </row>
    <row r="641" hidden="1">
      <c r="C641" s="40" t="str">
        <f>IFERROR(__xludf.DUMMYFUNCTION("TEXTJOIN("", "",TRUE,UNIQUE(FILTER('Data Master'!$B$2:$B1887,'Data Master'!$C$2:$C1887=A641)))"),"petani")</f>
        <v>petani</v>
      </c>
      <c r="D641" s="40" t="str">
        <f>IFERROR(__xludf.DUMMYFUNCTION("TEXTJOIN("", "",TRUE,UNIQUE(FILTER('Data Master'!$D$2:$D1887,'Data Master'!$C$2:$C1887=A641)))"),"")</f>
        <v/>
      </c>
    </row>
    <row r="642" hidden="1">
      <c r="C642" s="40" t="str">
        <f>IFERROR(__xludf.DUMMYFUNCTION("TEXTJOIN("", "",TRUE,UNIQUE(FILTER('Data Master'!$B$2:$B1887,'Data Master'!$C$2:$C1887=A642)))"),"petani")</f>
        <v>petani</v>
      </c>
      <c r="D642" s="40" t="str">
        <f>IFERROR(__xludf.DUMMYFUNCTION("TEXTJOIN("", "",TRUE,UNIQUE(FILTER('Data Master'!$D$2:$D1887,'Data Master'!$C$2:$C1887=A642)))"),"")</f>
        <v/>
      </c>
    </row>
    <row r="643" hidden="1">
      <c r="C643" s="40" t="str">
        <f>IFERROR(__xludf.DUMMYFUNCTION("TEXTJOIN("", "",TRUE,UNIQUE(FILTER('Data Master'!$B$2:$B1887,'Data Master'!$C$2:$C1887=A643)))"),"petani")</f>
        <v>petani</v>
      </c>
      <c r="D643" s="40" t="str">
        <f>IFERROR(__xludf.DUMMYFUNCTION("TEXTJOIN("", "",TRUE,UNIQUE(FILTER('Data Master'!$D$2:$D1887,'Data Master'!$C$2:$C1887=A643)))"),"jogorogosiketan@gmail.com")</f>
        <v>jogorogosiketan@gmail.com</v>
      </c>
    </row>
    <row r="644" hidden="1">
      <c r="C644" s="40" t="str">
        <f>IFERROR(__xludf.DUMMYFUNCTION("TEXTJOIN("", "",TRUE,UNIQUE(FILTER('Data Master'!$B$2:$B1887,'Data Master'!$C$2:$C1887=A644)))"),"petani")</f>
        <v>petani</v>
      </c>
      <c r="D644" s="40" t="str">
        <f>IFERROR(__xludf.DUMMYFUNCTION("TEXTJOIN("", "",TRUE,UNIQUE(FILTER('Data Master'!$D$2:$D1887,'Data Master'!$C$2:$C1887=A644)))"),"")</f>
        <v/>
      </c>
    </row>
    <row r="645" hidden="1">
      <c r="C645" s="40" t="str">
        <f>IFERROR(__xludf.DUMMYFUNCTION("TEXTJOIN("", "",TRUE,UNIQUE(FILTER('Data Master'!$B$2:$B1887,'Data Master'!$C$2:$C1887=A645)))"),"petani")</f>
        <v>petani</v>
      </c>
      <c r="D645" s="40" t="str">
        <f>IFERROR(__xludf.DUMMYFUNCTION("TEXTJOIN("", "",TRUE,UNIQUE(FILTER('Data Master'!$D$2:$D1887,'Data Master'!$C$2:$C1887=A645)))"),"")</f>
        <v/>
      </c>
    </row>
    <row r="646" hidden="1">
      <c r="C646" s="40" t="str">
        <f>IFERROR(__xludf.DUMMYFUNCTION("TEXTJOIN("", "",TRUE,UNIQUE(FILTER('Data Master'!$B$2:$B1887,'Data Master'!$C$2:$C1887=A646)))"),"petani")</f>
        <v>petani</v>
      </c>
      <c r="D646" s="40" t="str">
        <f>IFERROR(__xludf.DUMMYFUNCTION("TEXTJOIN("", "",TRUE,UNIQUE(FILTER('Data Master'!$D$2:$D1887,'Data Master'!$C$2:$C1887=A646)))"),"")</f>
        <v/>
      </c>
    </row>
    <row r="647" hidden="1">
      <c r="C647" s="40" t="str">
        <f>IFERROR(__xludf.DUMMYFUNCTION("TEXTJOIN("", "",TRUE,UNIQUE(FILTER('Data Master'!$B$2:$B1887,'Data Master'!$C$2:$C1887=A647)))"),"petani")</f>
        <v>petani</v>
      </c>
      <c r="D647" s="40" t="str">
        <f>IFERROR(__xludf.DUMMYFUNCTION("TEXTJOIN("", "",TRUE,UNIQUE(FILTER('Data Master'!$D$2:$D1887,'Data Master'!$C$2:$C1887=A647)))"),"")</f>
        <v/>
      </c>
    </row>
    <row r="648" hidden="1">
      <c r="C648" s="40" t="str">
        <f>IFERROR(__xludf.DUMMYFUNCTION("TEXTJOIN("", "",TRUE,UNIQUE(FILTER('Data Master'!$B$2:$B1887,'Data Master'!$C$2:$C1887=A648)))"),"petani")</f>
        <v>petani</v>
      </c>
      <c r="D648" s="40" t="str">
        <f>IFERROR(__xludf.DUMMYFUNCTION("TEXTJOIN("", "",TRUE,UNIQUE(FILTER('Data Master'!$D$2:$D1887,'Data Master'!$C$2:$C1887=A648)))"),"")</f>
        <v/>
      </c>
    </row>
    <row r="649" hidden="1">
      <c r="C649" s="40" t="str">
        <f>IFERROR(__xludf.DUMMYFUNCTION("TEXTJOIN("", "",TRUE,UNIQUE(FILTER('Data Master'!$B$2:$B1887,'Data Master'!$C$2:$C1887=A649)))"),"petani")</f>
        <v>petani</v>
      </c>
      <c r="D649" s="40" t="str">
        <f>IFERROR(__xludf.DUMMYFUNCTION("TEXTJOIN("", "",TRUE,UNIQUE(FILTER('Data Master'!$D$2:$D1887,'Data Master'!$C$2:$C1887=A649)))"),"")</f>
        <v/>
      </c>
    </row>
    <row r="650" hidden="1">
      <c r="C650" s="40" t="str">
        <f>IFERROR(__xludf.DUMMYFUNCTION("TEXTJOIN("", "",TRUE,UNIQUE(FILTER('Data Master'!$B$2:$B1887,'Data Master'!$C$2:$C1887=A650)))"),"penyuluh")</f>
        <v>penyuluh</v>
      </c>
      <c r="D650" s="40" t="str">
        <f>IFERROR(__xludf.DUMMYFUNCTION("TEXTJOIN("", "",TRUE,UNIQUE(FILTER('Data Master'!$D$2:$D1887,'Data Master'!$C$2:$C1887=A650)))"),"")</f>
        <v/>
      </c>
    </row>
    <row r="651" hidden="1">
      <c r="C651" s="40" t="str">
        <f>IFERROR(__xludf.DUMMYFUNCTION("TEXTJOIN("", "",TRUE,UNIQUE(FILTER('Data Master'!$B$2:$B1887,'Data Master'!$C$2:$C1887=A651)))"),"petani")</f>
        <v>petani</v>
      </c>
      <c r="D651" s="40" t="str">
        <f>IFERROR(__xludf.DUMMYFUNCTION("TEXTJOIN("", "",TRUE,UNIQUE(FILTER('Data Master'!$D$2:$D1887,'Data Master'!$C$2:$C1887=A651)))"),"")</f>
        <v/>
      </c>
    </row>
    <row r="652" hidden="1">
      <c r="C652" s="40" t="str">
        <f>IFERROR(__xludf.DUMMYFUNCTION("TEXTJOIN("", "",TRUE,UNIQUE(FILTER('Data Master'!$B$2:$B1887,'Data Master'!$C$2:$C1887=A652)))"),"petani")</f>
        <v>petani</v>
      </c>
      <c r="D652" s="40" t="str">
        <f>IFERROR(__xludf.DUMMYFUNCTION("TEXTJOIN("", "",TRUE,UNIQUE(FILTER('Data Master'!$D$2:$D1887,'Data Master'!$C$2:$C1887=A652)))"),"")</f>
        <v/>
      </c>
    </row>
    <row r="653" hidden="1">
      <c r="C653" s="40" t="str">
        <f>IFERROR(__xludf.DUMMYFUNCTION("TEXTJOIN("", "",TRUE,UNIQUE(FILTER('Data Master'!$B$2:$B1887,'Data Master'!$C$2:$C1887=A653)))"),"petani")</f>
        <v>petani</v>
      </c>
      <c r="D653" s="40" t="str">
        <f>IFERROR(__xludf.DUMMYFUNCTION("TEXTJOIN("", "",TRUE,UNIQUE(FILTER('Data Master'!$D$2:$D1887,'Data Master'!$C$2:$C1887=A653)))"),"")</f>
        <v/>
      </c>
    </row>
    <row r="654" hidden="1">
      <c r="C654" s="40" t="str">
        <f>IFERROR(__xludf.DUMMYFUNCTION("TEXTJOIN("", "",TRUE,UNIQUE(FILTER('Data Master'!$B$2:$B1887,'Data Master'!$C$2:$C1887=A654)))"),"petani")</f>
        <v>petani</v>
      </c>
      <c r="D654" s="40" t="str">
        <f>IFERROR(__xludf.DUMMYFUNCTION("TEXTJOIN("", "",TRUE,UNIQUE(FILTER('Data Master'!$D$2:$D1887,'Data Master'!$C$2:$C1887=A654)))"),"")</f>
        <v/>
      </c>
    </row>
    <row r="655" hidden="1">
      <c r="C655" s="40" t="str">
        <f>IFERROR(__xludf.DUMMYFUNCTION("TEXTJOIN("", "",TRUE,UNIQUE(FILTER('Data Master'!$B$2:$B1887,'Data Master'!$C$2:$C1887=A655)))"),"petani")</f>
        <v>petani</v>
      </c>
      <c r="D655" s="40" t="str">
        <f>IFERROR(__xludf.DUMMYFUNCTION("TEXTJOIN("", "",TRUE,UNIQUE(FILTER('Data Master'!$D$2:$D1887,'Data Master'!$C$2:$C1887=A655)))"),"")</f>
        <v/>
      </c>
    </row>
    <row r="656" hidden="1">
      <c r="C656" s="40" t="str">
        <f>IFERROR(__xludf.DUMMYFUNCTION("TEXTJOIN("", "",TRUE,UNIQUE(FILTER('Data Master'!$B$2:$B1887,'Data Master'!$C$2:$C1887=A656)))"),"petani")</f>
        <v>petani</v>
      </c>
      <c r="D656" s="40" t="str">
        <f>IFERROR(__xludf.DUMMYFUNCTION("TEXTJOIN("", "",TRUE,UNIQUE(FILTER('Data Master'!$D$2:$D1887,'Data Master'!$C$2:$C1887=A656)))"),"")</f>
        <v/>
      </c>
    </row>
    <row r="657" hidden="1">
      <c r="C657" s="40" t="str">
        <f>IFERROR(__xludf.DUMMYFUNCTION("TEXTJOIN("", "",TRUE,UNIQUE(FILTER('Data Master'!$B$2:$B1887,'Data Master'!$C$2:$C1887=A657)))"),"petani")</f>
        <v>petani</v>
      </c>
      <c r="D657" s="40" t="str">
        <f>IFERROR(__xludf.DUMMYFUNCTION("TEXTJOIN("", "",TRUE,UNIQUE(FILTER('Data Master'!$D$2:$D1887,'Data Master'!$C$2:$C1887=A657)))"),"")</f>
        <v/>
      </c>
    </row>
    <row r="658" hidden="1">
      <c r="C658" s="40" t="str">
        <f>IFERROR(__xludf.DUMMYFUNCTION("TEXTJOIN("", "",TRUE,UNIQUE(FILTER('Data Master'!$B$2:$B1887,'Data Master'!$C$2:$C1887=A658)))"),"petani")</f>
        <v>petani</v>
      </c>
      <c r="D658" s="40" t="str">
        <f>IFERROR(__xludf.DUMMYFUNCTION("TEXTJOIN("", "",TRUE,UNIQUE(FILTER('Data Master'!$D$2:$D1887,'Data Master'!$C$2:$C1887=A658)))"),"")</f>
        <v/>
      </c>
    </row>
    <row r="659" hidden="1">
      <c r="C659" s="40" t="str">
        <f>IFERROR(__xludf.DUMMYFUNCTION("TEXTJOIN("", "",TRUE,UNIQUE(FILTER('Data Master'!$B$2:$B1887,'Data Master'!$C$2:$C1887=A659)))"),"petani")</f>
        <v>petani</v>
      </c>
      <c r="D659" s="40" t="str">
        <f>IFERROR(__xludf.DUMMYFUNCTION("TEXTJOIN("", "",TRUE,UNIQUE(FILTER('Data Master'!$D$2:$D1887,'Data Master'!$C$2:$C1887=A659)))"),"")</f>
        <v/>
      </c>
    </row>
    <row r="660" hidden="1">
      <c r="C660" s="40" t="str">
        <f>IFERROR(__xludf.DUMMYFUNCTION("TEXTJOIN("", "",TRUE,UNIQUE(FILTER('Data Master'!$B$2:$B1887,'Data Master'!$C$2:$C1887=A660)))"),"petani")</f>
        <v>petani</v>
      </c>
      <c r="D660" s="40" t="str">
        <f>IFERROR(__xludf.DUMMYFUNCTION("TEXTJOIN("", "",TRUE,UNIQUE(FILTER('Data Master'!$D$2:$D1887,'Data Master'!$C$2:$C1887=A660)))"),"")</f>
        <v/>
      </c>
    </row>
    <row r="661" hidden="1">
      <c r="C661" s="40" t="str">
        <f>IFERROR(__xludf.DUMMYFUNCTION("TEXTJOIN("", "",TRUE,UNIQUE(FILTER('Data Master'!$B$2:$B1887,'Data Master'!$C$2:$C1887=A661)))"),"petani")</f>
        <v>petani</v>
      </c>
      <c r="D661" s="40" t="str">
        <f>IFERROR(__xludf.DUMMYFUNCTION("TEXTJOIN("", "",TRUE,UNIQUE(FILTER('Data Master'!$D$2:$D1887,'Data Master'!$C$2:$C1887=A661)))"),"")</f>
        <v/>
      </c>
    </row>
    <row r="662" hidden="1">
      <c r="C662" s="40" t="str">
        <f>IFERROR(__xludf.DUMMYFUNCTION("TEXTJOIN("", "",TRUE,UNIQUE(FILTER('Data Master'!$B$2:$B1887,'Data Master'!$C$2:$C1887=A662)))"),"penyuluh")</f>
        <v>penyuluh</v>
      </c>
      <c r="D662" s="40" t="str">
        <f>IFERROR(__xludf.DUMMYFUNCTION("TEXTJOIN("", "",TRUE,UNIQUE(FILTER('Data Master'!$D$2:$D1887,'Data Master'!$C$2:$C1887=A662)))"),"ernakusumawati746@gmail.com")</f>
        <v>ernakusumawati746@gmail.com</v>
      </c>
    </row>
    <row r="663" hidden="1">
      <c r="C663" s="40" t="str">
        <f>IFERROR(__xludf.DUMMYFUNCTION("TEXTJOIN("", "",TRUE,UNIQUE(FILTER('Data Master'!$B$2:$B1887,'Data Master'!$C$2:$C1887=A663)))"),"petani")</f>
        <v>petani</v>
      </c>
      <c r="D663" s="40" t="str">
        <f>IFERROR(__xludf.DUMMYFUNCTION("TEXTJOIN("", "",TRUE,UNIQUE(FILTER('Data Master'!$D$2:$D1887,'Data Master'!$C$2:$C1887=A663)))"),"")</f>
        <v/>
      </c>
    </row>
    <row r="664" hidden="1">
      <c r="C664" s="40" t="str">
        <f>IFERROR(__xludf.DUMMYFUNCTION("TEXTJOIN("", "",TRUE,UNIQUE(FILTER('Data Master'!$B$2:$B1887,'Data Master'!$C$2:$C1887=A664)))"),"petani")</f>
        <v>petani</v>
      </c>
      <c r="D664" s="40" t="str">
        <f>IFERROR(__xludf.DUMMYFUNCTION("TEXTJOIN("", "",TRUE,UNIQUE(FILTER('Data Master'!$D$2:$D1887,'Data Master'!$C$2:$C1887=A664)))"),"")</f>
        <v/>
      </c>
    </row>
    <row r="665" hidden="1">
      <c r="C665" s="40" t="str">
        <f>IFERROR(__xludf.DUMMYFUNCTION("TEXTJOIN("", "",TRUE,UNIQUE(FILTER('Data Master'!$B$2:$B1887,'Data Master'!$C$2:$C1887=A665)))"),"petani")</f>
        <v>petani</v>
      </c>
      <c r="D665" s="40" t="str">
        <f>IFERROR(__xludf.DUMMYFUNCTION("TEXTJOIN("", "",TRUE,UNIQUE(FILTER('Data Master'!$D$2:$D1887,'Data Master'!$C$2:$C1887=A665)))"),"")</f>
        <v/>
      </c>
    </row>
    <row r="666" hidden="1">
      <c r="C666" s="40" t="str">
        <f>IFERROR(__xludf.DUMMYFUNCTION("TEXTJOIN("", "",TRUE,UNIQUE(FILTER('Data Master'!$B$2:$B1887,'Data Master'!$C$2:$C1887=A666)))"),"petani")</f>
        <v>petani</v>
      </c>
      <c r="D666" s="40" t="str">
        <f>IFERROR(__xludf.DUMMYFUNCTION("TEXTJOIN("", "",TRUE,UNIQUE(FILTER('Data Master'!$D$2:$D1887,'Data Master'!$C$2:$C1887=A666)))"),"Fadel@gmail.com")</f>
        <v>Fadel@gmail.com</v>
      </c>
    </row>
    <row r="667" hidden="1">
      <c r="C667" s="40" t="str">
        <f>IFERROR(__xludf.DUMMYFUNCTION("TEXTJOIN("", "",TRUE,UNIQUE(FILTER('Data Master'!$B$2:$B1887,'Data Master'!$C$2:$C1887=A667)))"),"penyuluh")</f>
        <v>penyuluh</v>
      </c>
      <c r="D667" s="40" t="str">
        <f>IFERROR(__xludf.DUMMYFUNCTION("TEXTJOIN("", "",TRUE,UNIQUE(FILTER('Data Master'!$D$2:$D1887,'Data Master'!$C$2:$C1887=A667)))"),"fadelanminallah10@gmail.com")</f>
        <v>fadelanminallah10@gmail.com</v>
      </c>
    </row>
    <row r="668" hidden="1">
      <c r="C668" s="40" t="str">
        <f>IFERROR(__xludf.DUMMYFUNCTION("TEXTJOIN("", "",TRUE,UNIQUE(FILTER('Data Master'!$B$2:$B1887,'Data Master'!$C$2:$C1887=A668)))"),"petani")</f>
        <v>petani</v>
      </c>
      <c r="D668" s="40" t="str">
        <f>IFERROR(__xludf.DUMMYFUNCTION("TEXTJOIN("", "",TRUE,UNIQUE(FILTER('Data Master'!$D$2:$D1887,'Data Master'!$C$2:$C1887=A668)))"),"Fadell@gmail.com")</f>
        <v>Fadell@gmail.com</v>
      </c>
    </row>
    <row r="669" hidden="1">
      <c r="C669" s="40" t="str">
        <f>IFERROR(__xludf.DUMMYFUNCTION("TEXTJOIN("", "",TRUE,UNIQUE(FILTER('Data Master'!$B$2:$B1887,'Data Master'!$C$2:$C1887=A669)))"),"petani")</f>
        <v>petani</v>
      </c>
      <c r="D669" s="40" t="str">
        <f>IFERROR(__xludf.DUMMYFUNCTION("TEXTJOIN("", "",TRUE,UNIQUE(FILTER('Data Master'!$D$2:$D1887,'Data Master'!$C$2:$C1887=A669)))"),"")</f>
        <v/>
      </c>
    </row>
    <row r="670" hidden="1">
      <c r="C670" s="40" t="str">
        <f>IFERROR(__xludf.DUMMYFUNCTION("TEXTJOIN("", "",TRUE,UNIQUE(FILTER('Data Master'!$B$2:$B1887,'Data Master'!$C$2:$C1887=A670)))"),"petani")</f>
        <v>petani</v>
      </c>
      <c r="D670" s="40" t="str">
        <f>IFERROR(__xludf.DUMMYFUNCTION("TEXTJOIN("", "",TRUE,UNIQUE(FILTER('Data Master'!$D$2:$D1887,'Data Master'!$C$2:$C1887=A670)))"),"")</f>
        <v/>
      </c>
    </row>
    <row r="671" hidden="1">
      <c r="C671" s="40" t="str">
        <f>IFERROR(__xludf.DUMMYFUNCTION("TEXTJOIN("", "",TRUE,UNIQUE(FILTER('Data Master'!$B$2:$B1887,'Data Master'!$C$2:$C1887=A671)))"),"petani")</f>
        <v>petani</v>
      </c>
      <c r="D671" s="40" t="str">
        <f>IFERROR(__xludf.DUMMYFUNCTION("TEXTJOIN("", "",TRUE,UNIQUE(FILTER('Data Master'!$D$2:$D1887,'Data Master'!$C$2:$C1887=A671)))"),"")</f>
        <v/>
      </c>
    </row>
    <row r="672" hidden="1">
      <c r="C672" s="40" t="str">
        <f>IFERROR(__xludf.DUMMYFUNCTION("TEXTJOIN("", "",TRUE,UNIQUE(FILTER('Data Master'!$B$2:$B1887,'Data Master'!$C$2:$C1887=A672)))"),"petani")</f>
        <v>petani</v>
      </c>
      <c r="D672" s="40" t="str">
        <f>IFERROR(__xludf.DUMMYFUNCTION("TEXTJOIN("", "",TRUE,UNIQUE(FILTER('Data Master'!$D$2:$D1887,'Data Master'!$C$2:$C1887=A672)))"),"")</f>
        <v/>
      </c>
    </row>
    <row r="673" hidden="1">
      <c r="C673" s="40" t="str">
        <f>IFERROR(__xludf.DUMMYFUNCTION("TEXTJOIN("", "",TRUE,UNIQUE(FILTER('Data Master'!$B$2:$B1887,'Data Master'!$C$2:$C1887=A673)))"),"petani")</f>
        <v>petani</v>
      </c>
      <c r="D673" s="40" t="str">
        <f>IFERROR(__xludf.DUMMYFUNCTION("TEXTJOIN("", "",TRUE,UNIQUE(FILTER('Data Master'!$D$2:$D1887,'Data Master'!$C$2:$C1887=A673)))"),"")</f>
        <v/>
      </c>
    </row>
    <row r="674" hidden="1">
      <c r="C674" s="40" t="str">
        <f>IFERROR(__xludf.DUMMYFUNCTION("TEXTJOIN("", "",TRUE,UNIQUE(FILTER('Data Master'!$B$2:$B1887,'Data Master'!$C$2:$C1887=A674)))"),"petani")</f>
        <v>petani</v>
      </c>
      <c r="D674" s="40" t="str">
        <f>IFERROR(__xludf.DUMMYFUNCTION("TEXTJOIN("", "",TRUE,UNIQUE(FILTER('Data Master'!$D$2:$D1887,'Data Master'!$C$2:$C1887=A674)))"),"Fariz@gmail.com")</f>
        <v>Fariz@gmail.com</v>
      </c>
    </row>
    <row r="675" hidden="1">
      <c r="C675" s="40" t="str">
        <f>IFERROR(__xludf.DUMMYFUNCTION("TEXTJOIN("", "",TRUE,UNIQUE(FILTER('Data Master'!$B$2:$B1887,'Data Master'!$C$2:$C1887=A675)))"),"petani")</f>
        <v>petani</v>
      </c>
      <c r="D675" s="40" t="str">
        <f>IFERROR(__xludf.DUMMYFUNCTION("TEXTJOIN("", "",TRUE,UNIQUE(FILTER('Data Master'!$D$2:$D1887,'Data Master'!$C$2:$C1887=A675)))"),"")</f>
        <v/>
      </c>
    </row>
    <row r="676" hidden="1">
      <c r="C676" s="40" t="str">
        <f>IFERROR(__xludf.DUMMYFUNCTION("TEXTJOIN("", "",TRUE,UNIQUE(FILTER('Data Master'!$B$2:$B1887,'Data Master'!$C$2:$C1887=A676)))"),"petani")</f>
        <v>petani</v>
      </c>
      <c r="D676" s="40" t="str">
        <f>IFERROR(__xludf.DUMMYFUNCTION("TEXTJOIN("", "",TRUE,UNIQUE(FILTER('Data Master'!$D$2:$D1887,'Data Master'!$C$2:$C1887=A676)))"),"")</f>
        <v/>
      </c>
    </row>
    <row r="677" hidden="1">
      <c r="C677" s="40" t="str">
        <f>IFERROR(__xludf.DUMMYFUNCTION("TEXTJOIN("", "",TRUE,UNIQUE(FILTER('Data Master'!$B$2:$B1887,'Data Master'!$C$2:$C1887=A677)))"),"petani")</f>
        <v>petani</v>
      </c>
      <c r="D677" s="40" t="str">
        <f>IFERROR(__xludf.DUMMYFUNCTION("TEXTJOIN("", "",TRUE,UNIQUE(FILTER('Data Master'!$D$2:$D1887,'Data Master'!$C$2:$C1887=A677)))"),"")</f>
        <v/>
      </c>
    </row>
    <row r="678" hidden="1">
      <c r="C678" s="40" t="str">
        <f>IFERROR(__xludf.DUMMYFUNCTION("TEXTJOIN("", "",TRUE,UNIQUE(FILTER('Data Master'!$B$2:$B1887,'Data Master'!$C$2:$C1887=A678)))"),"petani")</f>
        <v>petani</v>
      </c>
      <c r="D678" s="40" t="str">
        <f>IFERROR(__xludf.DUMMYFUNCTION("TEXTJOIN("", "",TRUE,UNIQUE(FILTER('Data Master'!$D$2:$D1887,'Data Master'!$C$2:$C1887=A678)))"),"")</f>
        <v/>
      </c>
    </row>
    <row r="679" hidden="1">
      <c r="C679" s="40" t="str">
        <f>IFERROR(__xludf.DUMMYFUNCTION("TEXTJOIN("", "",TRUE,UNIQUE(FILTER('Data Master'!$B$2:$B1887,'Data Master'!$C$2:$C1887=A679)))"),"petani")</f>
        <v>petani</v>
      </c>
      <c r="D679" s="40" t="str">
        <f>IFERROR(__xludf.DUMMYFUNCTION("TEXTJOIN("", "",TRUE,UNIQUE(FILTER('Data Master'!$D$2:$D1887,'Data Master'!$C$2:$C1887=A679)))"),"")</f>
        <v/>
      </c>
    </row>
    <row r="680" hidden="1">
      <c r="C680" s="40" t="str">
        <f>IFERROR(__xludf.DUMMYFUNCTION("TEXTJOIN("", "",TRUE,UNIQUE(FILTER('Data Master'!$B$2:$B1887,'Data Master'!$C$2:$C1887=A680)))"),"penyuluh")</f>
        <v>penyuluh</v>
      </c>
      <c r="D680" s="40" t="str">
        <f>IFERROR(__xludf.DUMMYFUNCTION("TEXTJOIN("", "",TRUE,UNIQUE(FILTER('Data Master'!$D$2:$D1887,'Data Master'!$C$2:$C1887=A680)))"),"fatqur@gmail.com")</f>
        <v>fatqur@gmail.com</v>
      </c>
    </row>
    <row r="681" hidden="1">
      <c r="C681" s="40" t="str">
        <f>IFERROR(__xludf.DUMMYFUNCTION("TEXTJOIN("", "",TRUE,UNIQUE(FILTER('Data Master'!$B$2:$B1887,'Data Master'!$C$2:$C1887=A681)))"),"petani")</f>
        <v>petani</v>
      </c>
      <c r="D681" s="40" t="str">
        <f>IFERROR(__xludf.DUMMYFUNCTION("TEXTJOIN("", "",TRUE,UNIQUE(FILTER('Data Master'!$D$2:$D1887,'Data Master'!$C$2:$C1887=A681)))"),"")</f>
        <v/>
      </c>
    </row>
    <row r="682" hidden="1">
      <c r="C682" s="40" t="str">
        <f>IFERROR(__xludf.DUMMYFUNCTION("TEXTJOIN("", "",TRUE,UNIQUE(FILTER('Data Master'!$B$2:$B1887,'Data Master'!$C$2:$C1887=A682)))"),"petani")</f>
        <v>petani</v>
      </c>
      <c r="D682" s="40" t="str">
        <f>IFERROR(__xludf.DUMMYFUNCTION("TEXTJOIN("", "",TRUE,UNIQUE(FILTER('Data Master'!$D$2:$D1887,'Data Master'!$C$2:$C1887=A682)))"),"")</f>
        <v/>
      </c>
    </row>
    <row r="683" hidden="1">
      <c r="C683" s="40" t="str">
        <f>IFERROR(__xludf.DUMMYFUNCTION("TEXTJOIN("", "",TRUE,UNIQUE(FILTER('Data Master'!$B$2:$B1887,'Data Master'!$C$2:$C1887=A683)))"),"petani")</f>
        <v>petani</v>
      </c>
      <c r="D683" s="40" t="str">
        <f>IFERROR(__xludf.DUMMYFUNCTION("TEXTJOIN("", "",TRUE,UNIQUE(FILTER('Data Master'!$D$2:$D1887,'Data Master'!$C$2:$C1887=A683)))"),"")</f>
        <v/>
      </c>
    </row>
    <row r="684" hidden="1">
      <c r="C684" s="40" t="str">
        <f>IFERROR(__xludf.DUMMYFUNCTION("TEXTJOIN("", "",TRUE,UNIQUE(FILTER('Data Master'!$B$2:$B1887,'Data Master'!$C$2:$C1887=A684)))"),"penyuluh")</f>
        <v>penyuluh</v>
      </c>
      <c r="D684" s="40" t="str">
        <f>IFERROR(__xludf.DUMMYFUNCTION("TEXTJOIN("", "",TRUE,UNIQUE(FILTER('Data Master'!$D$2:$D1887,'Data Master'!$C$2:$C1887=A684)))"),"")</f>
        <v/>
      </c>
    </row>
    <row r="685" hidden="1">
      <c r="C685" s="40" t="str">
        <f>IFERROR(__xludf.DUMMYFUNCTION("TEXTJOIN("", "",TRUE,UNIQUE(FILTER('Data Master'!$B$2:$B1887,'Data Master'!$C$2:$C1887=A685)))"),"petani")</f>
        <v>petani</v>
      </c>
      <c r="D685" s="40" t="str">
        <f>IFERROR(__xludf.DUMMYFUNCTION("TEXTJOIN("", "",TRUE,UNIQUE(FILTER('Data Master'!$D$2:$D1887,'Data Master'!$C$2:$C1887=A685)))"),"")</f>
        <v/>
      </c>
    </row>
    <row r="686" hidden="1">
      <c r="C686" s="40" t="str">
        <f>IFERROR(__xludf.DUMMYFUNCTION("TEXTJOIN("", "",TRUE,UNIQUE(FILTER('Data Master'!$B$2:$B1887,'Data Master'!$C$2:$C1887=A686)))"),"petani")</f>
        <v>petani</v>
      </c>
      <c r="D686" s="40" t="str">
        <f>IFERROR(__xludf.DUMMYFUNCTION("TEXTJOIN("", "",TRUE,UNIQUE(FILTER('Data Master'!$D$2:$D1887,'Data Master'!$C$2:$C1887=A686)))"),"")</f>
        <v/>
      </c>
    </row>
    <row r="687" hidden="1">
      <c r="C687" s="40" t="str">
        <f>IFERROR(__xludf.DUMMYFUNCTION("TEXTJOIN("", "",TRUE,UNIQUE(FILTER('Data Master'!$B$2:$B1887,'Data Master'!$C$2:$C1887=A687)))"),"penyuluh")</f>
        <v>penyuluh</v>
      </c>
      <c r="D687" s="40" t="str">
        <f>IFERROR(__xludf.DUMMYFUNCTION("TEXTJOIN("", "",TRUE,UNIQUE(FILTER('Data Master'!$D$2:$D1887,'Data Master'!$C$2:$C1887=A687)))"),"")</f>
        <v/>
      </c>
    </row>
    <row r="688" hidden="1">
      <c r="C688" s="40" t="str">
        <f>IFERROR(__xludf.DUMMYFUNCTION("TEXTJOIN("", "",TRUE,UNIQUE(FILTER('Data Master'!$B$2:$B1887,'Data Master'!$C$2:$C1887=A688)))"),"penyuluh")</f>
        <v>penyuluh</v>
      </c>
      <c r="D688" s="40" t="str">
        <f>IFERROR(__xludf.DUMMYFUNCTION("TEXTJOIN("", "",TRUE,UNIQUE(FILTER('Data Master'!$D$2:$D1887,'Data Master'!$C$2:$C1887=A688)))"),"")</f>
        <v/>
      </c>
    </row>
    <row r="689" hidden="1">
      <c r="C689" s="40" t="str">
        <f>IFERROR(__xludf.DUMMYFUNCTION("TEXTJOIN("", "",TRUE,UNIQUE(FILTER('Data Master'!$B$2:$B1887,'Data Master'!$C$2:$C1887=A689)))"),"petani")</f>
        <v>petani</v>
      </c>
      <c r="D689" s="40" t="str">
        <f>IFERROR(__xludf.DUMMYFUNCTION("TEXTJOIN("", "",TRUE,UNIQUE(FILTER('Data Master'!$D$2:$D1887,'Data Master'!$C$2:$C1887=A689)))"),"")</f>
        <v/>
      </c>
    </row>
    <row r="690" hidden="1">
      <c r="C690" s="40" t="str">
        <f>IFERROR(__xludf.DUMMYFUNCTION("TEXTJOIN("", "",TRUE,UNIQUE(FILTER('Data Master'!$B$2:$B1887,'Data Master'!$C$2:$C1887=A690)))"),"penyuluh")</f>
        <v>penyuluh</v>
      </c>
      <c r="D690" s="40" t="str">
        <f>IFERROR(__xludf.DUMMYFUNCTION("TEXTJOIN("", "",TRUE,UNIQUE(FILTER('Data Master'!$D$2:$D1887,'Data Master'!$C$2:$C1887=A690)))"),"frinda.id@gmail.com")</f>
        <v>frinda.id@gmail.com</v>
      </c>
    </row>
    <row r="691" hidden="1">
      <c r="C691" s="40" t="str">
        <f>IFERROR(__xludf.DUMMYFUNCTION("TEXTJOIN("", "",TRUE,UNIQUE(FILTER('Data Master'!$B$2:$B1887,'Data Master'!$C$2:$C1887=A691)))"),"petani")</f>
        <v>petani</v>
      </c>
      <c r="D691" s="40" t="str">
        <f>IFERROR(__xludf.DUMMYFUNCTION("TEXTJOIN("", "",TRUE,UNIQUE(FILTER('Data Master'!$D$2:$D1887,'Data Master'!$C$2:$C1887=A691)))"),"")</f>
        <v/>
      </c>
    </row>
    <row r="692" hidden="1">
      <c r="C692" s="40" t="str">
        <f>IFERROR(__xludf.DUMMYFUNCTION("TEXTJOIN("", "",TRUE,UNIQUE(FILTER('Data Master'!$B$2:$B1887,'Data Master'!$C$2:$C1887=A692)))"),"penyuluh")</f>
        <v>penyuluh</v>
      </c>
      <c r="D692" s="40" t="str">
        <f>IFERROR(__xludf.DUMMYFUNCTION("TEXTJOIN("", "",TRUE,UNIQUE(FILTER('Data Master'!$D$2:$D1887,'Data Master'!$C$2:$C1887=A692)))"),"")</f>
        <v/>
      </c>
    </row>
    <row r="693" hidden="1">
      <c r="C693" s="40" t="str">
        <f>IFERROR(__xludf.DUMMYFUNCTION("TEXTJOIN("", "",TRUE,UNIQUE(FILTER('Data Master'!$B$2:$B1887,'Data Master'!$C$2:$C1887=A693)))"),"petani")</f>
        <v>petani</v>
      </c>
      <c r="D693" s="40" t="str">
        <f>IFERROR(__xludf.DUMMYFUNCTION("TEXTJOIN("", "",TRUE,UNIQUE(FILTER('Data Master'!$D$2:$D1887,'Data Master'!$C$2:$C1887=A693)))"),"")</f>
        <v/>
      </c>
    </row>
    <row r="694" hidden="1">
      <c r="C694" s="40" t="str">
        <f>IFERROR(__xludf.DUMMYFUNCTION("TEXTJOIN("", "",TRUE,UNIQUE(FILTER('Data Master'!$B$2:$B1887,'Data Master'!$C$2:$C1887=A694)))"),"petani")</f>
        <v>petani</v>
      </c>
      <c r="D694" s="40" t="str">
        <f>IFERROR(__xludf.DUMMYFUNCTION("TEXTJOIN("", "",TRUE,UNIQUE(FILTER('Data Master'!$D$2:$D1887,'Data Master'!$C$2:$C1887=A694)))"),"")</f>
        <v/>
      </c>
    </row>
    <row r="695" hidden="1">
      <c r="C695" s="40" t="str">
        <f>IFERROR(__xludf.DUMMYFUNCTION("TEXTJOIN("", "",TRUE,UNIQUE(FILTER('Data Master'!$B$2:$B1887,'Data Master'!$C$2:$C1887=A695)))"),"petani")</f>
        <v>petani</v>
      </c>
      <c r="D695" s="40" t="str">
        <f>IFERROR(__xludf.DUMMYFUNCTION("TEXTJOIN("", "",TRUE,UNIQUE(FILTER('Data Master'!$D$2:$D1887,'Data Master'!$C$2:$C1887=A695)))"),"")</f>
        <v/>
      </c>
    </row>
    <row r="696" hidden="1">
      <c r="C696" s="40" t="str">
        <f>IFERROR(__xludf.DUMMYFUNCTION("TEXTJOIN("", "",TRUE,UNIQUE(FILTER('Data Master'!$B$2:$B1887,'Data Master'!$C$2:$C1887=A696)))"),"petani")</f>
        <v>petani</v>
      </c>
      <c r="D696" s="40" t="str">
        <f>IFERROR(__xludf.DUMMYFUNCTION("TEXTJOIN("", "",TRUE,UNIQUE(FILTER('Data Master'!$D$2:$D1887,'Data Master'!$C$2:$C1887=A696)))"),"")</f>
        <v/>
      </c>
    </row>
    <row r="697" hidden="1">
      <c r="C697" s="40" t="str">
        <f>IFERROR(__xludf.DUMMYFUNCTION("TEXTJOIN("", "",TRUE,UNIQUE(FILTER('Data Master'!$B$2:$B1887,'Data Master'!$C$2:$C1887=A697)))"),"petani")</f>
        <v>petani</v>
      </c>
      <c r="D697" s="40" t="str">
        <f>IFERROR(__xludf.DUMMYFUNCTION("TEXTJOIN("", "",TRUE,UNIQUE(FILTER('Data Master'!$D$2:$D1887,'Data Master'!$C$2:$C1887=A697)))"),"")</f>
        <v/>
      </c>
    </row>
    <row r="698" hidden="1">
      <c r="C698" s="40" t="str">
        <f>IFERROR(__xludf.DUMMYFUNCTION("TEXTJOIN("", "",TRUE,UNIQUE(FILTER('Data Master'!$B$2:$B1887,'Data Master'!$C$2:$C1887=A698)))"),"petani")</f>
        <v>petani</v>
      </c>
      <c r="D698" s="40" t="str">
        <f>IFERROR(__xludf.DUMMYFUNCTION("TEXTJOIN("", "",TRUE,UNIQUE(FILTER('Data Master'!$D$2:$D1887,'Data Master'!$C$2:$C1887=A698)))"),"")</f>
        <v/>
      </c>
    </row>
    <row r="699" hidden="1">
      <c r="C699" s="40" t="str">
        <f>IFERROR(__xludf.DUMMYFUNCTION("TEXTJOIN("", "",TRUE,UNIQUE(FILTER('Data Master'!$B$2:$B1887,'Data Master'!$C$2:$C1887=A699)))"),"petani")</f>
        <v>petani</v>
      </c>
      <c r="D699" s="40" t="str">
        <f>IFERROR(__xludf.DUMMYFUNCTION("TEXTJOIN("", "",TRUE,UNIQUE(FILTER('Data Master'!$D$2:$D1887,'Data Master'!$C$2:$C1887=A699)))"),"")</f>
        <v/>
      </c>
    </row>
    <row r="700" hidden="1">
      <c r="C700" s="40" t="str">
        <f>IFERROR(__xludf.DUMMYFUNCTION("TEXTJOIN("", "",TRUE,UNIQUE(FILTER('Data Master'!$B$2:$B1887,'Data Master'!$C$2:$C1887=A700)))"),"petani")</f>
        <v>petani</v>
      </c>
      <c r="D700" s="40" t="str">
        <f>IFERROR(__xludf.DUMMYFUNCTION("TEXTJOIN("", "",TRUE,UNIQUE(FILTER('Data Master'!$D$2:$D1887,'Data Master'!$C$2:$C1887=A700)))"),"")</f>
        <v/>
      </c>
    </row>
    <row r="701" hidden="1">
      <c r="C701" s="40" t="str">
        <f>IFERROR(__xludf.DUMMYFUNCTION("TEXTJOIN("", "",TRUE,UNIQUE(FILTER('Data Master'!$B$2:$B1887,'Data Master'!$C$2:$C1887=A701)))"),"petani")</f>
        <v>petani</v>
      </c>
      <c r="D701" s="40" t="str">
        <f>IFERROR(__xludf.DUMMYFUNCTION("TEXTJOIN("", "",TRUE,UNIQUE(FILTER('Data Master'!$D$2:$D1887,'Data Master'!$C$2:$C1887=A701)))"),"")</f>
        <v/>
      </c>
    </row>
    <row r="702" hidden="1">
      <c r="C702" s="40" t="str">
        <f>IFERROR(__xludf.DUMMYFUNCTION("TEXTJOIN("", "",TRUE,UNIQUE(FILTER('Data Master'!$B$2:$B1887,'Data Master'!$C$2:$C1887=A702)))"),"petani")</f>
        <v>petani</v>
      </c>
      <c r="D702" s="40" t="str">
        <f>IFERROR(__xludf.DUMMYFUNCTION("TEXTJOIN("", "",TRUE,UNIQUE(FILTER('Data Master'!$D$2:$D1887,'Data Master'!$C$2:$C1887=A702)))"),"")</f>
        <v/>
      </c>
    </row>
    <row r="703" hidden="1">
      <c r="C703" s="40" t="str">
        <f>IFERROR(__xludf.DUMMYFUNCTION("TEXTJOIN("", "",TRUE,UNIQUE(FILTER('Data Master'!$B$2:$B1887,'Data Master'!$C$2:$C1887=A703)))"),"petani")</f>
        <v>petani</v>
      </c>
      <c r="D703" s="40" t="str">
        <f>IFERROR(__xludf.DUMMYFUNCTION("TEXTJOIN("", "",TRUE,UNIQUE(FILTER('Data Master'!$D$2:$D1887,'Data Master'!$C$2:$C1887=A703)))"),"")</f>
        <v/>
      </c>
    </row>
    <row r="704" hidden="1">
      <c r="C704" s="40" t="str">
        <f>IFERROR(__xludf.DUMMYFUNCTION("TEXTJOIN("", "",TRUE,UNIQUE(FILTER('Data Master'!$B$2:$B1887,'Data Master'!$C$2:$C1887=A704)))"),"petani")</f>
        <v>petani</v>
      </c>
      <c r="D704" s="40" t="str">
        <f>IFERROR(__xludf.DUMMYFUNCTION("TEXTJOIN("", "",TRUE,UNIQUE(FILTER('Data Master'!$D$2:$D1887,'Data Master'!$C$2:$C1887=A704)))"),"")</f>
        <v/>
      </c>
    </row>
    <row r="705" hidden="1">
      <c r="C705" s="40" t="str">
        <f>IFERROR(__xludf.DUMMYFUNCTION("TEXTJOIN("", "",TRUE,UNIQUE(FILTER('Data Master'!$B$2:$B1887,'Data Master'!$C$2:$C1887=A705)))"),"petani")</f>
        <v>petani</v>
      </c>
      <c r="D705" s="40" t="str">
        <f>IFERROR(__xludf.DUMMYFUNCTION("TEXTJOIN("", "",TRUE,UNIQUE(FILTER('Data Master'!$D$2:$D1887,'Data Master'!$C$2:$C1887=A705)))"),"")</f>
        <v/>
      </c>
    </row>
    <row r="706" hidden="1">
      <c r="C706" s="40" t="str">
        <f>IFERROR(__xludf.DUMMYFUNCTION("TEXTJOIN("", "",TRUE,UNIQUE(FILTER('Data Master'!$B$2:$B1887,'Data Master'!$C$2:$C1887=A706)))"),"petani")</f>
        <v>petani</v>
      </c>
      <c r="D706" s="40" t="str">
        <f>IFERROR(__xludf.DUMMYFUNCTION("TEXTJOIN("", "",TRUE,UNIQUE(FILTER('Data Master'!$D$2:$D1887,'Data Master'!$C$2:$C1887=A706)))"),"")</f>
        <v/>
      </c>
    </row>
    <row r="707" hidden="1">
      <c r="C707" s="40" t="str">
        <f>IFERROR(__xludf.DUMMYFUNCTION("TEXTJOIN("", "",TRUE,UNIQUE(FILTER('Data Master'!$B$2:$B1887,'Data Master'!$C$2:$C1887=A707)))"),"petani")</f>
        <v>petani</v>
      </c>
      <c r="D707" s="40" t="str">
        <f>IFERROR(__xludf.DUMMYFUNCTION("TEXTJOIN("", "",TRUE,UNIQUE(FILTER('Data Master'!$D$2:$D1887,'Data Master'!$C$2:$C1887=A707)))"),"")</f>
        <v/>
      </c>
    </row>
    <row r="708" hidden="1">
      <c r="C708" s="40" t="str">
        <f>IFERROR(__xludf.DUMMYFUNCTION("TEXTJOIN("", "",TRUE,UNIQUE(FILTER('Data Master'!$B$2:$B1887,'Data Master'!$C$2:$C1887=A708)))"),"petani")</f>
        <v>petani</v>
      </c>
      <c r="D708" s="40" t="str">
        <f>IFERROR(__xludf.DUMMYFUNCTION("TEXTJOIN("", "",TRUE,UNIQUE(FILTER('Data Master'!$D$2:$D1887,'Data Master'!$C$2:$C1887=A708)))"),"")</f>
        <v/>
      </c>
    </row>
    <row r="709" hidden="1">
      <c r="C709" s="40" t="str">
        <f>IFERROR(__xludf.DUMMYFUNCTION("TEXTJOIN("", "",TRUE,UNIQUE(FILTER('Data Master'!$B$2:$B1887,'Data Master'!$C$2:$C1887=A709)))"),"petani")</f>
        <v>petani</v>
      </c>
      <c r="D709" s="40" t="str">
        <f>IFERROR(__xludf.DUMMYFUNCTION("TEXTJOIN("", "",TRUE,UNIQUE(FILTER('Data Master'!$D$2:$D1887,'Data Master'!$C$2:$C1887=A709)))"),"")</f>
        <v/>
      </c>
    </row>
    <row r="710" hidden="1">
      <c r="C710" s="40" t="str">
        <f>IFERROR(__xludf.DUMMYFUNCTION("TEXTJOIN("", "",TRUE,UNIQUE(FILTER('Data Master'!$B$2:$B1887,'Data Master'!$C$2:$C1887=A710)))"),"penyuluh")</f>
        <v>penyuluh</v>
      </c>
      <c r="D710" s="40" t="str">
        <f>IFERROR(__xludf.DUMMYFUNCTION("TEXTJOIN("", "",TRUE,UNIQUE(FILTER('Data Master'!$D$2:$D1887,'Data Master'!$C$2:$C1887=A710)))"),"gono5726@gmail.com")</f>
        <v>gono5726@gmail.com</v>
      </c>
    </row>
    <row r="711" hidden="1">
      <c r="C711" s="40" t="str">
        <f>IFERROR(__xludf.DUMMYFUNCTION("TEXTJOIN("", "",TRUE,UNIQUE(FILTER('Data Master'!$B$2:$B1887,'Data Master'!$C$2:$C1887=A711)))"),"petani")</f>
        <v>petani</v>
      </c>
      <c r="D711" s="40" t="str">
        <f>IFERROR(__xludf.DUMMYFUNCTION("TEXTJOIN("", "",TRUE,UNIQUE(FILTER('Data Master'!$D$2:$D1887,'Data Master'!$C$2:$C1887=A711)))"),"")</f>
        <v/>
      </c>
    </row>
    <row r="712" hidden="1">
      <c r="C712" s="40" t="str">
        <f>IFERROR(__xludf.DUMMYFUNCTION("TEXTJOIN("", "",TRUE,UNIQUE(FILTER('Data Master'!$B$2:$B1887,'Data Master'!$C$2:$C1887=A712)))"),"petani")</f>
        <v>petani</v>
      </c>
      <c r="D712" s="40" t="str">
        <f>IFERROR(__xludf.DUMMYFUNCTION("TEXTJOIN("", "",TRUE,UNIQUE(FILTER('Data Master'!$D$2:$D1887,'Data Master'!$C$2:$C1887=A712)))"),"")</f>
        <v/>
      </c>
    </row>
    <row r="713" hidden="1">
      <c r="C713" s="40" t="str">
        <f>IFERROR(__xludf.DUMMYFUNCTION("TEXTJOIN("", "",TRUE,UNIQUE(FILTER('Data Master'!$B$2:$B1887,'Data Master'!$C$2:$C1887=A713)))"),"petani")</f>
        <v>petani</v>
      </c>
      <c r="D713" s="40" t="str">
        <f>IFERROR(__xludf.DUMMYFUNCTION("TEXTJOIN("", "",TRUE,UNIQUE(FILTER('Data Master'!$D$2:$D1887,'Data Master'!$C$2:$C1887=A713)))"),"")</f>
        <v/>
      </c>
    </row>
    <row r="714" hidden="1">
      <c r="C714" s="40" t="str">
        <f>IFERROR(__xludf.DUMMYFUNCTION("TEXTJOIN("", "",TRUE,UNIQUE(FILTER('Data Master'!$B$2:$B1887,'Data Master'!$C$2:$C1887=A714)))"),"petani")</f>
        <v>petani</v>
      </c>
      <c r="D714" s="40" t="str">
        <f>IFERROR(__xludf.DUMMYFUNCTION("TEXTJOIN("", "",TRUE,UNIQUE(FILTER('Data Master'!$D$2:$D1887,'Data Master'!$C$2:$C1887=A714)))"),"")</f>
        <v/>
      </c>
    </row>
    <row r="715" hidden="1">
      <c r="C715" s="40" t="str">
        <f>IFERROR(__xludf.DUMMYFUNCTION("TEXTJOIN("", "",TRUE,UNIQUE(FILTER('Data Master'!$B$2:$B1887,'Data Master'!$C$2:$C1887=A715)))"),"petani")</f>
        <v>petani</v>
      </c>
      <c r="D715" s="40" t="str">
        <f>IFERROR(__xludf.DUMMYFUNCTION("TEXTJOIN("", "",TRUE,UNIQUE(FILTER('Data Master'!$D$2:$D1887,'Data Master'!$C$2:$C1887=A715)))"),"")</f>
        <v/>
      </c>
    </row>
    <row r="716" hidden="1">
      <c r="C716" s="40" t="str">
        <f>IFERROR(__xludf.DUMMYFUNCTION("TEXTJOIN("", "",TRUE,UNIQUE(FILTER('Data Master'!$B$2:$B1887,'Data Master'!$C$2:$C1887=A716)))"),"petani")</f>
        <v>petani</v>
      </c>
      <c r="D716" s="40" t="str">
        <f>IFERROR(__xludf.DUMMYFUNCTION("TEXTJOIN("", "",TRUE,UNIQUE(FILTER('Data Master'!$D$2:$D1887,'Data Master'!$C$2:$C1887=A716)))"),"")</f>
        <v/>
      </c>
    </row>
    <row r="717" hidden="1">
      <c r="C717" s="40" t="str">
        <f>IFERROR(__xludf.DUMMYFUNCTION("TEXTJOIN("", "",TRUE,UNIQUE(FILTER('Data Master'!$B$2:$B1887,'Data Master'!$C$2:$C1887=A717)))"),"petani")</f>
        <v>petani</v>
      </c>
      <c r="D717" s="40" t="str">
        <f>IFERROR(__xludf.DUMMYFUNCTION("TEXTJOIN("", "",TRUE,UNIQUE(FILTER('Data Master'!$D$2:$D1887,'Data Master'!$C$2:$C1887=A717)))"),"")</f>
        <v/>
      </c>
    </row>
    <row r="718" hidden="1">
      <c r="C718" s="40" t="str">
        <f>IFERROR(__xludf.DUMMYFUNCTION("TEXTJOIN("", "",TRUE,UNIQUE(FILTER('Data Master'!$B$2:$B1887,'Data Master'!$C$2:$C1887=A718)))"),"petani")</f>
        <v>petani</v>
      </c>
      <c r="D718" s="40" t="str">
        <f>IFERROR(__xludf.DUMMYFUNCTION("TEXTJOIN("", "",TRUE,UNIQUE(FILTER('Data Master'!$D$2:$D1887,'Data Master'!$C$2:$C1887=A718)))"),"")</f>
        <v/>
      </c>
    </row>
    <row r="719" hidden="1">
      <c r="C719" s="40" t="str">
        <f>IFERROR(__xludf.DUMMYFUNCTION("TEXTJOIN("", "",TRUE,UNIQUE(FILTER('Data Master'!$B$2:$B1887,'Data Master'!$C$2:$C1887=A719)))"),"petani")</f>
        <v>petani</v>
      </c>
      <c r="D719" s="40" t="str">
        <f>IFERROR(__xludf.DUMMYFUNCTION("TEXTJOIN("", "",TRUE,UNIQUE(FILTER('Data Master'!$D$2:$D1887,'Data Master'!$C$2:$C1887=A719)))"),"")</f>
        <v/>
      </c>
    </row>
    <row r="720" hidden="1">
      <c r="C720" s="40" t="str">
        <f>IFERROR(__xludf.DUMMYFUNCTION("TEXTJOIN("", "",TRUE,UNIQUE(FILTER('Data Master'!$B$2:$B1887,'Data Master'!$C$2:$C1887=A720)))"),"petani")</f>
        <v>petani</v>
      </c>
      <c r="D720" s="40" t="str">
        <f>IFERROR(__xludf.DUMMYFUNCTION("TEXTJOIN("", "",TRUE,UNIQUE(FILTER('Data Master'!$D$2:$D1887,'Data Master'!$C$2:$C1887=A720)))"),"")</f>
        <v/>
      </c>
    </row>
    <row r="721" hidden="1">
      <c r="C721" s="40" t="str">
        <f>IFERROR(__xludf.DUMMYFUNCTION("TEXTJOIN("", "",TRUE,UNIQUE(FILTER('Data Master'!$B$2:$B1887,'Data Master'!$C$2:$C1887=A721)))"),"petani")</f>
        <v>petani</v>
      </c>
      <c r="D721" s="40" t="str">
        <f>IFERROR(__xludf.DUMMYFUNCTION("TEXTJOIN("", "",TRUE,UNIQUE(FILTER('Data Master'!$D$2:$D1887,'Data Master'!$C$2:$C1887=A721)))"),"")</f>
        <v/>
      </c>
    </row>
    <row r="722" hidden="1">
      <c r="C722" s="40" t="str">
        <f>IFERROR(__xludf.DUMMYFUNCTION("TEXTJOIN("", "",TRUE,UNIQUE(FILTER('Data Master'!$B$2:$B1887,'Data Master'!$C$2:$C1887=A722)))"),"petani")</f>
        <v>petani</v>
      </c>
      <c r="D722" s="40" t="str">
        <f>IFERROR(__xludf.DUMMYFUNCTION("TEXTJOIN("", "",TRUE,UNIQUE(FILTER('Data Master'!$D$2:$D1887,'Data Master'!$C$2:$C1887=A722)))"),"")</f>
        <v/>
      </c>
    </row>
    <row r="723" hidden="1">
      <c r="C723" s="40" t="str">
        <f>IFERROR(__xludf.DUMMYFUNCTION("TEXTJOIN("", "",TRUE,UNIQUE(FILTER('Data Master'!$B$2:$B1887,'Data Master'!$C$2:$C1887=A723)))"),"petani")</f>
        <v>petani</v>
      </c>
      <c r="D723" s="40" t="str">
        <f>IFERROR(__xludf.DUMMYFUNCTION("TEXTJOIN("", "",TRUE,UNIQUE(FILTER('Data Master'!$D$2:$D1887,'Data Master'!$C$2:$C1887=A723)))"),"")</f>
        <v/>
      </c>
    </row>
    <row r="724" hidden="1">
      <c r="C724" s="40" t="str">
        <f>IFERROR(__xludf.DUMMYFUNCTION("TEXTJOIN("", "",TRUE,UNIQUE(FILTER('Data Master'!$B$2:$B1887,'Data Master'!$C$2:$C1887=A724)))"),"petani")</f>
        <v>petani</v>
      </c>
      <c r="D724" s="40" t="str">
        <f>IFERROR(__xludf.DUMMYFUNCTION("TEXTJOIN("", "",TRUE,UNIQUE(FILTER('Data Master'!$D$2:$D1887,'Data Master'!$C$2:$C1887=A724)))"),"")</f>
        <v/>
      </c>
    </row>
    <row r="725" hidden="1">
      <c r="C725" s="40" t="str">
        <f>IFERROR(__xludf.DUMMYFUNCTION("TEXTJOIN("", "",TRUE,UNIQUE(FILTER('Data Master'!$B$2:$B1887,'Data Master'!$C$2:$C1887=A725)))"),"petani")</f>
        <v>petani</v>
      </c>
      <c r="D725" s="40" t="str">
        <f>IFERROR(__xludf.DUMMYFUNCTION("TEXTJOIN("", "",TRUE,UNIQUE(FILTER('Data Master'!$D$2:$D1887,'Data Master'!$C$2:$C1887=A725)))"),"")</f>
        <v/>
      </c>
    </row>
    <row r="726" hidden="1">
      <c r="C726" s="40" t="str">
        <f>IFERROR(__xludf.DUMMYFUNCTION("TEXTJOIN("", "",TRUE,UNIQUE(FILTER('Data Master'!$B$2:$B1887,'Data Master'!$C$2:$C1887=A726)))"),"petani")</f>
        <v>petani</v>
      </c>
      <c r="D726" s="40" t="str">
        <f>IFERROR(__xludf.DUMMYFUNCTION("TEXTJOIN("", "",TRUE,UNIQUE(FILTER('Data Master'!$D$2:$D1887,'Data Master'!$C$2:$C1887=A726)))"),"")</f>
        <v/>
      </c>
    </row>
    <row r="727" hidden="1">
      <c r="C727" s="40" t="str">
        <f>IFERROR(__xludf.DUMMYFUNCTION("TEXTJOIN("", "",TRUE,UNIQUE(FILTER('Data Master'!$B$2:$B1887,'Data Master'!$C$2:$C1887=A727)))"),"petani")</f>
        <v>petani</v>
      </c>
      <c r="D727" s="40" t="str">
        <f>IFERROR(__xludf.DUMMYFUNCTION("TEXTJOIN("", "",TRUE,UNIQUE(FILTER('Data Master'!$D$2:$D1887,'Data Master'!$C$2:$C1887=A727)))"),"")</f>
        <v/>
      </c>
    </row>
    <row r="728" hidden="1">
      <c r="C728" s="40" t="str">
        <f>IFERROR(__xludf.DUMMYFUNCTION("TEXTJOIN("", "",TRUE,UNIQUE(FILTER('Data Master'!$B$2:$B1887,'Data Master'!$C$2:$C1887=A728)))"),"petani")</f>
        <v>petani</v>
      </c>
      <c r="D728" s="40" t="str">
        <f>IFERROR(__xludf.DUMMYFUNCTION("TEXTJOIN("", "",TRUE,UNIQUE(FILTER('Data Master'!$D$2:$D1887,'Data Master'!$C$2:$C1887=A728)))"),"")</f>
        <v/>
      </c>
    </row>
    <row r="729" hidden="1">
      <c r="C729" s="40" t="str">
        <f>IFERROR(__xludf.DUMMYFUNCTION("TEXTJOIN("", "",TRUE,UNIQUE(FILTER('Data Master'!$B$2:$B1887,'Data Master'!$C$2:$C1887=A729)))"),"petani")</f>
        <v>petani</v>
      </c>
      <c r="D729" s="40" t="str">
        <f>IFERROR(__xludf.DUMMYFUNCTION("TEXTJOIN("", "",TRUE,UNIQUE(FILTER('Data Master'!$D$2:$D1887,'Data Master'!$C$2:$C1887=A729)))"),"")</f>
        <v/>
      </c>
    </row>
    <row r="730" hidden="1">
      <c r="C730" s="40" t="str">
        <f>IFERROR(__xludf.DUMMYFUNCTION("TEXTJOIN("", "",TRUE,UNIQUE(FILTER('Data Master'!$B$2:$B1887,'Data Master'!$C$2:$C1887=A730)))"),"petani")</f>
        <v>petani</v>
      </c>
      <c r="D730" s="40" t="str">
        <f>IFERROR(__xludf.DUMMYFUNCTION("TEXTJOIN("", "",TRUE,UNIQUE(FILTER('Data Master'!$D$2:$D1887,'Data Master'!$C$2:$C1887=A730)))"),"")</f>
        <v/>
      </c>
    </row>
    <row r="731" hidden="1">
      <c r="C731" s="40" t="str">
        <f>IFERROR(__xludf.DUMMYFUNCTION("TEXTJOIN("", "",TRUE,UNIQUE(FILTER('Data Master'!$B$2:$B1887,'Data Master'!$C$2:$C1887=A731)))"),"petani")</f>
        <v>petani</v>
      </c>
      <c r="D731" s="40" t="str">
        <f>IFERROR(__xludf.DUMMYFUNCTION("TEXTJOIN("", "",TRUE,UNIQUE(FILTER('Data Master'!$D$2:$D1887,'Data Master'!$C$2:$C1887=A731)))"),"")</f>
        <v/>
      </c>
    </row>
    <row r="732" hidden="1">
      <c r="C732" s="40" t="str">
        <f>IFERROR(__xludf.DUMMYFUNCTION("TEXTJOIN("", "",TRUE,UNIQUE(FILTER('Data Master'!$B$2:$B1887,'Data Master'!$C$2:$C1887=A732)))"),"petani")</f>
        <v>petani</v>
      </c>
      <c r="D732" s="40" t="str">
        <f>IFERROR(__xludf.DUMMYFUNCTION("TEXTJOIN("", "",TRUE,UNIQUE(FILTER('Data Master'!$D$2:$D1887,'Data Master'!$C$2:$C1887=A732)))"),"")</f>
        <v/>
      </c>
    </row>
    <row r="733" hidden="1">
      <c r="C733" s="40" t="str">
        <f>IFERROR(__xludf.DUMMYFUNCTION("TEXTJOIN("", "",TRUE,UNIQUE(FILTER('Data Master'!$B$2:$B1887,'Data Master'!$C$2:$C1887=A733)))"),"petani")</f>
        <v>petani</v>
      </c>
      <c r="D733" s="40" t="str">
        <f>IFERROR(__xludf.DUMMYFUNCTION("TEXTJOIN("", "",TRUE,UNIQUE(FILTER('Data Master'!$D$2:$D1887,'Data Master'!$C$2:$C1887=A733)))"),"")</f>
        <v/>
      </c>
    </row>
    <row r="734" hidden="1">
      <c r="C734" s="40" t="str">
        <f>IFERROR(__xludf.DUMMYFUNCTION("TEXTJOIN("", "",TRUE,UNIQUE(FILTER('Data Master'!$B$2:$B1887,'Data Master'!$C$2:$C1887=A734)))"),"petani")</f>
        <v>petani</v>
      </c>
      <c r="D734" s="40" t="str">
        <f>IFERROR(__xludf.DUMMYFUNCTION("TEXTJOIN("", "",TRUE,UNIQUE(FILTER('Data Master'!$D$2:$D1887,'Data Master'!$C$2:$C1887=A734)))"),"")</f>
        <v/>
      </c>
    </row>
    <row r="735" hidden="1">
      <c r="C735" s="40" t="str">
        <f>IFERROR(__xludf.DUMMYFUNCTION("TEXTJOIN("", "",TRUE,UNIQUE(FILTER('Data Master'!$B$2:$B1887,'Data Master'!$C$2:$C1887=A735)))"),"petani")</f>
        <v>petani</v>
      </c>
      <c r="D735" s="40" t="str">
        <f>IFERROR(__xludf.DUMMYFUNCTION("TEXTJOIN("", "",TRUE,UNIQUE(FILTER('Data Master'!$D$2:$D1887,'Data Master'!$C$2:$C1887=A735)))"),"")</f>
        <v/>
      </c>
    </row>
    <row r="736" hidden="1">
      <c r="C736" s="40" t="str">
        <f>IFERROR(__xludf.DUMMYFUNCTION("TEXTJOIN("", "",TRUE,UNIQUE(FILTER('Data Master'!$B$2:$B1887,'Data Master'!$C$2:$C1887=A736)))"),"petani")</f>
        <v>petani</v>
      </c>
      <c r="D736" s="40" t="str">
        <f>IFERROR(__xludf.DUMMYFUNCTION("TEXTJOIN("", "",TRUE,UNIQUE(FILTER('Data Master'!$D$2:$D1887,'Data Master'!$C$2:$C1887=A736)))"),"")</f>
        <v/>
      </c>
    </row>
    <row r="737" hidden="1">
      <c r="C737" s="40" t="str">
        <f>IFERROR(__xludf.DUMMYFUNCTION("TEXTJOIN("", "",TRUE,UNIQUE(FILTER('Data Master'!$B$2:$B1887,'Data Master'!$C$2:$C1887=A737)))"),"petani")</f>
        <v>petani</v>
      </c>
      <c r="D737" s="40" t="str">
        <f>IFERROR(__xludf.DUMMYFUNCTION("TEXTJOIN("", "",TRUE,UNIQUE(FILTER('Data Master'!$D$2:$D1887,'Data Master'!$C$2:$C1887=A737)))"),"")</f>
        <v/>
      </c>
    </row>
    <row r="738">
      <c r="C738" s="43" t="str">
        <f>IFERROR(__xludf.DUMMYFUNCTION("TEXTJOIN("", "",TRUE,UNIQUE(FILTER('Data Master'!$B$2:$B1887,'Data Master'!$C$2:$C1887=A738)))"),"operator admin, penyuluh")</f>
        <v>operator admin, penyuluh</v>
      </c>
      <c r="D738" s="43" t="str">
        <f>IFERROR(__xludf.DUMMYFUNCTION("TEXTJOIN("", "",TRUE,UNIQUE(FILTER('Data Master'!$D$2:$D1887,'Data Master'!$C$2:$C1887=A738)))"),"perisaericz@yahoo.com")</f>
        <v>perisaericz@yahoo.com</v>
      </c>
    </row>
    <row r="739" hidden="1">
      <c r="C739" s="40" t="str">
        <f>IFERROR(__xludf.DUMMYFUNCTION("TEXTJOIN("", "",TRUE,UNIQUE(FILTER('Data Master'!$B$2:$B1887,'Data Master'!$C$2:$C1887=A739)))"),"petani")</f>
        <v>petani</v>
      </c>
      <c r="D739" s="40" t="str">
        <f>IFERROR(__xludf.DUMMYFUNCTION("TEXTJOIN("", "",TRUE,UNIQUE(FILTER('Data Master'!$D$2:$D1887,'Data Master'!$C$2:$C1887=A739)))"),"")</f>
        <v/>
      </c>
    </row>
    <row r="740" hidden="1">
      <c r="C740" s="40" t="str">
        <f>IFERROR(__xludf.DUMMYFUNCTION("TEXTJOIN("", "",TRUE,UNIQUE(FILTER('Data Master'!$B$2:$B1887,'Data Master'!$C$2:$C1887=A740)))"),"petani")</f>
        <v>petani</v>
      </c>
      <c r="D740" s="40" t="str">
        <f>IFERROR(__xludf.DUMMYFUNCTION("TEXTJOIN("", "",TRUE,UNIQUE(FILTER('Data Master'!$D$2:$D1887,'Data Master'!$C$2:$C1887=A740)))"),"")</f>
        <v/>
      </c>
    </row>
    <row r="741" hidden="1">
      <c r="C741" s="40" t="str">
        <f>IFERROR(__xludf.DUMMYFUNCTION("TEXTJOIN("", "",TRUE,UNIQUE(FILTER('Data Master'!$B$2:$B1887,'Data Master'!$C$2:$C1887=A741)))"),"petani")</f>
        <v>petani</v>
      </c>
      <c r="D741" s="40" t="str">
        <f>IFERROR(__xludf.DUMMYFUNCTION("TEXTJOIN("", "",TRUE,UNIQUE(FILTER('Data Master'!$D$2:$D1887,'Data Master'!$C$2:$C1887=A741)))"),"")</f>
        <v/>
      </c>
    </row>
    <row r="742" hidden="1">
      <c r="C742" s="40" t="str">
        <f>IFERROR(__xludf.DUMMYFUNCTION("TEXTJOIN("", "",TRUE,UNIQUE(FILTER('Data Master'!$B$2:$B1887,'Data Master'!$C$2:$C1887=A742)))"),"petani")</f>
        <v>petani</v>
      </c>
      <c r="D742" s="40" t="str">
        <f>IFERROR(__xludf.DUMMYFUNCTION("TEXTJOIN("", "",TRUE,UNIQUE(FILTER('Data Master'!$D$2:$D1887,'Data Master'!$C$2:$C1887=A742)))"),"")</f>
        <v/>
      </c>
    </row>
    <row r="743" hidden="1">
      <c r="C743" s="40" t="str">
        <f>IFERROR(__xludf.DUMMYFUNCTION("TEXTJOIN("", "",TRUE,UNIQUE(FILTER('Data Master'!$B$2:$B1887,'Data Master'!$C$2:$C1887=A743)))"),"petani")</f>
        <v>petani</v>
      </c>
      <c r="D743" s="40" t="str">
        <f>IFERROR(__xludf.DUMMYFUNCTION("TEXTJOIN("", "",TRUE,UNIQUE(FILTER('Data Master'!$D$2:$D1887,'Data Master'!$C$2:$C1887=A743)))"),"")</f>
        <v/>
      </c>
    </row>
    <row r="744" hidden="1">
      <c r="C744" s="40" t="str">
        <f>IFERROR(__xludf.DUMMYFUNCTION("TEXTJOIN("", "",TRUE,UNIQUE(FILTER('Data Master'!$B$2:$B1887,'Data Master'!$C$2:$C1887=A744)))"),"petani")</f>
        <v>petani</v>
      </c>
      <c r="D744" s="40" t="str">
        <f>IFERROR(__xludf.DUMMYFUNCTION("TEXTJOIN("", "",TRUE,UNIQUE(FILTER('Data Master'!$D$2:$D1887,'Data Master'!$C$2:$C1887=A744)))"),"")</f>
        <v/>
      </c>
    </row>
    <row r="745" hidden="1">
      <c r="C745" s="40" t="str">
        <f>IFERROR(__xludf.DUMMYFUNCTION("TEXTJOIN("", "",TRUE,UNIQUE(FILTER('Data Master'!$B$2:$B1887,'Data Master'!$C$2:$C1887=A745)))"),"petani")</f>
        <v>petani</v>
      </c>
      <c r="D745" s="40" t="str">
        <f>IFERROR(__xludf.DUMMYFUNCTION("TEXTJOIN("", "",TRUE,UNIQUE(FILTER('Data Master'!$D$2:$D1887,'Data Master'!$C$2:$C1887=A745)))"),"")</f>
        <v/>
      </c>
    </row>
    <row r="746" hidden="1">
      <c r="C746" s="40" t="str">
        <f>IFERROR(__xludf.DUMMYFUNCTION("TEXTJOIN("", "",TRUE,UNIQUE(FILTER('Data Master'!$B$2:$B1887,'Data Master'!$C$2:$C1887=A746)))"),"petani")</f>
        <v>petani</v>
      </c>
      <c r="D746" s="40" t="str">
        <f>IFERROR(__xludf.DUMMYFUNCTION("TEXTJOIN("", "",TRUE,UNIQUE(FILTER('Data Master'!$D$2:$D1887,'Data Master'!$C$2:$C1887=A746)))"),"")</f>
        <v/>
      </c>
    </row>
    <row r="747" hidden="1">
      <c r="C747" s="40" t="str">
        <f>IFERROR(__xludf.DUMMYFUNCTION("TEXTJOIN("", "",TRUE,UNIQUE(FILTER('Data Master'!$B$2:$B1887,'Data Master'!$C$2:$C1887=A747)))"),"petani")</f>
        <v>petani</v>
      </c>
      <c r="D747" s="40" t="str">
        <f>IFERROR(__xludf.DUMMYFUNCTION("TEXTJOIN("", "",TRUE,UNIQUE(FILTER('Data Master'!$D$2:$D1887,'Data Master'!$C$2:$C1887=A747)))"),"")</f>
        <v/>
      </c>
    </row>
    <row r="748" hidden="1">
      <c r="C748" s="40" t="str">
        <f>IFERROR(__xludf.DUMMYFUNCTION("TEXTJOIN("", "",TRUE,UNIQUE(FILTER('Data Master'!$B$2:$B1887,'Data Master'!$C$2:$C1887=A748)))"),"petani")</f>
        <v>petani</v>
      </c>
      <c r="D748" s="40" t="str">
        <f>IFERROR(__xludf.DUMMYFUNCTION("TEXTJOIN("", "",TRUE,UNIQUE(FILTER('Data Master'!$D$2:$D1887,'Data Master'!$C$2:$C1887=A748)))"),"")</f>
        <v/>
      </c>
    </row>
    <row r="749" hidden="1">
      <c r="C749" s="40" t="str">
        <f>IFERROR(__xludf.DUMMYFUNCTION("TEXTJOIN("", "",TRUE,UNIQUE(FILTER('Data Master'!$B$2:$B1887,'Data Master'!$C$2:$C1887=A749)))"),"petani")</f>
        <v>petani</v>
      </c>
      <c r="D749" s="40" t="str">
        <f>IFERROR(__xludf.DUMMYFUNCTION("TEXTJOIN("", "",TRUE,UNIQUE(FILTER('Data Master'!$D$2:$D1887,'Data Master'!$C$2:$C1887=A749)))"),"")</f>
        <v/>
      </c>
    </row>
    <row r="750" hidden="1">
      <c r="C750" s="40" t="str">
        <f>IFERROR(__xludf.DUMMYFUNCTION("TEXTJOIN("", "",TRUE,UNIQUE(FILTER('Data Master'!$B$2:$B1887,'Data Master'!$C$2:$C1887=A750)))"),"petani")</f>
        <v>petani</v>
      </c>
      <c r="D750" s="40" t="str">
        <f>IFERROR(__xludf.DUMMYFUNCTION("TEXTJOIN("", "",TRUE,UNIQUE(FILTER('Data Master'!$D$2:$D1887,'Data Master'!$C$2:$C1887=A750)))"),"")</f>
        <v/>
      </c>
    </row>
    <row r="751" hidden="1">
      <c r="C751" s="40" t="str">
        <f>IFERROR(__xludf.DUMMYFUNCTION("TEXTJOIN("", "",TRUE,UNIQUE(FILTER('Data Master'!$B$2:$B1887,'Data Master'!$C$2:$C1887=A751)))"),"petani")</f>
        <v>petani</v>
      </c>
      <c r="D751" s="40" t="str">
        <f>IFERROR(__xludf.DUMMYFUNCTION("TEXTJOIN("", "",TRUE,UNIQUE(FILTER('Data Master'!$D$2:$D1887,'Data Master'!$C$2:$C1887=A751)))"),"")</f>
        <v/>
      </c>
    </row>
    <row r="752" hidden="1">
      <c r="C752" s="40" t="str">
        <f>IFERROR(__xludf.DUMMYFUNCTION("TEXTJOIN("", "",TRUE,UNIQUE(FILTER('Data Master'!$B$2:$B1887,'Data Master'!$C$2:$C1887=A752)))"),"petani")</f>
        <v>petani</v>
      </c>
      <c r="D752" s="40" t="str">
        <f>IFERROR(__xludf.DUMMYFUNCTION("TEXTJOIN("", "",TRUE,UNIQUE(FILTER('Data Master'!$D$2:$D1887,'Data Master'!$C$2:$C1887=A752)))"),"")</f>
        <v/>
      </c>
    </row>
    <row r="753" hidden="1">
      <c r="C753" s="40" t="str">
        <f>IFERROR(__xludf.DUMMYFUNCTION("TEXTJOIN("", "",TRUE,UNIQUE(FILTER('Data Master'!$B$2:$B1887,'Data Master'!$C$2:$C1887=A753)))"),"petani")</f>
        <v>petani</v>
      </c>
      <c r="D753" s="40" t="str">
        <f>IFERROR(__xludf.DUMMYFUNCTION("TEXTJOIN("", "",TRUE,UNIQUE(FILTER('Data Master'!$D$2:$D1887,'Data Master'!$C$2:$C1887=A753)))"),"")</f>
        <v/>
      </c>
    </row>
    <row r="754" hidden="1">
      <c r="C754" s="40" t="str">
        <f>IFERROR(__xludf.DUMMYFUNCTION("TEXTJOIN("", "",TRUE,UNIQUE(FILTER('Data Master'!$B$2:$B1887,'Data Master'!$C$2:$C1887=A754)))"),"petani")</f>
        <v>petani</v>
      </c>
      <c r="D754" s="40" t="str">
        <f>IFERROR(__xludf.DUMMYFUNCTION("TEXTJOIN("", "",TRUE,UNIQUE(FILTER('Data Master'!$D$2:$D1887,'Data Master'!$C$2:$C1887=A754)))"),"")</f>
        <v/>
      </c>
    </row>
    <row r="755" hidden="1">
      <c r="C755" s="40" t="str">
        <f>IFERROR(__xludf.DUMMYFUNCTION("TEXTJOIN("", "",TRUE,UNIQUE(FILTER('Data Master'!$B$2:$B1887,'Data Master'!$C$2:$C1887=A755)))"),"petani")</f>
        <v>petani</v>
      </c>
      <c r="D755" s="40" t="str">
        <f>IFERROR(__xludf.DUMMYFUNCTION("TEXTJOIN("", "",TRUE,UNIQUE(FILTER('Data Master'!$D$2:$D1887,'Data Master'!$C$2:$C1887=A755)))"),"")</f>
        <v/>
      </c>
    </row>
    <row r="756" hidden="1">
      <c r="C756" s="40" t="str">
        <f>IFERROR(__xludf.DUMMYFUNCTION("TEXTJOIN("", "",TRUE,UNIQUE(FILTER('Data Master'!$B$2:$B1887,'Data Master'!$C$2:$C1887=A756)))"),"petani")</f>
        <v>petani</v>
      </c>
      <c r="D756" s="40" t="str">
        <f>IFERROR(__xludf.DUMMYFUNCTION("TEXTJOIN("", "",TRUE,UNIQUE(FILTER('Data Master'!$D$2:$D1887,'Data Master'!$C$2:$C1887=A756)))"),"")</f>
        <v/>
      </c>
    </row>
    <row r="757" hidden="1">
      <c r="C757" s="40" t="str">
        <f>IFERROR(__xludf.DUMMYFUNCTION("TEXTJOIN("", "",TRUE,UNIQUE(FILTER('Data Master'!$B$2:$B1887,'Data Master'!$C$2:$C1887=A757)))"),"petani")</f>
        <v>petani</v>
      </c>
      <c r="D757" s="40" t="str">
        <f>IFERROR(__xludf.DUMMYFUNCTION("TEXTJOIN("", "",TRUE,UNIQUE(FILTER('Data Master'!$D$2:$D1887,'Data Master'!$C$2:$C1887=A757)))"),"")</f>
        <v/>
      </c>
    </row>
    <row r="758" hidden="1">
      <c r="C758" s="40" t="str">
        <f>IFERROR(__xludf.DUMMYFUNCTION("TEXTJOIN("", "",TRUE,UNIQUE(FILTER('Data Master'!$B$2:$B1887,'Data Master'!$C$2:$C1887=A758)))"),"petani")</f>
        <v>petani</v>
      </c>
      <c r="D758" s="40" t="str">
        <f>IFERROR(__xludf.DUMMYFUNCTION("TEXTJOIN("", "",TRUE,UNIQUE(FILTER('Data Master'!$D$2:$D1887,'Data Master'!$C$2:$C1887=A758)))"),"")</f>
        <v/>
      </c>
    </row>
    <row r="759" hidden="1">
      <c r="C759" s="40" t="str">
        <f>IFERROR(__xludf.DUMMYFUNCTION("TEXTJOIN("", "",TRUE,UNIQUE(FILTER('Data Master'!$B$2:$B1887,'Data Master'!$C$2:$C1887=A759)))"),"petani")</f>
        <v>petani</v>
      </c>
      <c r="D759" s="40" t="str">
        <f>IFERROR(__xludf.DUMMYFUNCTION("TEXTJOIN("", "",TRUE,UNIQUE(FILTER('Data Master'!$D$2:$D1887,'Data Master'!$C$2:$C1887=A759)))"),"")</f>
        <v/>
      </c>
    </row>
    <row r="760" hidden="1">
      <c r="C760" s="40" t="str">
        <f>IFERROR(__xludf.DUMMYFUNCTION("TEXTJOIN("", "",TRUE,UNIQUE(FILTER('Data Master'!$B$2:$B1887,'Data Master'!$C$2:$C1887=A760)))"),"petani")</f>
        <v>petani</v>
      </c>
      <c r="D760" s="40" t="str">
        <f>IFERROR(__xludf.DUMMYFUNCTION("TEXTJOIN("", "",TRUE,UNIQUE(FILTER('Data Master'!$D$2:$D1887,'Data Master'!$C$2:$C1887=A760)))"),"")</f>
        <v/>
      </c>
    </row>
    <row r="761" hidden="1">
      <c r="C761" s="40" t="str">
        <f>IFERROR(__xludf.DUMMYFUNCTION("TEXTJOIN("", "",TRUE,UNIQUE(FILTER('Data Master'!$B$2:$B1887,'Data Master'!$C$2:$C1887=A761)))"),"petani")</f>
        <v>petani</v>
      </c>
      <c r="D761" s="40" t="str">
        <f>IFERROR(__xludf.DUMMYFUNCTION("TEXTJOIN("", "",TRUE,UNIQUE(FILTER('Data Master'!$D$2:$D1887,'Data Master'!$C$2:$C1887=A761)))"),"")</f>
        <v/>
      </c>
    </row>
    <row r="762" hidden="1">
      <c r="C762" s="40" t="str">
        <f>IFERROR(__xludf.DUMMYFUNCTION("TEXTJOIN("", "",TRUE,UNIQUE(FILTER('Data Master'!$B$2:$B1887,'Data Master'!$C$2:$C1887=A762)))"),"petani")</f>
        <v>petani</v>
      </c>
      <c r="D762" s="40" t="str">
        <f>IFERROR(__xludf.DUMMYFUNCTION("TEXTJOIN("", "",TRUE,UNIQUE(FILTER('Data Master'!$D$2:$D1887,'Data Master'!$C$2:$C1887=A762)))"),"")</f>
        <v/>
      </c>
    </row>
    <row r="763" hidden="1">
      <c r="C763" s="40" t="str">
        <f>IFERROR(__xludf.DUMMYFUNCTION("TEXTJOIN("", "",TRUE,UNIQUE(FILTER('Data Master'!$B$2:$B1887,'Data Master'!$C$2:$C1887=A763)))"),"petani")</f>
        <v>petani</v>
      </c>
      <c r="D763" s="40" t="str">
        <f>IFERROR(__xludf.DUMMYFUNCTION("TEXTJOIN("", "",TRUE,UNIQUE(FILTER('Data Master'!$D$2:$D1887,'Data Master'!$C$2:$C1887=A763)))"),"")</f>
        <v/>
      </c>
    </row>
    <row r="764" hidden="1">
      <c r="C764" s="40" t="str">
        <f>IFERROR(__xludf.DUMMYFUNCTION("TEXTJOIN("", "",TRUE,UNIQUE(FILTER('Data Master'!$B$2:$B1887,'Data Master'!$C$2:$C1887=A764)))"),"petani")</f>
        <v>petani</v>
      </c>
      <c r="D764" s="40" t="str">
        <f>IFERROR(__xludf.DUMMYFUNCTION("TEXTJOIN("", "",TRUE,UNIQUE(FILTER('Data Master'!$D$2:$D1887,'Data Master'!$C$2:$C1887=A764)))"),"")</f>
        <v/>
      </c>
    </row>
    <row r="765" hidden="1">
      <c r="C765" s="40" t="str">
        <f>IFERROR(__xludf.DUMMYFUNCTION("TEXTJOIN("", "",TRUE,UNIQUE(FILTER('Data Master'!$B$2:$B1887,'Data Master'!$C$2:$C1887=A765)))"),"petani")</f>
        <v>petani</v>
      </c>
      <c r="D765" s="40" t="str">
        <f>IFERROR(__xludf.DUMMYFUNCTION("TEXTJOIN("", "",TRUE,UNIQUE(FILTER('Data Master'!$D$2:$D1887,'Data Master'!$C$2:$C1887=A765)))"),"")</f>
        <v/>
      </c>
    </row>
    <row r="766" hidden="1">
      <c r="C766" s="40" t="str">
        <f>IFERROR(__xludf.DUMMYFUNCTION("TEXTJOIN("", "",TRUE,UNIQUE(FILTER('Data Master'!$B$2:$B1887,'Data Master'!$C$2:$C1887=A766)))"),"petani")</f>
        <v>petani</v>
      </c>
      <c r="D766" s="40" t="str">
        <f>IFERROR(__xludf.DUMMYFUNCTION("TEXTJOIN("", "",TRUE,UNIQUE(FILTER('Data Master'!$D$2:$D1887,'Data Master'!$C$2:$C1887=A766)))"),"")</f>
        <v/>
      </c>
    </row>
    <row r="767" hidden="1">
      <c r="C767" s="40" t="str">
        <f>IFERROR(__xludf.DUMMYFUNCTION("TEXTJOIN("", "",TRUE,UNIQUE(FILTER('Data Master'!$B$2:$B1887,'Data Master'!$C$2:$C1887=A767)))"),"penyuluh")</f>
        <v>penyuluh</v>
      </c>
      <c r="D767" s="40" t="str">
        <f>IFERROR(__xludf.DUMMYFUNCTION("TEXTJOIN("", "",TRUE,UNIQUE(FILTER('Data Master'!$D$2:$D1887,'Data Master'!$C$2:$C1887=A767)))"),"hartoyosamsung360@gmail.com")</f>
        <v>hartoyosamsung360@gmail.com</v>
      </c>
    </row>
    <row r="768" hidden="1">
      <c r="C768" s="40" t="str">
        <f>IFERROR(__xludf.DUMMYFUNCTION("TEXTJOIN("", "",TRUE,UNIQUE(FILTER('Data Master'!$B$2:$B1887,'Data Master'!$C$2:$C1887=A768)))"),"petani")</f>
        <v>petani</v>
      </c>
      <c r="D768" s="40" t="str">
        <f>IFERROR(__xludf.DUMMYFUNCTION("TEXTJOIN("", "",TRUE,UNIQUE(FILTER('Data Master'!$D$2:$D1887,'Data Master'!$C$2:$C1887=A768)))"),"")</f>
        <v/>
      </c>
    </row>
    <row r="769" hidden="1">
      <c r="C769" s="40" t="str">
        <f>IFERROR(__xludf.DUMMYFUNCTION("TEXTJOIN("", "",TRUE,UNIQUE(FILTER('Data Master'!$B$2:$B1887,'Data Master'!$C$2:$C1887=A769)))"),"petani")</f>
        <v>petani</v>
      </c>
      <c r="D769" s="40" t="str">
        <f>IFERROR(__xludf.DUMMYFUNCTION("TEXTJOIN("", "",TRUE,UNIQUE(FILTER('Data Master'!$D$2:$D1887,'Data Master'!$C$2:$C1887=A769)))"),"")</f>
        <v/>
      </c>
    </row>
    <row r="770" hidden="1">
      <c r="C770" s="40" t="str">
        <f>IFERROR(__xludf.DUMMYFUNCTION("TEXTJOIN("", "",TRUE,UNIQUE(FILTER('Data Master'!$B$2:$B1887,'Data Master'!$C$2:$C1887=A770)))"),"petani")</f>
        <v>petani</v>
      </c>
      <c r="D770" s="40" t="str">
        <f>IFERROR(__xludf.DUMMYFUNCTION("TEXTJOIN("", "",TRUE,UNIQUE(FILTER('Data Master'!$D$2:$D1887,'Data Master'!$C$2:$C1887=A770)))"),"")</f>
        <v/>
      </c>
    </row>
    <row r="771" hidden="1">
      <c r="C771" s="40" t="str">
        <f>IFERROR(__xludf.DUMMYFUNCTION("TEXTJOIN("", "",TRUE,UNIQUE(FILTER('Data Master'!$B$2:$B1887,'Data Master'!$C$2:$C1887=A771)))"),"petani")</f>
        <v>petani</v>
      </c>
      <c r="D771" s="40" t="str">
        <f>IFERROR(__xludf.DUMMYFUNCTION("TEXTJOIN("", "",TRUE,UNIQUE(FILTER('Data Master'!$D$2:$D1887,'Data Master'!$C$2:$C1887=A771)))"),"")</f>
        <v/>
      </c>
    </row>
    <row r="772" hidden="1">
      <c r="C772" s="40" t="str">
        <f>IFERROR(__xludf.DUMMYFUNCTION("TEXTJOIN("", "",TRUE,UNIQUE(FILTER('Data Master'!$B$2:$B1887,'Data Master'!$C$2:$C1887=A772)))"),"petani")</f>
        <v>petani</v>
      </c>
      <c r="D772" s="40" t="str">
        <f>IFERROR(__xludf.DUMMYFUNCTION("TEXTJOIN("", "",TRUE,UNIQUE(FILTER('Data Master'!$D$2:$D1887,'Data Master'!$C$2:$C1887=A772)))"),"")</f>
        <v/>
      </c>
    </row>
    <row r="773" hidden="1">
      <c r="C773" s="40" t="str">
        <f>IFERROR(__xludf.DUMMYFUNCTION("TEXTJOIN("", "",TRUE,UNIQUE(FILTER('Data Master'!$B$2:$B1887,'Data Master'!$C$2:$C1887=A773)))"),"penyuluh")</f>
        <v>penyuluh</v>
      </c>
      <c r="D773" s="40" t="str">
        <f>IFERROR(__xludf.DUMMYFUNCTION("TEXTJOIN("", "",TRUE,UNIQUE(FILTER('Data Master'!$D$2:$D1887,'Data Master'!$C$2:$C1887=A773)))"),"haryanaharyana187@gmail.com")</f>
        <v>haryanaharyana187@gmail.com</v>
      </c>
    </row>
    <row r="774" hidden="1">
      <c r="C774" s="40" t="str">
        <f>IFERROR(__xludf.DUMMYFUNCTION("TEXTJOIN("", "",TRUE,UNIQUE(FILTER('Data Master'!$B$2:$B1887,'Data Master'!$C$2:$C1887=A774)))"),"petani")</f>
        <v>petani</v>
      </c>
      <c r="D774" s="40" t="str">
        <f>IFERROR(__xludf.DUMMYFUNCTION("TEXTJOIN("", "",TRUE,UNIQUE(FILTER('Data Master'!$D$2:$D1887,'Data Master'!$C$2:$C1887=A774)))"),"")</f>
        <v/>
      </c>
    </row>
    <row r="775" hidden="1">
      <c r="C775" s="40" t="str">
        <f>IFERROR(__xludf.DUMMYFUNCTION("TEXTJOIN("", "",TRUE,UNIQUE(FILTER('Data Master'!$B$2:$B1887,'Data Master'!$C$2:$C1887=A775)))"),"petani")</f>
        <v>petani</v>
      </c>
      <c r="D775" s="40" t="str">
        <f>IFERROR(__xludf.DUMMYFUNCTION("TEXTJOIN("", "",TRUE,UNIQUE(FILTER('Data Master'!$D$2:$D1887,'Data Master'!$C$2:$C1887=A775)))"),"")</f>
        <v/>
      </c>
    </row>
    <row r="776" hidden="1">
      <c r="C776" s="40" t="str">
        <f>IFERROR(__xludf.DUMMYFUNCTION("TEXTJOIN("", "",TRUE,UNIQUE(FILTER('Data Master'!$B$2:$B1887,'Data Master'!$C$2:$C1887=A776)))"),"petani")</f>
        <v>petani</v>
      </c>
      <c r="D776" s="40" t="str">
        <f>IFERROR(__xludf.DUMMYFUNCTION("TEXTJOIN("", "",TRUE,UNIQUE(FILTER('Data Master'!$D$2:$D1887,'Data Master'!$C$2:$C1887=A776)))"),"")</f>
        <v/>
      </c>
    </row>
    <row r="777" hidden="1">
      <c r="C777" s="40" t="str">
        <f>IFERROR(__xludf.DUMMYFUNCTION("TEXTJOIN("", "",TRUE,UNIQUE(FILTER('Data Master'!$B$2:$B1887,'Data Master'!$C$2:$C1887=A777)))"),"petani")</f>
        <v>petani</v>
      </c>
      <c r="D777" s="40" t="str">
        <f>IFERROR(__xludf.DUMMYFUNCTION("TEXTJOIN("", "",TRUE,UNIQUE(FILTER('Data Master'!$D$2:$D1887,'Data Master'!$C$2:$C1887=A777)))"),"")</f>
        <v/>
      </c>
    </row>
    <row r="778" hidden="1">
      <c r="C778" s="40" t="str">
        <f>IFERROR(__xludf.DUMMYFUNCTION("TEXTJOIN("", "",TRUE,UNIQUE(FILTER('Data Master'!$B$2:$B1887,'Data Master'!$C$2:$C1887=A778)))"),"petani")</f>
        <v>petani</v>
      </c>
      <c r="D778" s="40" t="str">
        <f>IFERROR(__xludf.DUMMYFUNCTION("TEXTJOIN("", "",TRUE,UNIQUE(FILTER('Data Master'!$D$2:$D1887,'Data Master'!$C$2:$C1887=A778)))"),"")</f>
        <v/>
      </c>
    </row>
    <row r="779" hidden="1">
      <c r="C779" s="40" t="str">
        <f>IFERROR(__xludf.DUMMYFUNCTION("TEXTJOIN("", "",TRUE,UNIQUE(FILTER('Data Master'!$B$2:$B1887,'Data Master'!$C$2:$C1887=A779)))"),"petani")</f>
        <v>petani</v>
      </c>
      <c r="D779" s="40" t="str">
        <f>IFERROR(__xludf.DUMMYFUNCTION("TEXTJOIN("", "",TRUE,UNIQUE(FILTER('Data Master'!$D$2:$D1887,'Data Master'!$C$2:$C1887=A779)))"),"")</f>
        <v/>
      </c>
    </row>
    <row r="780" hidden="1">
      <c r="C780" s="40" t="str">
        <f>IFERROR(__xludf.DUMMYFUNCTION("TEXTJOIN("", "",TRUE,UNIQUE(FILTER('Data Master'!$B$2:$B1887,'Data Master'!$C$2:$C1887=A780)))"),"operator poktan")</f>
        <v>operator poktan</v>
      </c>
      <c r="D780" s="40" t="str">
        <f>IFERROR(__xludf.DUMMYFUNCTION("TEXTJOIN("", "",TRUE,UNIQUE(FILTER('Data Master'!$D$2:$D1887,'Data Master'!$C$2:$C1887=A780)))"),"haykal@admin.com")</f>
        <v>haykal@admin.com</v>
      </c>
    </row>
    <row r="781" hidden="1">
      <c r="C781" s="40" t="str">
        <f>IFERROR(__xludf.DUMMYFUNCTION("TEXTJOIN("", "",TRUE,UNIQUE(FILTER('Data Master'!$B$2:$B1887,'Data Master'!$C$2:$C1887=A781)))"),"petani")</f>
        <v>petani</v>
      </c>
      <c r="D781" s="40" t="str">
        <f>IFERROR(__xludf.DUMMYFUNCTION("TEXTJOIN("", "",TRUE,UNIQUE(FILTER('Data Master'!$D$2:$D1887,'Data Master'!$C$2:$C1887=A781)))"),"")</f>
        <v/>
      </c>
    </row>
    <row r="782" hidden="1">
      <c r="C782" s="40" t="str">
        <f>IFERROR(__xludf.DUMMYFUNCTION("TEXTJOIN("", "",TRUE,UNIQUE(FILTER('Data Master'!$B$2:$B1887,'Data Master'!$C$2:$C1887=A782)))"),"petani")</f>
        <v>petani</v>
      </c>
      <c r="D782" s="40" t="str">
        <f>IFERROR(__xludf.DUMMYFUNCTION("TEXTJOIN("", "",TRUE,UNIQUE(FILTER('Data Master'!$D$2:$D1887,'Data Master'!$C$2:$C1887=A782)))"),"")</f>
        <v/>
      </c>
    </row>
    <row r="783" hidden="1">
      <c r="C783" s="40" t="str">
        <f>IFERROR(__xludf.DUMMYFUNCTION("TEXTJOIN("", "",TRUE,UNIQUE(FILTER('Data Master'!$B$2:$B1887,'Data Master'!$C$2:$C1887=A783)))"),"petani")</f>
        <v>petani</v>
      </c>
      <c r="D783" s="40" t="str">
        <f>IFERROR(__xludf.DUMMYFUNCTION("TEXTJOIN("", "",TRUE,UNIQUE(FILTER('Data Master'!$D$2:$D1887,'Data Master'!$C$2:$C1887=A783)))"),"")</f>
        <v/>
      </c>
    </row>
    <row r="784" hidden="1">
      <c r="C784" s="40" t="str">
        <f>IFERROR(__xludf.DUMMYFUNCTION("TEXTJOIN("", "",TRUE,UNIQUE(FILTER('Data Master'!$B$2:$B1887,'Data Master'!$C$2:$C1887=A784)))"),"petani")</f>
        <v>petani</v>
      </c>
      <c r="D784" s="40" t="str">
        <f>IFERROR(__xludf.DUMMYFUNCTION("TEXTJOIN("", "",TRUE,UNIQUE(FILTER('Data Master'!$D$2:$D1887,'Data Master'!$C$2:$C1887=A784)))"),"")</f>
        <v/>
      </c>
    </row>
    <row r="785" hidden="1">
      <c r="C785" s="40" t="str">
        <f>IFERROR(__xludf.DUMMYFUNCTION("TEXTJOIN("", "",TRUE,UNIQUE(FILTER('Data Master'!$B$2:$B1887,'Data Master'!$C$2:$C1887=A785)))"),"petani")</f>
        <v>petani</v>
      </c>
      <c r="D785" s="40" t="str">
        <f>IFERROR(__xludf.DUMMYFUNCTION("TEXTJOIN("", "",TRUE,UNIQUE(FILTER('Data Master'!$D$2:$D1887,'Data Master'!$C$2:$C1887=A785)))"),"")</f>
        <v/>
      </c>
    </row>
    <row r="786" hidden="1">
      <c r="C786" s="40" t="str">
        <f>IFERROR(__xludf.DUMMYFUNCTION("TEXTJOIN("", "",TRUE,UNIQUE(FILTER('Data Master'!$B$2:$B1887,'Data Master'!$C$2:$C1887=A786)))"),"petani")</f>
        <v>petani</v>
      </c>
      <c r="D786" s="40" t="str">
        <f>IFERROR(__xludf.DUMMYFUNCTION("TEXTJOIN("", "",TRUE,UNIQUE(FILTER('Data Master'!$D$2:$D1887,'Data Master'!$C$2:$C1887=A786)))"),"")</f>
        <v/>
      </c>
    </row>
    <row r="787" hidden="1">
      <c r="C787" s="40" t="str">
        <f>IFERROR(__xludf.DUMMYFUNCTION("TEXTJOIN("", "",TRUE,UNIQUE(FILTER('Data Master'!$B$2:$B1887,'Data Master'!$C$2:$C1887=A787)))"),"petani")</f>
        <v>petani</v>
      </c>
      <c r="D787" s="40" t="str">
        <f>IFERROR(__xludf.DUMMYFUNCTION("TEXTJOIN("", "",TRUE,UNIQUE(FILTER('Data Master'!$D$2:$D1887,'Data Master'!$C$2:$C1887=A787)))"),"")</f>
        <v/>
      </c>
    </row>
    <row r="788" hidden="1">
      <c r="C788" s="40" t="str">
        <f>IFERROR(__xludf.DUMMYFUNCTION("TEXTJOIN("", "",TRUE,UNIQUE(FILTER('Data Master'!$B$2:$B1887,'Data Master'!$C$2:$C1887=A788)))"),"petani")</f>
        <v>petani</v>
      </c>
      <c r="D788" s="40" t="str">
        <f>IFERROR(__xludf.DUMMYFUNCTION("TEXTJOIN("", "",TRUE,UNIQUE(FILTER('Data Master'!$D$2:$D1887,'Data Master'!$C$2:$C1887=A788)))"),"")</f>
        <v/>
      </c>
    </row>
    <row r="789" hidden="1">
      <c r="C789" s="40" t="str">
        <f>IFERROR(__xludf.DUMMYFUNCTION("TEXTJOIN("", "",TRUE,UNIQUE(FILTER('Data Master'!$B$2:$B1887,'Data Master'!$C$2:$C1887=A789)))"),"petani")</f>
        <v>petani</v>
      </c>
      <c r="D789" s="40" t="str">
        <f>IFERROR(__xludf.DUMMYFUNCTION("TEXTJOIN("", "",TRUE,UNIQUE(FILTER('Data Master'!$D$2:$D1887,'Data Master'!$C$2:$C1887=A789)))"),"")</f>
        <v/>
      </c>
    </row>
    <row r="790" hidden="1">
      <c r="C790" s="40" t="str">
        <f>IFERROR(__xludf.DUMMYFUNCTION("TEXTJOIN("", "",TRUE,UNIQUE(FILTER('Data Master'!$B$2:$B1887,'Data Master'!$C$2:$C1887=A790)))"),"petani")</f>
        <v>petani</v>
      </c>
      <c r="D790" s="40" t="str">
        <f>IFERROR(__xludf.DUMMYFUNCTION("TEXTJOIN("", "",TRUE,UNIQUE(FILTER('Data Master'!$D$2:$D1887,'Data Master'!$C$2:$C1887=A790)))"),"")</f>
        <v/>
      </c>
    </row>
    <row r="791" hidden="1">
      <c r="C791" s="40" t="str">
        <f>IFERROR(__xludf.DUMMYFUNCTION("TEXTJOIN("", "",TRUE,UNIQUE(FILTER('Data Master'!$B$2:$B1887,'Data Master'!$C$2:$C1887=A791)))"),"petani")</f>
        <v>petani</v>
      </c>
      <c r="D791" s="40" t="str">
        <f>IFERROR(__xludf.DUMMYFUNCTION("TEXTJOIN("", "",TRUE,UNIQUE(FILTER('Data Master'!$D$2:$D1887,'Data Master'!$C$2:$C1887=A791)))"),"")</f>
        <v/>
      </c>
    </row>
    <row r="792" hidden="1">
      <c r="C792" s="40" t="str">
        <f>IFERROR(__xludf.DUMMYFUNCTION("TEXTJOIN("", "",TRUE,UNIQUE(FILTER('Data Master'!$B$2:$B1887,'Data Master'!$C$2:$C1887=A792)))"),"operator admin")</f>
        <v>operator admin</v>
      </c>
      <c r="D792" s="40" t="str">
        <f>IFERROR(__xludf.DUMMYFUNCTION("TEXTJOIN("", "",TRUE,UNIQUE(FILTER('Data Master'!$D$2:$D1887,'Data Master'!$C$2:$C1887=A792)))"),"herry.ngawi90@gmail.com")</f>
        <v>herry.ngawi90@gmail.com</v>
      </c>
    </row>
    <row r="793">
      <c r="C793" s="43" t="str">
        <f>IFERROR(__xludf.DUMMYFUNCTION("TEXTJOIN("", "",TRUE,UNIQUE(FILTER('Data Master'!$B$2:$B1887,'Data Master'!$C$2:$C1887=A793)))"),"operator admin, penyuluh")</f>
        <v>operator admin, penyuluh</v>
      </c>
      <c r="D793" s="43" t="str">
        <f>IFERROR(__xludf.DUMMYFUNCTION("TEXTJOIN("", "",TRUE,UNIQUE(FILTER('Data Master'!$D$2:$D1887,'Data Master'!$C$2:$C1887=A793)))"),"bpppadas2020@gmail.com")</f>
        <v>bpppadas2020@gmail.com</v>
      </c>
    </row>
    <row r="794" hidden="1">
      <c r="C794" s="40" t="str">
        <f>IFERROR(__xludf.DUMMYFUNCTION("TEXTJOIN("", "",TRUE,UNIQUE(FILTER('Data Master'!$B$2:$B1887,'Data Master'!$C$2:$C1887=A794)))"),"petani")</f>
        <v>petani</v>
      </c>
      <c r="D794" s="40" t="str">
        <f>IFERROR(__xludf.DUMMYFUNCTION("TEXTJOIN("", "",TRUE,UNIQUE(FILTER('Data Master'!$D$2:$D1887,'Data Master'!$C$2:$C1887=A794)))"),"")</f>
        <v/>
      </c>
    </row>
    <row r="795" hidden="1">
      <c r="C795" s="40" t="str">
        <f>IFERROR(__xludf.DUMMYFUNCTION("TEXTJOIN("", "",TRUE,UNIQUE(FILTER('Data Master'!$B$2:$B1887,'Data Master'!$C$2:$C1887=A795)))"),"penyuluh")</f>
        <v>penyuluh</v>
      </c>
      <c r="D795" s="40" t="str">
        <f>IFERROR(__xludf.DUMMYFUNCTION("TEXTJOIN("", "",TRUE,UNIQUE(FILTER('Data Master'!$D$2:$D1887,'Data Master'!$C$2:$C1887=A795)))"),"herlanjauhari@gmail.com")</f>
        <v>herlanjauhari@gmail.com</v>
      </c>
    </row>
    <row r="796" hidden="1">
      <c r="C796" s="40" t="str">
        <f>IFERROR(__xludf.DUMMYFUNCTION("TEXTJOIN("", "",TRUE,UNIQUE(FILTER('Data Master'!$B$2:$B1887,'Data Master'!$C$2:$C1887=A796)))"),"petani")</f>
        <v>petani</v>
      </c>
      <c r="D796" s="40" t="str">
        <f>IFERROR(__xludf.DUMMYFUNCTION("TEXTJOIN("", "",TRUE,UNIQUE(FILTER('Data Master'!$D$2:$D1887,'Data Master'!$C$2:$C1887=A796)))"),"")</f>
        <v/>
      </c>
    </row>
    <row r="797" hidden="1">
      <c r="C797" s="40" t="str">
        <f>IFERROR(__xludf.DUMMYFUNCTION("TEXTJOIN("", "",TRUE,UNIQUE(FILTER('Data Master'!$B$2:$B1887,'Data Master'!$C$2:$C1887=A797)))"),"petani")</f>
        <v>petani</v>
      </c>
      <c r="D797" s="40" t="str">
        <f>IFERROR(__xludf.DUMMYFUNCTION("TEXTJOIN("", "",TRUE,UNIQUE(FILTER('Data Master'!$D$2:$D1887,'Data Master'!$C$2:$C1887=A797)))"),"")</f>
        <v/>
      </c>
    </row>
    <row r="798" hidden="1">
      <c r="C798" s="40" t="str">
        <f>IFERROR(__xludf.DUMMYFUNCTION("TEXTJOIN("", "",TRUE,UNIQUE(FILTER('Data Master'!$B$2:$B1887,'Data Master'!$C$2:$C1887=A798)))"),"petani")</f>
        <v>petani</v>
      </c>
      <c r="D798" s="40" t="str">
        <f>IFERROR(__xludf.DUMMYFUNCTION("TEXTJOIN("", "",TRUE,UNIQUE(FILTER('Data Master'!$D$2:$D1887,'Data Master'!$C$2:$C1887=A798)))"),"")</f>
        <v/>
      </c>
    </row>
    <row r="799" hidden="1">
      <c r="C799" s="40" t="str">
        <f>IFERROR(__xludf.DUMMYFUNCTION("TEXTJOIN("", "",TRUE,UNIQUE(FILTER('Data Master'!$B$2:$B1887,'Data Master'!$C$2:$C1887=A799)))"),"petani")</f>
        <v>petani</v>
      </c>
      <c r="D799" s="40" t="str">
        <f>IFERROR(__xludf.DUMMYFUNCTION("TEXTJOIN("", "",TRUE,UNIQUE(FILTER('Data Master'!$D$2:$D1887,'Data Master'!$C$2:$C1887=A799)))"),"")</f>
        <v/>
      </c>
    </row>
    <row r="800" hidden="1">
      <c r="C800" s="40" t="str">
        <f>IFERROR(__xludf.DUMMYFUNCTION("TEXTJOIN("", "",TRUE,UNIQUE(FILTER('Data Master'!$B$2:$B1887,'Data Master'!$C$2:$C1887=A800)))"),"petani")</f>
        <v>petani</v>
      </c>
      <c r="D800" s="40" t="str">
        <f>IFERROR(__xludf.DUMMYFUNCTION("TEXTJOIN("", "",TRUE,UNIQUE(FILTER('Data Master'!$D$2:$D1887,'Data Master'!$C$2:$C1887=A800)))"),"")</f>
        <v/>
      </c>
    </row>
    <row r="801" hidden="1">
      <c r="C801" s="40" t="str">
        <f>IFERROR(__xludf.DUMMYFUNCTION("TEXTJOIN("", "",TRUE,UNIQUE(FILTER('Data Master'!$B$2:$B1887,'Data Master'!$C$2:$C1887=A801)))"),"petani")</f>
        <v>petani</v>
      </c>
      <c r="D801" s="40" t="str">
        <f>IFERROR(__xludf.DUMMYFUNCTION("TEXTJOIN("", "",TRUE,UNIQUE(FILTER('Data Master'!$D$2:$D1887,'Data Master'!$C$2:$C1887=A801)))"),"")</f>
        <v/>
      </c>
    </row>
    <row r="802" hidden="1">
      <c r="C802" s="40" t="str">
        <f>IFERROR(__xludf.DUMMYFUNCTION("TEXTJOIN("", "",TRUE,UNIQUE(FILTER('Data Master'!$B$2:$B1887,'Data Master'!$C$2:$C1887=A802)))"),"petani")</f>
        <v>petani</v>
      </c>
      <c r="D802" s="40" t="str">
        <f>IFERROR(__xludf.DUMMYFUNCTION("TEXTJOIN("", "",TRUE,UNIQUE(FILTER('Data Master'!$D$2:$D1887,'Data Master'!$C$2:$C1887=A802)))"),"")</f>
        <v/>
      </c>
    </row>
    <row r="803" hidden="1">
      <c r="C803" s="40" t="str">
        <f>IFERROR(__xludf.DUMMYFUNCTION("TEXTJOIN("", "",TRUE,UNIQUE(FILTER('Data Master'!$B$2:$B1887,'Data Master'!$C$2:$C1887=A803)))"),"petani")</f>
        <v>petani</v>
      </c>
      <c r="D803" s="40" t="str">
        <f>IFERROR(__xludf.DUMMYFUNCTION("TEXTJOIN("", "",TRUE,UNIQUE(FILTER('Data Master'!$D$2:$D1887,'Data Master'!$C$2:$C1887=A803)))"),"")</f>
        <v/>
      </c>
    </row>
    <row r="804" hidden="1">
      <c r="C804" s="40" t="str">
        <f>IFERROR(__xludf.DUMMYFUNCTION("TEXTJOIN("", "",TRUE,UNIQUE(FILTER('Data Master'!$B$2:$B1887,'Data Master'!$C$2:$C1887=A804)))"),"petani")</f>
        <v>petani</v>
      </c>
      <c r="D804" s="40" t="str">
        <f>IFERROR(__xludf.DUMMYFUNCTION("TEXTJOIN("", "",TRUE,UNIQUE(FILTER('Data Master'!$D$2:$D1887,'Data Master'!$C$2:$C1887=A804)))"),"")</f>
        <v/>
      </c>
    </row>
    <row r="805" hidden="1">
      <c r="C805" s="40" t="str">
        <f>IFERROR(__xludf.DUMMYFUNCTION("TEXTJOIN("", "",TRUE,UNIQUE(FILTER('Data Master'!$B$2:$B1887,'Data Master'!$C$2:$C1887=A805)))"),"penyuluh")</f>
        <v>penyuluh</v>
      </c>
      <c r="D805" s="40" t="str">
        <f>IFERROR(__xludf.DUMMYFUNCTION("TEXTJOIN("", "",TRUE,UNIQUE(FILTER('Data Master'!$D$2:$D1887,'Data Master'!$C$2:$C1887=A805)))"),"ida@gmail.com")</f>
        <v>ida@gmail.com</v>
      </c>
    </row>
    <row r="806" hidden="1">
      <c r="C806" s="40" t="str">
        <f>IFERROR(__xludf.DUMMYFUNCTION("TEXTJOIN("", "",TRUE,UNIQUE(FILTER('Data Master'!$B$2:$B1887,'Data Master'!$C$2:$C1887=A806)))"),"penyuluh")</f>
        <v>penyuluh</v>
      </c>
      <c r="D806" s="40" t="str">
        <f>IFERROR(__xludf.DUMMYFUNCTION("TEXTJOIN("", "",TRUE,UNIQUE(FILTER('Data Master'!$D$2:$D1887,'Data Master'!$C$2:$C1887=A806)))"),"")</f>
        <v/>
      </c>
    </row>
    <row r="807" hidden="1">
      <c r="C807" s="40" t="str">
        <f>IFERROR(__xludf.DUMMYFUNCTION("TEXTJOIN("", "",TRUE,UNIQUE(FILTER('Data Master'!$B$2:$B1887,'Data Master'!$C$2:$C1887=A807)))"),"petani")</f>
        <v>petani</v>
      </c>
      <c r="D807" s="40" t="str">
        <f>IFERROR(__xludf.DUMMYFUNCTION("TEXTJOIN("", "",TRUE,UNIQUE(FILTER('Data Master'!$D$2:$D1887,'Data Master'!$C$2:$C1887=A807)))"),"")</f>
        <v/>
      </c>
    </row>
    <row r="808" hidden="1">
      <c r="C808" s="40" t="str">
        <f>IFERROR(__xludf.DUMMYFUNCTION("TEXTJOIN("", "",TRUE,UNIQUE(FILTER('Data Master'!$B$2:$B1887,'Data Master'!$C$2:$C1887=A808)))"),"petani")</f>
        <v>petani</v>
      </c>
      <c r="D808" s="40" t="str">
        <f>IFERROR(__xludf.DUMMYFUNCTION("TEXTJOIN("", "",TRUE,UNIQUE(FILTER('Data Master'!$D$2:$D1887,'Data Master'!$C$2:$C1887=A808)))"),"")</f>
        <v/>
      </c>
    </row>
    <row r="809" hidden="1">
      <c r="C809" s="40" t="str">
        <f>IFERROR(__xludf.DUMMYFUNCTION("TEXTJOIN("", "",TRUE,UNIQUE(FILTER('Data Master'!$B$2:$B1887,'Data Master'!$C$2:$C1887=A809)))"),"penyuluh")</f>
        <v>penyuluh</v>
      </c>
      <c r="D809" s="40" t="str">
        <f>IFERROR(__xludf.DUMMYFUNCTION("TEXTJOIN("", "",TRUE,UNIQUE(FILTER('Data Master'!$D$2:$D1887,'Data Master'!$C$2:$C1887=A809)))"),"ikea37489@gmail.com")</f>
        <v>ikea37489@gmail.com</v>
      </c>
    </row>
    <row r="810" hidden="1">
      <c r="C810" s="40" t="str">
        <f>IFERROR(__xludf.DUMMYFUNCTION("TEXTJOIN("", "",TRUE,UNIQUE(FILTER('Data Master'!$B$2:$B1887,'Data Master'!$C$2:$C1887=A810)))"),"petani")</f>
        <v>petani</v>
      </c>
      <c r="D810" s="40" t="str">
        <f>IFERROR(__xludf.DUMMYFUNCTION("TEXTJOIN("", "",TRUE,UNIQUE(FILTER('Data Master'!$D$2:$D1887,'Data Master'!$C$2:$C1887=A810)))"),"")</f>
        <v/>
      </c>
    </row>
    <row r="811" hidden="1">
      <c r="C811" s="40" t="str">
        <f>IFERROR(__xludf.DUMMYFUNCTION("TEXTJOIN("", "",TRUE,UNIQUE(FILTER('Data Master'!$B$2:$B1887,'Data Master'!$C$2:$C1887=A811)))"),"petani")</f>
        <v>petani</v>
      </c>
      <c r="D811" s="40" t="str">
        <f>IFERROR(__xludf.DUMMYFUNCTION("TEXTJOIN("", "",TRUE,UNIQUE(FILTER('Data Master'!$D$2:$D1887,'Data Master'!$C$2:$C1887=A811)))"),"")</f>
        <v/>
      </c>
    </row>
    <row r="812" hidden="1">
      <c r="C812" s="40" t="str">
        <f>IFERROR(__xludf.DUMMYFUNCTION("TEXTJOIN("", "",TRUE,UNIQUE(FILTER('Data Master'!$B$2:$B1887,'Data Master'!$C$2:$C1887=A812)))"),"petani")</f>
        <v>petani</v>
      </c>
      <c r="D812" s="40" t="str">
        <f>IFERROR(__xludf.DUMMYFUNCTION("TEXTJOIN("", "",TRUE,UNIQUE(FILTER('Data Master'!$D$2:$D1887,'Data Master'!$C$2:$C1887=A812)))"),"")</f>
        <v/>
      </c>
    </row>
    <row r="813" hidden="1">
      <c r="C813" s="40" t="str">
        <f>IFERROR(__xludf.DUMMYFUNCTION("TEXTJOIN("", "",TRUE,UNIQUE(FILTER('Data Master'!$B$2:$B1887,'Data Master'!$C$2:$C1887=A813)))"),"petani")</f>
        <v>petani</v>
      </c>
      <c r="D813" s="40" t="str">
        <f>IFERROR(__xludf.DUMMYFUNCTION("TEXTJOIN("", "",TRUE,UNIQUE(FILTER('Data Master'!$D$2:$D1887,'Data Master'!$C$2:$C1887=A813)))"),"")</f>
        <v/>
      </c>
    </row>
    <row r="814" hidden="1">
      <c r="C814" s="40" t="str">
        <f>IFERROR(__xludf.DUMMYFUNCTION("TEXTJOIN("", "",TRUE,UNIQUE(FILTER('Data Master'!$B$2:$B1887,'Data Master'!$C$2:$C1887=A814)))"),"petani")</f>
        <v>petani</v>
      </c>
      <c r="D814" s="40" t="str">
        <f>IFERROR(__xludf.DUMMYFUNCTION("TEXTJOIN("", "",TRUE,UNIQUE(FILTER('Data Master'!$D$2:$D1887,'Data Master'!$C$2:$C1887=A814)))"),"")</f>
        <v/>
      </c>
    </row>
    <row r="815" hidden="1">
      <c r="C815" s="40" t="str">
        <f>IFERROR(__xludf.DUMMYFUNCTION("TEXTJOIN("", "",TRUE,UNIQUE(FILTER('Data Master'!$B$2:$B1887,'Data Master'!$C$2:$C1887=A815)))"),"penyuluh")</f>
        <v>penyuluh</v>
      </c>
      <c r="D815" s="40" t="str">
        <f>IFERROR(__xludf.DUMMYFUNCTION("TEXTJOIN("", "",TRUE,UNIQUE(FILTER('Data Master'!$D$2:$D1887,'Data Master'!$C$2:$C1887=A815)))"),"bukhoriretta@gmail.com")</f>
        <v>bukhoriretta@gmail.com</v>
      </c>
    </row>
    <row r="816" hidden="1">
      <c r="C816" s="40" t="str">
        <f>IFERROR(__xludf.DUMMYFUNCTION("TEXTJOIN("", "",TRUE,UNIQUE(FILTER('Data Master'!$B$2:$B1887,'Data Master'!$C$2:$C1887=A816)))"),"petani")</f>
        <v>petani</v>
      </c>
      <c r="D816" s="40" t="str">
        <f>IFERROR(__xludf.DUMMYFUNCTION("TEXTJOIN("", "",TRUE,UNIQUE(FILTER('Data Master'!$D$2:$D1887,'Data Master'!$C$2:$C1887=A816)))"),"")</f>
        <v/>
      </c>
    </row>
    <row r="817" hidden="1">
      <c r="C817" s="40" t="str">
        <f>IFERROR(__xludf.DUMMYFUNCTION("TEXTJOIN("", "",TRUE,UNIQUE(FILTER('Data Master'!$B$2:$B1887,'Data Master'!$C$2:$C1887=A817)))"),"penyuluh")</f>
        <v>penyuluh</v>
      </c>
      <c r="D817" s="40" t="str">
        <f>IFERROR(__xludf.DUMMYFUNCTION("TEXTJOIN("", "",TRUE,UNIQUE(FILTER('Data Master'!$D$2:$D1887,'Data Master'!$C$2:$C1887=A817)))"),"")</f>
        <v/>
      </c>
    </row>
    <row r="818" hidden="1">
      <c r="C818" s="40" t="str">
        <f>IFERROR(__xludf.DUMMYFUNCTION("TEXTJOIN("", "",TRUE,UNIQUE(FILTER('Data Master'!$B$2:$B1887,'Data Master'!$C$2:$C1887=A818)))"),"petani")</f>
        <v>petani</v>
      </c>
      <c r="D818" s="40" t="str">
        <f>IFERROR(__xludf.DUMMYFUNCTION("TEXTJOIN("", "",TRUE,UNIQUE(FILTER('Data Master'!$D$2:$D1887,'Data Master'!$C$2:$C1887=A818)))"),"")</f>
        <v/>
      </c>
    </row>
    <row r="819" hidden="1">
      <c r="C819" s="40" t="str">
        <f>IFERROR(__xludf.DUMMYFUNCTION("TEXTJOIN("", "",TRUE,UNIQUE(FILTER('Data Master'!$B$2:$B1887,'Data Master'!$C$2:$C1887=A819)))"),"penyuluh")</f>
        <v>penyuluh</v>
      </c>
      <c r="D819" s="40" t="str">
        <f>IFERROR(__xludf.DUMMYFUNCTION("TEXTJOIN("", "",TRUE,UNIQUE(FILTER('Data Master'!$D$2:$D1887,'Data Master'!$C$2:$C1887=A819)))"),"")</f>
        <v/>
      </c>
    </row>
    <row r="820" hidden="1">
      <c r="C820" s="40" t="str">
        <f>IFERROR(__xludf.DUMMYFUNCTION("TEXTJOIN("", "",TRUE,UNIQUE(FILTER('Data Master'!$B$2:$B1887,'Data Master'!$C$2:$C1887=A820)))"),"petani")</f>
        <v>petani</v>
      </c>
      <c r="D820" s="40" t="str">
        <f>IFERROR(__xludf.DUMMYFUNCTION("TEXTJOIN("", "",TRUE,UNIQUE(FILTER('Data Master'!$D$2:$D1887,'Data Master'!$C$2:$C1887=A820)))"),"")</f>
        <v/>
      </c>
    </row>
    <row r="821" hidden="1">
      <c r="C821" s="40" t="str">
        <f>IFERROR(__xludf.DUMMYFUNCTION("TEXTJOIN("", "",TRUE,UNIQUE(FILTER('Data Master'!$B$2:$B1887,'Data Master'!$C$2:$C1887=A821)))"),"penyuluh")</f>
        <v>penyuluh</v>
      </c>
      <c r="D821" s="40" t="str">
        <f>IFERROR(__xludf.DUMMYFUNCTION("TEXTJOIN("", "",TRUE,UNIQUE(FILTER('Data Master'!$D$2:$D1887,'Data Master'!$C$2:$C1887=A821)))"),"heniiswati382@gmail.com")</f>
        <v>heniiswati382@gmail.com</v>
      </c>
    </row>
    <row r="822" hidden="1">
      <c r="C822" s="40" t="str">
        <f>IFERROR(__xludf.DUMMYFUNCTION("TEXTJOIN("", "",TRUE,UNIQUE(FILTER('Data Master'!$B$2:$B1887,'Data Master'!$C$2:$C1887=A822)))"),"petani")</f>
        <v>petani</v>
      </c>
      <c r="D822" s="40" t="str">
        <f>IFERROR(__xludf.DUMMYFUNCTION("TEXTJOIN("", "",TRUE,UNIQUE(FILTER('Data Master'!$D$2:$D1887,'Data Master'!$C$2:$C1887=A822)))"),"")</f>
        <v/>
      </c>
    </row>
    <row r="823" hidden="1">
      <c r="C823" s="40" t="str">
        <f>IFERROR(__xludf.DUMMYFUNCTION("TEXTJOIN("", "",TRUE,UNIQUE(FILTER('Data Master'!$B$2:$B1887,'Data Master'!$C$2:$C1887=A823)))"),"petani")</f>
        <v>petani</v>
      </c>
      <c r="D823" s="40" t="str">
        <f>IFERROR(__xludf.DUMMYFUNCTION("TEXTJOIN("", "",TRUE,UNIQUE(FILTER('Data Master'!$D$2:$D1887,'Data Master'!$C$2:$C1887=A823)))"),"")</f>
        <v/>
      </c>
    </row>
    <row r="824" hidden="1">
      <c r="C824" s="40" t="str">
        <f>IFERROR(__xludf.DUMMYFUNCTION("TEXTJOIN("", "",TRUE,UNIQUE(FILTER('Data Master'!$B$2:$B1887,'Data Master'!$C$2:$C1887=A824)))"),"petani")</f>
        <v>petani</v>
      </c>
      <c r="D824" s="40" t="str">
        <f>IFERROR(__xludf.DUMMYFUNCTION("TEXTJOIN("", "",TRUE,UNIQUE(FILTER('Data Master'!$D$2:$D1887,'Data Master'!$C$2:$C1887=A824)))"),"")</f>
        <v/>
      </c>
    </row>
    <row r="825" hidden="1">
      <c r="C825" s="40" t="str">
        <f>IFERROR(__xludf.DUMMYFUNCTION("TEXTJOIN("", "",TRUE,UNIQUE(FILTER('Data Master'!$B$2:$B1887,'Data Master'!$C$2:$C1887=A825)))"),"petani")</f>
        <v>petani</v>
      </c>
      <c r="D825" s="40" t="str">
        <f>IFERROR(__xludf.DUMMYFUNCTION("TEXTJOIN("", "",TRUE,UNIQUE(FILTER('Data Master'!$D$2:$D1887,'Data Master'!$C$2:$C1887=A825)))"),"")</f>
        <v/>
      </c>
    </row>
    <row r="826" hidden="1">
      <c r="C826" s="40" t="str">
        <f>IFERROR(__xludf.DUMMYFUNCTION("TEXTJOIN("", "",TRUE,UNIQUE(FILTER('Data Master'!$B$2:$B1887,'Data Master'!$C$2:$C1887=A826)))"),"petani")</f>
        <v>petani</v>
      </c>
      <c r="D826" s="40" t="str">
        <f>IFERROR(__xludf.DUMMYFUNCTION("TEXTJOIN("", "",TRUE,UNIQUE(FILTER('Data Master'!$D$2:$D1887,'Data Master'!$C$2:$C1887=A826)))"),"")</f>
        <v/>
      </c>
    </row>
    <row r="827" hidden="1">
      <c r="C827" s="40" t="str">
        <f>IFERROR(__xludf.DUMMYFUNCTION("TEXTJOIN("", "",TRUE,UNIQUE(FILTER('Data Master'!$B$2:$B1887,'Data Master'!$C$2:$C1887=A827)))"),"petani")</f>
        <v>petani</v>
      </c>
      <c r="D827" s="40" t="str">
        <f>IFERROR(__xludf.DUMMYFUNCTION("TEXTJOIN("", "",TRUE,UNIQUE(FILTER('Data Master'!$D$2:$D1887,'Data Master'!$C$2:$C1887=A827)))"),"")</f>
        <v/>
      </c>
    </row>
    <row r="828" hidden="1">
      <c r="C828" s="40" t="str">
        <f>IFERROR(__xludf.DUMMYFUNCTION("TEXTJOIN("", "",TRUE,UNIQUE(FILTER('Data Master'!$B$2:$B1887,'Data Master'!$C$2:$C1887=A828)))"),"penyuluh")</f>
        <v>penyuluh</v>
      </c>
      <c r="D828" s="40" t="str">
        <f>IFERROR(__xludf.DUMMYFUNCTION("TEXTJOIN("", "",TRUE,UNIQUE(FILTER('Data Master'!$D$2:$D1887,'Data Master'!$C$2:$C1887=A828)))"),"isnineneni9i@gmail.com")</f>
        <v>isnineneni9i@gmail.com</v>
      </c>
    </row>
    <row r="829" hidden="1">
      <c r="C829" s="40" t="str">
        <f>IFERROR(__xludf.DUMMYFUNCTION("TEXTJOIN("", "",TRUE,UNIQUE(FILTER('Data Master'!$B$2:$B1887,'Data Master'!$C$2:$C1887=A829)))"),"petani")</f>
        <v>petani</v>
      </c>
      <c r="D829" s="40" t="str">
        <f>IFERROR(__xludf.DUMMYFUNCTION("TEXTJOIN("", "",TRUE,UNIQUE(FILTER('Data Master'!$D$2:$D1887,'Data Master'!$C$2:$C1887=A829)))"),"")</f>
        <v/>
      </c>
    </row>
    <row r="830" hidden="1">
      <c r="C830" s="40" t="str">
        <f>IFERROR(__xludf.DUMMYFUNCTION("TEXTJOIN("", "",TRUE,UNIQUE(FILTER('Data Master'!$B$2:$B1887,'Data Master'!$C$2:$C1887=A830)))"),"petani")</f>
        <v>petani</v>
      </c>
      <c r="D830" s="40" t="str">
        <f>IFERROR(__xludf.DUMMYFUNCTION("TEXTJOIN("", "",TRUE,UNIQUE(FILTER('Data Master'!$D$2:$D1887,'Data Master'!$C$2:$C1887=A830)))"),"")</f>
        <v/>
      </c>
    </row>
    <row r="831" hidden="1">
      <c r="C831" s="40" t="str">
        <f>IFERROR(__xludf.DUMMYFUNCTION("TEXTJOIN("", "",TRUE,UNIQUE(FILTER('Data Master'!$B$2:$B1887,'Data Master'!$C$2:$C1887=A831)))"),"petani")</f>
        <v>petani</v>
      </c>
      <c r="D831" s="40" t="str">
        <f>IFERROR(__xludf.DUMMYFUNCTION("TEXTJOIN("", "",TRUE,UNIQUE(FILTER('Data Master'!$D$2:$D1887,'Data Master'!$C$2:$C1887=A831)))"),"")</f>
        <v/>
      </c>
    </row>
    <row r="832" hidden="1">
      <c r="C832" s="40" t="str">
        <f>IFERROR(__xludf.DUMMYFUNCTION("TEXTJOIN("", "",TRUE,UNIQUE(FILTER('Data Master'!$B$2:$B1887,'Data Master'!$C$2:$C1887=A832)))"),"petani")</f>
        <v>petani</v>
      </c>
      <c r="D832" s="40" t="str">
        <f>IFERROR(__xludf.DUMMYFUNCTION("TEXTJOIN("", "",TRUE,UNIQUE(FILTER('Data Master'!$D$2:$D1887,'Data Master'!$C$2:$C1887=A832)))"),"")</f>
        <v/>
      </c>
    </row>
    <row r="833" hidden="1">
      <c r="C833" s="40" t="str">
        <f>IFERROR(__xludf.DUMMYFUNCTION("TEXTJOIN("", "",TRUE,UNIQUE(FILTER('Data Master'!$B$2:$B1887,'Data Master'!$C$2:$C1887=A833)))"),"petani")</f>
        <v>petani</v>
      </c>
      <c r="D833" s="40" t="str">
        <f>IFERROR(__xludf.DUMMYFUNCTION("TEXTJOIN("", "",TRUE,UNIQUE(FILTER('Data Master'!$D$2:$D1887,'Data Master'!$C$2:$C1887=A833)))"),"")</f>
        <v/>
      </c>
    </row>
    <row r="834" hidden="1">
      <c r="C834" s="40" t="str">
        <f>IFERROR(__xludf.DUMMYFUNCTION("TEXTJOIN("", "",TRUE,UNIQUE(FILTER('Data Master'!$B$2:$B1887,'Data Master'!$C$2:$C1887=A834)))"),"petani")</f>
        <v>petani</v>
      </c>
      <c r="D834" s="40" t="str">
        <f>IFERROR(__xludf.DUMMYFUNCTION("TEXTJOIN("", "",TRUE,UNIQUE(FILTER('Data Master'!$D$2:$D1887,'Data Master'!$C$2:$C1887=A834)))"),"")</f>
        <v/>
      </c>
    </row>
    <row r="835" hidden="1">
      <c r="C835" s="40" t="str">
        <f>IFERROR(__xludf.DUMMYFUNCTION("TEXTJOIN("", "",TRUE,UNIQUE(FILTER('Data Master'!$B$2:$B1887,'Data Master'!$C$2:$C1887=A835)))"),"petani")</f>
        <v>petani</v>
      </c>
      <c r="D835" s="40" t="str">
        <f>IFERROR(__xludf.DUMMYFUNCTION("TEXTJOIN("", "",TRUE,UNIQUE(FILTER('Data Master'!$D$2:$D1887,'Data Master'!$C$2:$C1887=A835)))"),"")</f>
        <v/>
      </c>
    </row>
    <row r="836" hidden="1">
      <c r="C836" s="40" t="str">
        <f>IFERROR(__xludf.DUMMYFUNCTION("TEXTJOIN("", "",TRUE,UNIQUE(FILTER('Data Master'!$B$2:$B1887,'Data Master'!$C$2:$C1887=A836)))"),"petani")</f>
        <v>petani</v>
      </c>
      <c r="D836" s="40" t="str">
        <f>IFERROR(__xludf.DUMMYFUNCTION("TEXTJOIN("", "",TRUE,UNIQUE(FILTER('Data Master'!$D$2:$D1887,'Data Master'!$C$2:$C1887=A836)))"),"")</f>
        <v/>
      </c>
    </row>
    <row r="837" hidden="1">
      <c r="C837" s="40" t="str">
        <f>IFERROR(__xludf.DUMMYFUNCTION("TEXTJOIN("", "",TRUE,UNIQUE(FILTER('Data Master'!$B$2:$B1887,'Data Master'!$C$2:$C1887=A837)))"),"petani")</f>
        <v>petani</v>
      </c>
      <c r="D837" s="40" t="str">
        <f>IFERROR(__xludf.DUMMYFUNCTION("TEXTJOIN("", "",TRUE,UNIQUE(FILTER('Data Master'!$D$2:$D1887,'Data Master'!$C$2:$C1887=A837)))"),"")</f>
        <v/>
      </c>
    </row>
    <row r="838" hidden="1">
      <c r="C838" s="40" t="str">
        <f>IFERROR(__xludf.DUMMYFUNCTION("TEXTJOIN("", "",TRUE,UNIQUE(FILTER('Data Master'!$B$2:$B1887,'Data Master'!$C$2:$C1887=A838)))"),"petani")</f>
        <v>petani</v>
      </c>
      <c r="D838" s="40" t="str">
        <f>IFERROR(__xludf.DUMMYFUNCTION("TEXTJOIN("", "",TRUE,UNIQUE(FILTER('Data Master'!$D$2:$D1887,'Data Master'!$C$2:$C1887=A838)))"),"")</f>
        <v/>
      </c>
    </row>
    <row r="839" hidden="1">
      <c r="C839" s="40" t="str">
        <f>IFERROR(__xludf.DUMMYFUNCTION("TEXTJOIN("", "",TRUE,UNIQUE(FILTER('Data Master'!$B$2:$B1887,'Data Master'!$C$2:$C1887=A839)))"),"operator super admin")</f>
        <v>operator super admin</v>
      </c>
      <c r="D839" s="40" t="str">
        <f>IFERROR(__xludf.DUMMYFUNCTION("TEXTJOIN("", "",TRUE,UNIQUE(FILTER('Data Master'!$D$2:$D1887,'Data Master'!$C$2:$C1887=A839)))"),"jagoanlabs@gmail.com")</f>
        <v>jagoanlabs@gmail.com</v>
      </c>
    </row>
    <row r="840" hidden="1">
      <c r="C840" s="40" t="str">
        <f>IFERROR(__xludf.DUMMYFUNCTION("TEXTJOIN("", "",TRUE,UNIQUE(FILTER('Data Master'!$B$2:$B1887,'Data Master'!$C$2:$C1887=A840)))"),"petani")</f>
        <v>petani</v>
      </c>
      <c r="D840" s="40" t="str">
        <f>IFERROR(__xludf.DUMMYFUNCTION("TEXTJOIN("", "",TRUE,UNIQUE(FILTER('Data Master'!$D$2:$D1887,'Data Master'!$C$2:$C1887=A840)))"),"")</f>
        <v/>
      </c>
    </row>
    <row r="841" hidden="1">
      <c r="C841" s="40" t="str">
        <f>IFERROR(__xludf.DUMMYFUNCTION("TEXTJOIN("", "",TRUE,UNIQUE(FILTER('Data Master'!$B$2:$B1887,'Data Master'!$C$2:$C1887=A841)))"),"petani")</f>
        <v>petani</v>
      </c>
      <c r="D841" s="40" t="str">
        <f>IFERROR(__xludf.DUMMYFUNCTION("TEXTJOIN("", "",TRUE,UNIQUE(FILTER('Data Master'!$D$2:$D1887,'Data Master'!$C$2:$C1887=A841)))"),"")</f>
        <v/>
      </c>
    </row>
    <row r="842" hidden="1">
      <c r="C842" s="40" t="str">
        <f>IFERROR(__xludf.DUMMYFUNCTION("TEXTJOIN("", "",TRUE,UNIQUE(FILTER('Data Master'!$B$2:$B1887,'Data Master'!$C$2:$C1887=A842)))"),"petani")</f>
        <v>petani</v>
      </c>
      <c r="D842" s="40" t="str">
        <f>IFERROR(__xludf.DUMMYFUNCTION("TEXTJOIN("", "",TRUE,UNIQUE(FILTER('Data Master'!$D$2:$D1887,'Data Master'!$C$2:$C1887=A842)))"),"")</f>
        <v/>
      </c>
    </row>
    <row r="843" hidden="1">
      <c r="C843" s="40" t="str">
        <f>IFERROR(__xludf.DUMMYFUNCTION("TEXTJOIN("", "",TRUE,UNIQUE(FILTER('Data Master'!$B$2:$B1887,'Data Master'!$C$2:$C1887=A843)))"),"petani")</f>
        <v>petani</v>
      </c>
      <c r="D843" s="40" t="str">
        <f>IFERROR(__xludf.DUMMYFUNCTION("TEXTJOIN("", "",TRUE,UNIQUE(FILTER('Data Master'!$D$2:$D1887,'Data Master'!$C$2:$C1887=A843)))"),"")</f>
        <v/>
      </c>
    </row>
    <row r="844" hidden="1">
      <c r="C844" s="40" t="str">
        <f>IFERROR(__xludf.DUMMYFUNCTION("TEXTJOIN("", "",TRUE,UNIQUE(FILTER('Data Master'!$B$2:$B1887,'Data Master'!$C$2:$C1887=A844)))"),"petani")</f>
        <v>petani</v>
      </c>
      <c r="D844" s="40" t="str">
        <f>IFERROR(__xludf.DUMMYFUNCTION("TEXTJOIN("", "",TRUE,UNIQUE(FILTER('Data Master'!$D$2:$D1887,'Data Master'!$C$2:$C1887=A844)))"),"")</f>
        <v/>
      </c>
    </row>
    <row r="845" hidden="1">
      <c r="C845" s="40" t="str">
        <f>IFERROR(__xludf.DUMMYFUNCTION("TEXTJOIN("", "",TRUE,UNIQUE(FILTER('Data Master'!$B$2:$B1887,'Data Master'!$C$2:$C1887=A845)))"),"petani")</f>
        <v>petani</v>
      </c>
      <c r="D845" s="40" t="str">
        <f>IFERROR(__xludf.DUMMYFUNCTION("TEXTJOIN("", "",TRUE,UNIQUE(FILTER('Data Master'!$D$2:$D1887,'Data Master'!$C$2:$C1887=A845)))"),"")</f>
        <v/>
      </c>
    </row>
    <row r="846" hidden="1">
      <c r="C846" s="40" t="str">
        <f>IFERROR(__xludf.DUMMYFUNCTION("TEXTJOIN("", "",TRUE,UNIQUE(FILTER('Data Master'!$B$2:$B1887,'Data Master'!$C$2:$C1887=A846)))"),"petani")</f>
        <v>petani</v>
      </c>
      <c r="D846" s="40" t="str">
        <f>IFERROR(__xludf.DUMMYFUNCTION("TEXTJOIN("", "",TRUE,UNIQUE(FILTER('Data Master'!$D$2:$D1887,'Data Master'!$C$2:$C1887=A846)))"),"")</f>
        <v/>
      </c>
    </row>
    <row r="847" hidden="1">
      <c r="C847" s="40" t="str">
        <f>IFERROR(__xludf.DUMMYFUNCTION("TEXTJOIN("", "",TRUE,UNIQUE(FILTER('Data Master'!$B$2:$B1887,'Data Master'!$C$2:$C1887=A847)))"),"petani")</f>
        <v>petani</v>
      </c>
      <c r="D847" s="40" t="str">
        <f>IFERROR(__xludf.DUMMYFUNCTION("TEXTJOIN("", "",TRUE,UNIQUE(FILTER('Data Master'!$D$2:$D1887,'Data Master'!$C$2:$C1887=A847)))"),"")</f>
        <v/>
      </c>
    </row>
    <row r="848" hidden="1">
      <c r="C848" s="40" t="str">
        <f>IFERROR(__xludf.DUMMYFUNCTION("TEXTJOIN("", "",TRUE,UNIQUE(FILTER('Data Master'!$B$2:$B1887,'Data Master'!$C$2:$C1887=A848)))"),"petani")</f>
        <v>petani</v>
      </c>
      <c r="D848" s="40" t="str">
        <f>IFERROR(__xludf.DUMMYFUNCTION("TEXTJOIN("", "",TRUE,UNIQUE(FILTER('Data Master'!$D$2:$D1887,'Data Master'!$C$2:$C1887=A848)))"),"")</f>
        <v/>
      </c>
    </row>
    <row r="849" hidden="1">
      <c r="C849" s="40" t="str">
        <f>IFERROR(__xludf.DUMMYFUNCTION("TEXTJOIN("", "",TRUE,UNIQUE(FILTER('Data Master'!$B$2:$B1887,'Data Master'!$C$2:$C1887=A849)))"),"petani")</f>
        <v>petani</v>
      </c>
      <c r="D849" s="40" t="str">
        <f>IFERROR(__xludf.DUMMYFUNCTION("TEXTJOIN("", "",TRUE,UNIQUE(FILTER('Data Master'!$D$2:$D1887,'Data Master'!$C$2:$C1887=A849)))"),"")</f>
        <v/>
      </c>
    </row>
    <row r="850" hidden="1">
      <c r="C850" s="40" t="str">
        <f>IFERROR(__xludf.DUMMYFUNCTION("TEXTJOIN("", "",TRUE,UNIQUE(FILTER('Data Master'!$B$2:$B1887,'Data Master'!$C$2:$C1887=A850)))"),"petani")</f>
        <v>petani</v>
      </c>
      <c r="D850" s="40" t="str">
        <f>IFERROR(__xludf.DUMMYFUNCTION("TEXTJOIN("", "",TRUE,UNIQUE(FILTER('Data Master'!$D$2:$D1887,'Data Master'!$C$2:$C1887=A850)))"),"")</f>
        <v/>
      </c>
    </row>
    <row r="851" hidden="1">
      <c r="C851" s="40" t="str">
        <f>IFERROR(__xludf.DUMMYFUNCTION("TEXTJOIN("", "",TRUE,UNIQUE(FILTER('Data Master'!$B$2:$B1887,'Data Master'!$C$2:$C1887=A851)))"),"petani")</f>
        <v>petani</v>
      </c>
      <c r="D851" s="40" t="str">
        <f>IFERROR(__xludf.DUMMYFUNCTION("TEXTJOIN("", "",TRUE,UNIQUE(FILTER('Data Master'!$D$2:$D1887,'Data Master'!$C$2:$C1887=A851)))"),"")</f>
        <v/>
      </c>
    </row>
    <row r="852" hidden="1">
      <c r="C852" s="40" t="str">
        <f>IFERROR(__xludf.DUMMYFUNCTION("TEXTJOIN("", "",TRUE,UNIQUE(FILTER('Data Master'!$B$2:$B1887,'Data Master'!$C$2:$C1887=A852)))"),"petani")</f>
        <v>petani</v>
      </c>
      <c r="D852" s="40" t="str">
        <f>IFERROR(__xludf.DUMMYFUNCTION("TEXTJOIN("", "",TRUE,UNIQUE(FILTER('Data Master'!$D$2:$D1887,'Data Master'!$C$2:$C1887=A852)))"),"")</f>
        <v/>
      </c>
    </row>
    <row r="853" hidden="1">
      <c r="C853" s="40" t="str">
        <f>IFERROR(__xludf.DUMMYFUNCTION("TEXTJOIN("", "",TRUE,UNIQUE(FILTER('Data Master'!$B$2:$B1887,'Data Master'!$C$2:$C1887=A853)))"),"petani")</f>
        <v>petani</v>
      </c>
      <c r="D853" s="40" t="str">
        <f>IFERROR(__xludf.DUMMYFUNCTION("TEXTJOIN("", "",TRUE,UNIQUE(FILTER('Data Master'!$D$2:$D1887,'Data Master'!$C$2:$C1887=A853)))"),"")</f>
        <v/>
      </c>
    </row>
    <row r="854" hidden="1">
      <c r="C854" s="40" t="str">
        <f>IFERROR(__xludf.DUMMYFUNCTION("TEXTJOIN("", "",TRUE,UNIQUE(FILTER('Data Master'!$B$2:$B1887,'Data Master'!$C$2:$C1887=A854)))"),"petani")</f>
        <v>petani</v>
      </c>
      <c r="D854" s="40" t="str">
        <f>IFERROR(__xludf.DUMMYFUNCTION("TEXTJOIN("", "",TRUE,UNIQUE(FILTER('Data Master'!$D$2:$D1887,'Data Master'!$C$2:$C1887=A854)))"),"")</f>
        <v/>
      </c>
    </row>
    <row r="855" hidden="1">
      <c r="C855" s="40" t="str">
        <f>IFERROR(__xludf.DUMMYFUNCTION("TEXTJOIN("", "",TRUE,UNIQUE(FILTER('Data Master'!$B$2:$B1887,'Data Master'!$C$2:$C1887=A855)))"),"petani")</f>
        <v>petani</v>
      </c>
      <c r="D855" s="40" t="str">
        <f>IFERROR(__xludf.DUMMYFUNCTION("TEXTJOIN("", "",TRUE,UNIQUE(FILTER('Data Master'!$D$2:$D1887,'Data Master'!$C$2:$C1887=A855)))"),"")</f>
        <v/>
      </c>
    </row>
    <row r="856" hidden="1">
      <c r="C856" s="40" t="str">
        <f>IFERROR(__xludf.DUMMYFUNCTION("TEXTJOIN("", "",TRUE,UNIQUE(FILTER('Data Master'!$B$2:$B1887,'Data Master'!$C$2:$C1887=A856)))"),"petani")</f>
        <v>petani</v>
      </c>
      <c r="D856" s="40" t="str">
        <f>IFERROR(__xludf.DUMMYFUNCTION("TEXTJOIN("", "",TRUE,UNIQUE(FILTER('Data Master'!$D$2:$D1887,'Data Master'!$C$2:$C1887=A856)))"),"")</f>
        <v/>
      </c>
    </row>
    <row r="857" hidden="1">
      <c r="C857" s="40" t="str">
        <f>IFERROR(__xludf.DUMMYFUNCTION("TEXTJOIN("", "",TRUE,UNIQUE(FILTER('Data Master'!$B$2:$B1887,'Data Master'!$C$2:$C1887=A857)))"),"petani")</f>
        <v>petani</v>
      </c>
      <c r="D857" s="40" t="str">
        <f>IFERROR(__xludf.DUMMYFUNCTION("TEXTJOIN("", "",TRUE,UNIQUE(FILTER('Data Master'!$D$2:$D1887,'Data Master'!$C$2:$C1887=A857)))"),"")</f>
        <v/>
      </c>
    </row>
    <row r="858" hidden="1">
      <c r="C858" s="40" t="str">
        <f>IFERROR(__xludf.DUMMYFUNCTION("TEXTJOIN("", "",TRUE,UNIQUE(FILTER('Data Master'!$B$2:$B1887,'Data Master'!$C$2:$C1887=A858)))"),"petani")</f>
        <v>petani</v>
      </c>
      <c r="D858" s="40" t="str">
        <f>IFERROR(__xludf.DUMMYFUNCTION("TEXTJOIN("", "",TRUE,UNIQUE(FILTER('Data Master'!$D$2:$D1887,'Data Master'!$C$2:$C1887=A858)))"),"")</f>
        <v/>
      </c>
    </row>
    <row r="859" hidden="1">
      <c r="C859" s="40" t="str">
        <f>IFERROR(__xludf.DUMMYFUNCTION("TEXTJOIN("", "",TRUE,UNIQUE(FILTER('Data Master'!$B$2:$B1887,'Data Master'!$C$2:$C1887=A859)))"),"petani")</f>
        <v>petani</v>
      </c>
      <c r="D859" s="40" t="str">
        <f>IFERROR(__xludf.DUMMYFUNCTION("TEXTJOIN("", "",TRUE,UNIQUE(FILTER('Data Master'!$D$2:$D1887,'Data Master'!$C$2:$C1887=A859)))"),"")</f>
        <v/>
      </c>
    </row>
    <row r="860" hidden="1">
      <c r="C860" s="40" t="str">
        <f>IFERROR(__xludf.DUMMYFUNCTION("TEXTJOIN("", "",TRUE,UNIQUE(FILTER('Data Master'!$B$2:$B1887,'Data Master'!$C$2:$C1887=A860)))"),"petani")</f>
        <v>petani</v>
      </c>
      <c r="D860" s="40" t="str">
        <f>IFERROR(__xludf.DUMMYFUNCTION("TEXTJOIN("", "",TRUE,UNIQUE(FILTER('Data Master'!$D$2:$D1887,'Data Master'!$C$2:$C1887=A860)))"),"")</f>
        <v/>
      </c>
    </row>
    <row r="861" hidden="1">
      <c r="C861" s="40" t="str">
        <f>IFERROR(__xludf.DUMMYFUNCTION("TEXTJOIN("", "",TRUE,UNIQUE(FILTER('Data Master'!$B$2:$B1887,'Data Master'!$C$2:$C1887=A861)))"),"petani")</f>
        <v>petani</v>
      </c>
      <c r="D861" s="40" t="str">
        <f>IFERROR(__xludf.DUMMYFUNCTION("TEXTJOIN("", "",TRUE,UNIQUE(FILTER('Data Master'!$D$2:$D1887,'Data Master'!$C$2:$C1887=A861)))"),"")</f>
        <v/>
      </c>
    </row>
    <row r="862" hidden="1">
      <c r="C862" s="40" t="str">
        <f>IFERROR(__xludf.DUMMYFUNCTION("TEXTJOIN("", "",TRUE,UNIQUE(FILTER('Data Master'!$B$2:$B1887,'Data Master'!$C$2:$C1887=A862)))"),"petani")</f>
        <v>petani</v>
      </c>
      <c r="D862" s="40" t="str">
        <f>IFERROR(__xludf.DUMMYFUNCTION("TEXTJOIN("", "",TRUE,UNIQUE(FILTER('Data Master'!$D$2:$D1887,'Data Master'!$C$2:$C1887=A862)))"),"")</f>
        <v/>
      </c>
    </row>
    <row r="863" hidden="1">
      <c r="C863" s="40" t="str">
        <f>IFERROR(__xludf.DUMMYFUNCTION("TEXTJOIN("", "",TRUE,UNIQUE(FILTER('Data Master'!$B$2:$B1887,'Data Master'!$C$2:$C1887=A863)))"),"petani")</f>
        <v>petani</v>
      </c>
      <c r="D863" s="40" t="str">
        <f>IFERROR(__xludf.DUMMYFUNCTION("TEXTJOIN("", "",TRUE,UNIQUE(FILTER('Data Master'!$D$2:$D1887,'Data Master'!$C$2:$C1887=A863)))"),"")</f>
        <v/>
      </c>
    </row>
    <row r="864" hidden="1">
      <c r="C864" s="40" t="str">
        <f>IFERROR(__xludf.DUMMYFUNCTION("TEXTJOIN("", "",TRUE,UNIQUE(FILTER('Data Master'!$B$2:$B1887,'Data Master'!$C$2:$C1887=A864)))"),"petani")</f>
        <v>petani</v>
      </c>
      <c r="D864" s="40" t="str">
        <f>IFERROR(__xludf.DUMMYFUNCTION("TEXTJOIN("", "",TRUE,UNIQUE(FILTER('Data Master'!$D$2:$D1887,'Data Master'!$C$2:$C1887=A864)))"),"")</f>
        <v/>
      </c>
    </row>
    <row r="865" hidden="1">
      <c r="C865" s="40" t="str">
        <f>IFERROR(__xludf.DUMMYFUNCTION("TEXTJOIN("", "",TRUE,UNIQUE(FILTER('Data Master'!$B$2:$B1887,'Data Master'!$C$2:$C1887=A865)))"),"petani")</f>
        <v>petani</v>
      </c>
      <c r="D865" s="40" t="str">
        <f>IFERROR(__xludf.DUMMYFUNCTION("TEXTJOIN("", "",TRUE,UNIQUE(FILTER('Data Master'!$D$2:$D1887,'Data Master'!$C$2:$C1887=A865)))"),"")</f>
        <v/>
      </c>
    </row>
    <row r="866" hidden="1">
      <c r="C866" s="40" t="str">
        <f>IFERROR(__xludf.DUMMYFUNCTION("TEXTJOIN("", "",TRUE,UNIQUE(FILTER('Data Master'!$B$2:$B1887,'Data Master'!$C$2:$C1887=A866)))"),"petani")</f>
        <v>petani</v>
      </c>
      <c r="D866" s="40" t="str">
        <f>IFERROR(__xludf.DUMMYFUNCTION("TEXTJOIN("", "",TRUE,UNIQUE(FILTER('Data Master'!$D$2:$D1887,'Data Master'!$C$2:$C1887=A866)))"),"")</f>
        <v/>
      </c>
    </row>
    <row r="867" hidden="1">
      <c r="C867" s="40" t="str">
        <f>IFERROR(__xludf.DUMMYFUNCTION("TEXTJOIN("", "",TRUE,UNIQUE(FILTER('Data Master'!$B$2:$B1887,'Data Master'!$C$2:$C1887=A867)))"),"petani")</f>
        <v>petani</v>
      </c>
      <c r="D867" s="40" t="str">
        <f>IFERROR(__xludf.DUMMYFUNCTION("TEXTJOIN("", "",TRUE,UNIQUE(FILTER('Data Master'!$D$2:$D1887,'Data Master'!$C$2:$C1887=A867)))"),"")</f>
        <v/>
      </c>
    </row>
    <row r="868" hidden="1">
      <c r="C868" s="40" t="str">
        <f>IFERROR(__xludf.DUMMYFUNCTION("TEXTJOIN("", "",TRUE,UNIQUE(FILTER('Data Master'!$B$2:$B1887,'Data Master'!$C$2:$C1887=A868)))"),"petani")</f>
        <v>petani</v>
      </c>
      <c r="D868" s="40" t="str">
        <f>IFERROR(__xludf.DUMMYFUNCTION("TEXTJOIN("", "",TRUE,UNIQUE(FILTER('Data Master'!$D$2:$D1887,'Data Master'!$C$2:$C1887=A868)))"),"")</f>
        <v/>
      </c>
    </row>
    <row r="869" hidden="1">
      <c r="C869" s="40" t="str">
        <f>IFERROR(__xludf.DUMMYFUNCTION("TEXTJOIN("", "",TRUE,UNIQUE(FILTER('Data Master'!$B$2:$B1887,'Data Master'!$C$2:$C1887=A869)))"),"petani")</f>
        <v>petani</v>
      </c>
      <c r="D869" s="40" t="str">
        <f>IFERROR(__xludf.DUMMYFUNCTION("TEXTJOIN("", "",TRUE,UNIQUE(FILTER('Data Master'!$D$2:$D1887,'Data Master'!$C$2:$C1887=A869)))"),"")</f>
        <v/>
      </c>
    </row>
    <row r="870" hidden="1">
      <c r="C870" s="40" t="str">
        <f>IFERROR(__xludf.DUMMYFUNCTION("TEXTJOIN("", "",TRUE,UNIQUE(FILTER('Data Master'!$B$2:$B1887,'Data Master'!$C$2:$C1887=A870)))"),"petani")</f>
        <v>petani</v>
      </c>
      <c r="D870" s="40" t="str">
        <f>IFERROR(__xludf.DUMMYFUNCTION("TEXTJOIN("", "",TRUE,UNIQUE(FILTER('Data Master'!$D$2:$D1887,'Data Master'!$C$2:$C1887=A870)))"),"")</f>
        <v/>
      </c>
    </row>
    <row r="871" hidden="1">
      <c r="C871" s="40" t="str">
        <f>IFERROR(__xludf.DUMMYFUNCTION("TEXTJOIN("", "",TRUE,UNIQUE(FILTER('Data Master'!$B$2:$B1887,'Data Master'!$C$2:$C1887=A871)))"),"petani")</f>
        <v>petani</v>
      </c>
      <c r="D871" s="40" t="str">
        <f>IFERROR(__xludf.DUMMYFUNCTION("TEXTJOIN("", "",TRUE,UNIQUE(FILTER('Data Master'!$D$2:$D1887,'Data Master'!$C$2:$C1887=A871)))"),"")</f>
        <v/>
      </c>
    </row>
    <row r="872" hidden="1">
      <c r="C872" s="40" t="str">
        <f>IFERROR(__xludf.DUMMYFUNCTION("TEXTJOIN("", "",TRUE,UNIQUE(FILTER('Data Master'!$B$2:$B1887,'Data Master'!$C$2:$C1887=A872)))"),"petani")</f>
        <v>petani</v>
      </c>
      <c r="D872" s="40" t="str">
        <f>IFERROR(__xludf.DUMMYFUNCTION("TEXTJOIN("", "",TRUE,UNIQUE(FILTER('Data Master'!$D$2:$D1887,'Data Master'!$C$2:$C1887=A872)))"),"")</f>
        <v/>
      </c>
    </row>
    <row r="873" hidden="1">
      <c r="C873" s="40" t="str">
        <f>IFERROR(__xludf.DUMMYFUNCTION("TEXTJOIN("", "",TRUE,UNIQUE(FILTER('Data Master'!$B$2:$B1887,'Data Master'!$C$2:$C1887=A873)))"),"penyuluh")</f>
        <v>penyuluh</v>
      </c>
      <c r="D873" s="40" t="str">
        <f>IFERROR(__xludf.DUMMYFUNCTION("TEXTJOIN("", "",TRUE,UNIQUE(FILTER('Data Master'!$D$2:$D1887,'Data Master'!$C$2:$C1887=A873)))"),"jokoa@penyuluh.com")</f>
        <v>jokoa@penyuluh.com</v>
      </c>
    </row>
    <row r="874" hidden="1">
      <c r="C874" s="40" t="str">
        <f>IFERROR(__xludf.DUMMYFUNCTION("TEXTJOIN("", "",TRUE,UNIQUE(FILTER('Data Master'!$B$2:$B1887,'Data Master'!$C$2:$C1887=A874)))"),"penyuluh, petani")</f>
        <v>penyuluh, petani</v>
      </c>
      <c r="D874" s="40" t="str">
        <f>IFERROR(__xludf.DUMMYFUNCTION("TEXTJOIN("", "",TRUE,UNIQUE(FILTER('Data Master'!$D$2:$D1887,'Data Master'!$C$2:$C1887=A874)))"),"joko@penyuluh.com, Fadel@gmail.com")</f>
        <v>joko@penyuluh.com, Fadel@gmail.com</v>
      </c>
    </row>
    <row r="875" hidden="1">
      <c r="C875" s="40" t="str">
        <f>IFERROR(__xludf.DUMMYFUNCTION("TEXTJOIN("", "",TRUE,UNIQUE(FILTER('Data Master'!$B$2:$B1887,'Data Master'!$C$2:$C1887=A875)))"),"petani")</f>
        <v>petani</v>
      </c>
      <c r="D875" s="40" t="str">
        <f>IFERROR(__xludf.DUMMYFUNCTION("TEXTJOIN("", "",TRUE,UNIQUE(FILTER('Data Master'!$D$2:$D1887,'Data Master'!$C$2:$C1887=A875)))"),"")</f>
        <v/>
      </c>
    </row>
    <row r="876" hidden="1">
      <c r="C876" s="40" t="str">
        <f>IFERROR(__xludf.DUMMYFUNCTION("TEXTJOIN("", "",TRUE,UNIQUE(FILTER('Data Master'!$B$2:$B1887,'Data Master'!$C$2:$C1887=A876)))"),"petani")</f>
        <v>petani</v>
      </c>
      <c r="D876" s="40" t="str">
        <f>IFERROR(__xludf.DUMMYFUNCTION("TEXTJOIN("", "",TRUE,UNIQUE(FILTER('Data Master'!$D$2:$D1887,'Data Master'!$C$2:$C1887=A876)))"),"")</f>
        <v/>
      </c>
    </row>
    <row r="877" hidden="1">
      <c r="C877" s="40" t="str">
        <f>IFERROR(__xludf.DUMMYFUNCTION("TEXTJOIN("", "",TRUE,UNIQUE(FILTER('Data Master'!$B$2:$B1887,'Data Master'!$C$2:$C1887=A877)))"),"petani")</f>
        <v>petani</v>
      </c>
      <c r="D877" s="40" t="str">
        <f>IFERROR(__xludf.DUMMYFUNCTION("TEXTJOIN("", "",TRUE,UNIQUE(FILTER('Data Master'!$D$2:$D1887,'Data Master'!$C$2:$C1887=A877)))"),"")</f>
        <v/>
      </c>
    </row>
    <row r="878" hidden="1">
      <c r="C878" s="40" t="str">
        <f>IFERROR(__xludf.DUMMYFUNCTION("TEXTJOIN("", "",TRUE,UNIQUE(FILTER('Data Master'!$B$2:$B1887,'Data Master'!$C$2:$C1887=A878)))"),"petani")</f>
        <v>petani</v>
      </c>
      <c r="D878" s="40" t="str">
        <f>IFERROR(__xludf.DUMMYFUNCTION("TEXTJOIN("", "",TRUE,UNIQUE(FILTER('Data Master'!$D$2:$D1887,'Data Master'!$C$2:$C1887=A878)))"),"")</f>
        <v/>
      </c>
    </row>
    <row r="879" hidden="1">
      <c r="C879" s="40" t="str">
        <f>IFERROR(__xludf.DUMMYFUNCTION("TEXTJOIN("", "",TRUE,UNIQUE(FILTER('Data Master'!$B$2:$B1887,'Data Master'!$C$2:$C1887=A879)))"),"petani")</f>
        <v>petani</v>
      </c>
      <c r="D879" s="40" t="str">
        <f>IFERROR(__xludf.DUMMYFUNCTION("TEXTJOIN("", "",TRUE,UNIQUE(FILTER('Data Master'!$D$2:$D1887,'Data Master'!$C$2:$C1887=A879)))"),"")</f>
        <v/>
      </c>
    </row>
    <row r="880" hidden="1">
      <c r="C880" s="40" t="str">
        <f>IFERROR(__xludf.DUMMYFUNCTION("TEXTJOIN("", "",TRUE,UNIQUE(FILTER('Data Master'!$B$2:$B1887,'Data Master'!$C$2:$C1887=A880)))"),"penyuluh")</f>
        <v>penyuluh</v>
      </c>
      <c r="D880" s="40" t="str">
        <f>IFERROR(__xludf.DUMMYFUNCTION("TEXTJOIN("", "",TRUE,UNIQUE(FILTER('Data Master'!$D$2:$D1887,'Data Master'!$C$2:$C1887=A880)))"),"")</f>
        <v/>
      </c>
    </row>
    <row r="881" hidden="1">
      <c r="C881" s="40" t="str">
        <f>IFERROR(__xludf.DUMMYFUNCTION("TEXTJOIN("", "",TRUE,UNIQUE(FILTER('Data Master'!$B$2:$B1887,'Data Master'!$C$2:$C1887=A881)))"),"petani")</f>
        <v>petani</v>
      </c>
      <c r="D881" s="40" t="str">
        <f>IFERROR(__xludf.DUMMYFUNCTION("TEXTJOIN("", "",TRUE,UNIQUE(FILTER('Data Master'!$D$2:$D1887,'Data Master'!$C$2:$C1887=A881)))"),"")</f>
        <v/>
      </c>
    </row>
    <row r="882" hidden="1">
      <c r="C882" s="40" t="str">
        <f>IFERROR(__xludf.DUMMYFUNCTION("TEXTJOIN("", "",TRUE,UNIQUE(FILTER('Data Master'!$B$2:$B1887,'Data Master'!$C$2:$C1887=A882)))"),"petani")</f>
        <v>petani</v>
      </c>
      <c r="D882" s="40" t="str">
        <f>IFERROR(__xludf.DUMMYFUNCTION("TEXTJOIN("", "",TRUE,UNIQUE(FILTER('Data Master'!$D$2:$D1887,'Data Master'!$C$2:$C1887=A882)))"),"")</f>
        <v/>
      </c>
    </row>
    <row r="883" hidden="1">
      <c r="C883" s="40" t="str">
        <f>IFERROR(__xludf.DUMMYFUNCTION("TEXTJOIN("", "",TRUE,UNIQUE(FILTER('Data Master'!$B$2:$B1887,'Data Master'!$C$2:$C1887=A883)))"),"petani")</f>
        <v>petani</v>
      </c>
      <c r="D883" s="40" t="str">
        <f>IFERROR(__xludf.DUMMYFUNCTION("TEXTJOIN("", "",TRUE,UNIQUE(FILTER('Data Master'!$D$2:$D1887,'Data Master'!$C$2:$C1887=A883)))"),"")</f>
        <v/>
      </c>
    </row>
    <row r="884" hidden="1">
      <c r="C884" s="40" t="str">
        <f>IFERROR(__xludf.DUMMYFUNCTION("TEXTJOIN("", "",TRUE,UNIQUE(FILTER('Data Master'!$B$2:$B1887,'Data Master'!$C$2:$C1887=A884)))"),"petani")</f>
        <v>petani</v>
      </c>
      <c r="D884" s="40" t="str">
        <f>IFERROR(__xludf.DUMMYFUNCTION("TEXTJOIN("", "",TRUE,UNIQUE(FILTER('Data Master'!$D$2:$D1887,'Data Master'!$C$2:$C1887=A884)))"),"")</f>
        <v/>
      </c>
    </row>
    <row r="885" hidden="1">
      <c r="C885" s="40" t="str">
        <f>IFERROR(__xludf.DUMMYFUNCTION("TEXTJOIN("", "",TRUE,UNIQUE(FILTER('Data Master'!$B$2:$B1887,'Data Master'!$C$2:$C1887=A885)))"),"petani")</f>
        <v>petani</v>
      </c>
      <c r="D885" s="40" t="str">
        <f>IFERROR(__xludf.DUMMYFUNCTION("TEXTJOIN("", "",TRUE,UNIQUE(FILTER('Data Master'!$D$2:$D1887,'Data Master'!$C$2:$C1887=A885)))"),"")</f>
        <v/>
      </c>
    </row>
    <row r="886" hidden="1">
      <c r="C886" s="40" t="str">
        <f>IFERROR(__xludf.DUMMYFUNCTION("TEXTJOIN("", "",TRUE,UNIQUE(FILTER('Data Master'!$B$2:$B1887,'Data Master'!$C$2:$C1887=A886)))"),"petani")</f>
        <v>petani</v>
      </c>
      <c r="D886" s="40" t="str">
        <f>IFERROR(__xludf.DUMMYFUNCTION("TEXTJOIN("", "",TRUE,UNIQUE(FILTER('Data Master'!$D$2:$D1887,'Data Master'!$C$2:$C1887=A886)))"),"")</f>
        <v/>
      </c>
    </row>
    <row r="887" hidden="1">
      <c r="C887" s="40" t="str">
        <f>IFERROR(__xludf.DUMMYFUNCTION("TEXTJOIN("", "",TRUE,UNIQUE(FILTER('Data Master'!$B$2:$B1887,'Data Master'!$C$2:$C1887=A887)))"),"petani")</f>
        <v>petani</v>
      </c>
      <c r="D887" s="40" t="str">
        <f>IFERROR(__xludf.DUMMYFUNCTION("TEXTJOIN("", "",TRUE,UNIQUE(FILTER('Data Master'!$D$2:$D1887,'Data Master'!$C$2:$C1887=A887)))"),"")</f>
        <v/>
      </c>
    </row>
    <row r="888" hidden="1">
      <c r="C888" s="40" t="str">
        <f>IFERROR(__xludf.DUMMYFUNCTION("TEXTJOIN("", "",TRUE,UNIQUE(FILTER('Data Master'!$B$2:$B1887,'Data Master'!$C$2:$C1887=A888)))"),"petani")</f>
        <v>petani</v>
      </c>
      <c r="D888" s="40" t="str">
        <f>IFERROR(__xludf.DUMMYFUNCTION("TEXTJOIN("", "",TRUE,UNIQUE(FILTER('Data Master'!$D$2:$D1887,'Data Master'!$C$2:$C1887=A888)))"),"")</f>
        <v/>
      </c>
    </row>
    <row r="889" hidden="1">
      <c r="C889" s="40" t="str">
        <f>IFERROR(__xludf.DUMMYFUNCTION("TEXTJOIN("", "",TRUE,UNIQUE(FILTER('Data Master'!$B$2:$B1887,'Data Master'!$C$2:$C1887=A889)))"),"petani")</f>
        <v>petani</v>
      </c>
      <c r="D889" s="40" t="str">
        <f>IFERROR(__xludf.DUMMYFUNCTION("TEXTJOIN("", "",TRUE,UNIQUE(FILTER('Data Master'!$D$2:$D1887,'Data Master'!$C$2:$C1887=A889)))"),"")</f>
        <v/>
      </c>
    </row>
    <row r="890" hidden="1">
      <c r="C890" s="40" t="str">
        <f>IFERROR(__xludf.DUMMYFUNCTION("TEXTJOIN("", "",TRUE,UNIQUE(FILTER('Data Master'!$B$2:$B1887,'Data Master'!$C$2:$C1887=A890)))"),"petani")</f>
        <v>petani</v>
      </c>
      <c r="D890" s="40" t="str">
        <f>IFERROR(__xludf.DUMMYFUNCTION("TEXTJOIN("", "",TRUE,UNIQUE(FILTER('Data Master'!$D$2:$D1887,'Data Master'!$C$2:$C1887=A890)))"),"")</f>
        <v/>
      </c>
    </row>
    <row r="891" hidden="1">
      <c r="C891" s="40" t="str">
        <f>IFERROR(__xludf.DUMMYFUNCTION("TEXTJOIN("", "",TRUE,UNIQUE(FILTER('Data Master'!$B$2:$B1887,'Data Master'!$C$2:$C1887=A891)))"),"petani")</f>
        <v>petani</v>
      </c>
      <c r="D891" s="40" t="str">
        <f>IFERROR(__xludf.DUMMYFUNCTION("TEXTJOIN("", "",TRUE,UNIQUE(FILTER('Data Master'!$D$2:$D1887,'Data Master'!$C$2:$C1887=A891)))"),"")</f>
        <v/>
      </c>
    </row>
    <row r="892" hidden="1">
      <c r="C892" s="40" t="str">
        <f>IFERROR(__xludf.DUMMYFUNCTION("TEXTJOIN("", "",TRUE,UNIQUE(FILTER('Data Master'!$B$2:$B1887,'Data Master'!$C$2:$C1887=A892)))"),"petani")</f>
        <v>petani</v>
      </c>
      <c r="D892" s="40" t="str">
        <f>IFERROR(__xludf.DUMMYFUNCTION("TEXTJOIN("", "",TRUE,UNIQUE(FILTER('Data Master'!$D$2:$D1887,'Data Master'!$C$2:$C1887=A892)))"),"")</f>
        <v/>
      </c>
    </row>
    <row r="893" hidden="1">
      <c r="C893" s="40" t="str">
        <f>IFERROR(__xludf.DUMMYFUNCTION("TEXTJOIN("", "",TRUE,UNIQUE(FILTER('Data Master'!$B$2:$B1887,'Data Master'!$C$2:$C1887=A893)))"),"petani")</f>
        <v>petani</v>
      </c>
      <c r="D893" s="40" t="str">
        <f>IFERROR(__xludf.DUMMYFUNCTION("TEXTJOIN("", "",TRUE,UNIQUE(FILTER('Data Master'!$D$2:$D1887,'Data Master'!$C$2:$C1887=A893)))"),"")</f>
        <v/>
      </c>
    </row>
    <row r="894" hidden="1">
      <c r="C894" s="40" t="str">
        <f>IFERROR(__xludf.DUMMYFUNCTION("TEXTJOIN("", "",TRUE,UNIQUE(FILTER('Data Master'!$B$2:$B1887,'Data Master'!$C$2:$C1887=A894)))"),"petani")</f>
        <v>petani</v>
      </c>
      <c r="D894" s="40" t="str">
        <f>IFERROR(__xludf.DUMMYFUNCTION("TEXTJOIN("", "",TRUE,UNIQUE(FILTER('Data Master'!$D$2:$D1887,'Data Master'!$C$2:$C1887=A894)))"),"")</f>
        <v/>
      </c>
    </row>
    <row r="895" hidden="1">
      <c r="C895" s="40" t="str">
        <f>IFERROR(__xludf.DUMMYFUNCTION("TEXTJOIN("", "",TRUE,UNIQUE(FILTER('Data Master'!$B$2:$B1887,'Data Master'!$C$2:$C1887=A895)))"),"petani")</f>
        <v>petani</v>
      </c>
      <c r="D895" s="40" t="str">
        <f>IFERROR(__xludf.DUMMYFUNCTION("TEXTJOIN("", "",TRUE,UNIQUE(FILTER('Data Master'!$D$2:$D1887,'Data Master'!$C$2:$C1887=A895)))"),"")</f>
        <v/>
      </c>
    </row>
    <row r="896" hidden="1">
      <c r="C896" s="40" t="str">
        <f>IFERROR(__xludf.DUMMYFUNCTION("TEXTJOIN("", "",TRUE,UNIQUE(FILTER('Data Master'!$B$2:$B1887,'Data Master'!$C$2:$C1887=A896)))"),"petani")</f>
        <v>petani</v>
      </c>
      <c r="D896" s="40" t="str">
        <f>IFERROR(__xludf.DUMMYFUNCTION("TEXTJOIN("", "",TRUE,UNIQUE(FILTER('Data Master'!$D$2:$D1887,'Data Master'!$C$2:$C1887=A896)))"),"")</f>
        <v/>
      </c>
    </row>
    <row r="897" hidden="1">
      <c r="C897" s="40" t="str">
        <f>IFERROR(__xludf.DUMMYFUNCTION("TEXTJOIN("", "",TRUE,UNIQUE(FILTER('Data Master'!$B$2:$B1887,'Data Master'!$C$2:$C1887=A897)))"),"petani")</f>
        <v>petani</v>
      </c>
      <c r="D897" s="40" t="str">
        <f>IFERROR(__xludf.DUMMYFUNCTION("TEXTJOIN("", "",TRUE,UNIQUE(FILTER('Data Master'!$D$2:$D1887,'Data Master'!$C$2:$C1887=A897)))"),"")</f>
        <v/>
      </c>
    </row>
    <row r="898" hidden="1">
      <c r="C898" s="40" t="str">
        <f>IFERROR(__xludf.DUMMYFUNCTION("TEXTJOIN("", "",TRUE,UNIQUE(FILTER('Data Master'!$B$2:$B1887,'Data Master'!$C$2:$C1887=A898)))"),"petani")</f>
        <v>petani</v>
      </c>
      <c r="D898" s="40" t="str">
        <f>IFERROR(__xludf.DUMMYFUNCTION("TEXTJOIN("", "",TRUE,UNIQUE(FILTER('Data Master'!$D$2:$D1887,'Data Master'!$C$2:$C1887=A898)))"),"")</f>
        <v/>
      </c>
    </row>
    <row r="899" hidden="1">
      <c r="C899" s="40" t="str">
        <f>IFERROR(__xludf.DUMMYFUNCTION("TEXTJOIN("", "",TRUE,UNIQUE(FILTER('Data Master'!$B$2:$B1887,'Data Master'!$C$2:$C1887=A899)))"),"petani")</f>
        <v>petani</v>
      </c>
      <c r="D899" s="40" t="str">
        <f>IFERROR(__xludf.DUMMYFUNCTION("TEXTJOIN("", "",TRUE,UNIQUE(FILTER('Data Master'!$D$2:$D1887,'Data Master'!$C$2:$C1887=A899)))"),"")</f>
        <v/>
      </c>
    </row>
    <row r="900" hidden="1">
      <c r="C900" s="40" t="str">
        <f>IFERROR(__xludf.DUMMYFUNCTION("TEXTJOIN("", "",TRUE,UNIQUE(FILTER('Data Master'!$B$2:$B1887,'Data Master'!$C$2:$C1887=A900)))"),"petani")</f>
        <v>petani</v>
      </c>
      <c r="D900" s="40" t="str">
        <f>IFERROR(__xludf.DUMMYFUNCTION("TEXTJOIN("", "",TRUE,UNIQUE(FILTER('Data Master'!$D$2:$D1887,'Data Master'!$C$2:$C1887=A900)))"),"")</f>
        <v/>
      </c>
    </row>
    <row r="901" hidden="1">
      <c r="C901" s="40" t="str">
        <f>IFERROR(__xludf.DUMMYFUNCTION("TEXTJOIN("", "",TRUE,UNIQUE(FILTER('Data Master'!$B$2:$B1887,'Data Master'!$C$2:$C1887=A901)))"),"petani")</f>
        <v>petani</v>
      </c>
      <c r="D901" s="40" t="str">
        <f>IFERROR(__xludf.DUMMYFUNCTION("TEXTJOIN("", "",TRUE,UNIQUE(FILTER('Data Master'!$D$2:$D1887,'Data Master'!$C$2:$C1887=A901)))"),"")</f>
        <v/>
      </c>
    </row>
    <row r="902" hidden="1">
      <c r="C902" s="40" t="str">
        <f>IFERROR(__xludf.DUMMYFUNCTION("TEXTJOIN("", "",TRUE,UNIQUE(FILTER('Data Master'!$B$2:$B1887,'Data Master'!$C$2:$C1887=A902)))"),"petani")</f>
        <v>petani</v>
      </c>
      <c r="D902" s="40" t="str">
        <f>IFERROR(__xludf.DUMMYFUNCTION("TEXTJOIN("", "",TRUE,UNIQUE(FILTER('Data Master'!$D$2:$D1887,'Data Master'!$C$2:$C1887=A902)))"),"")</f>
        <v/>
      </c>
    </row>
    <row r="903" hidden="1">
      <c r="C903" s="40" t="str">
        <f>IFERROR(__xludf.DUMMYFUNCTION("TEXTJOIN("", "",TRUE,UNIQUE(FILTER('Data Master'!$B$2:$B1887,'Data Master'!$C$2:$C1887=A903)))"),"petani")</f>
        <v>petani</v>
      </c>
      <c r="D903" s="40" t="str">
        <f>IFERROR(__xludf.DUMMYFUNCTION("TEXTJOIN("", "",TRUE,UNIQUE(FILTER('Data Master'!$D$2:$D1887,'Data Master'!$C$2:$C1887=A903)))"),"")</f>
        <v/>
      </c>
    </row>
    <row r="904" hidden="1">
      <c r="C904" s="40" t="str">
        <f>IFERROR(__xludf.DUMMYFUNCTION("TEXTJOIN("", "",TRUE,UNIQUE(FILTER('Data Master'!$B$2:$B1887,'Data Master'!$C$2:$C1887=A904)))"),"petani")</f>
        <v>petani</v>
      </c>
      <c r="D904" s="40" t="str">
        <f>IFERROR(__xludf.DUMMYFUNCTION("TEXTJOIN("", "",TRUE,UNIQUE(FILTER('Data Master'!$D$2:$D1887,'Data Master'!$C$2:$C1887=A904)))"),"")</f>
        <v/>
      </c>
    </row>
    <row r="905" hidden="1">
      <c r="C905" s="40" t="str">
        <f>IFERROR(__xludf.DUMMYFUNCTION("TEXTJOIN("", "",TRUE,UNIQUE(FILTER('Data Master'!$B$2:$B1887,'Data Master'!$C$2:$C1887=A905)))"),"petani")</f>
        <v>petani</v>
      </c>
      <c r="D905" s="40" t="str">
        <f>IFERROR(__xludf.DUMMYFUNCTION("TEXTJOIN("", "",TRUE,UNIQUE(FILTER('Data Master'!$D$2:$D1887,'Data Master'!$C$2:$C1887=A905)))"),"")</f>
        <v/>
      </c>
    </row>
    <row r="906" hidden="1">
      <c r="C906" s="40" t="str">
        <f>IFERROR(__xludf.DUMMYFUNCTION("TEXTJOIN("", "",TRUE,UNIQUE(FILTER('Data Master'!$B$2:$B1887,'Data Master'!$C$2:$C1887=A906)))"),"petani")</f>
        <v>petani</v>
      </c>
      <c r="D906" s="40" t="str">
        <f>IFERROR(__xludf.DUMMYFUNCTION("TEXTJOIN("", "",TRUE,UNIQUE(FILTER('Data Master'!$D$2:$D1887,'Data Master'!$C$2:$C1887=A906)))"),"")</f>
        <v/>
      </c>
    </row>
    <row r="907" hidden="1">
      <c r="C907" s="40" t="str">
        <f>IFERROR(__xludf.DUMMYFUNCTION("TEXTJOIN("", "",TRUE,UNIQUE(FILTER('Data Master'!$B$2:$B1887,'Data Master'!$C$2:$C1887=A907)))"),"petani")</f>
        <v>petani</v>
      </c>
      <c r="D907" s="40" t="str">
        <f>IFERROR(__xludf.DUMMYFUNCTION("TEXTJOIN("", "",TRUE,UNIQUE(FILTER('Data Master'!$D$2:$D1887,'Data Master'!$C$2:$C1887=A907)))"),"")</f>
        <v/>
      </c>
    </row>
    <row r="908" hidden="1">
      <c r="C908" s="40" t="str">
        <f>IFERROR(__xludf.DUMMYFUNCTION("TEXTJOIN("", "",TRUE,UNIQUE(FILTER('Data Master'!$B$2:$B1887,'Data Master'!$C$2:$C1887=A908)))"),"petani")</f>
        <v>petani</v>
      </c>
      <c r="D908" s="40" t="str">
        <f>IFERROR(__xludf.DUMMYFUNCTION("TEXTJOIN("", "",TRUE,UNIQUE(FILTER('Data Master'!$D$2:$D1887,'Data Master'!$C$2:$C1887=A908)))"),"")</f>
        <v/>
      </c>
    </row>
    <row r="909" hidden="1">
      <c r="C909" s="40" t="str">
        <f>IFERROR(__xludf.DUMMYFUNCTION("TEXTJOIN("", "",TRUE,UNIQUE(FILTER('Data Master'!$B$2:$B1887,'Data Master'!$C$2:$C1887=A909)))"),"petani")</f>
        <v>petani</v>
      </c>
      <c r="D909" s="40" t="str">
        <f>IFERROR(__xludf.DUMMYFUNCTION("TEXTJOIN("", "",TRUE,UNIQUE(FILTER('Data Master'!$D$2:$D1887,'Data Master'!$C$2:$C1887=A909)))"),"")</f>
        <v/>
      </c>
    </row>
    <row r="910" hidden="1">
      <c r="C910" s="40" t="str">
        <f>IFERROR(__xludf.DUMMYFUNCTION("TEXTJOIN("", "",TRUE,UNIQUE(FILTER('Data Master'!$B$2:$B1887,'Data Master'!$C$2:$C1887=A910)))"),"petani")</f>
        <v>petani</v>
      </c>
      <c r="D910" s="40" t="str">
        <f>IFERROR(__xludf.DUMMYFUNCTION("TEXTJOIN("", "",TRUE,UNIQUE(FILTER('Data Master'!$D$2:$D1887,'Data Master'!$C$2:$C1887=A910)))"),"")</f>
        <v/>
      </c>
    </row>
    <row r="911" hidden="1">
      <c r="C911" s="40" t="str">
        <f>IFERROR(__xludf.DUMMYFUNCTION("TEXTJOIN("", "",TRUE,UNIQUE(FILTER('Data Master'!$B$2:$B1887,'Data Master'!$C$2:$C1887=A911)))"),"petani")</f>
        <v>petani</v>
      </c>
      <c r="D911" s="40" t="str">
        <f>IFERROR(__xludf.DUMMYFUNCTION("TEXTJOIN("", "",TRUE,UNIQUE(FILTER('Data Master'!$D$2:$D1887,'Data Master'!$C$2:$C1887=A911)))"),"")</f>
        <v/>
      </c>
    </row>
    <row r="912" hidden="1">
      <c r="C912" s="40" t="str">
        <f>IFERROR(__xludf.DUMMYFUNCTION("TEXTJOIN("", "",TRUE,UNIQUE(FILTER('Data Master'!$B$2:$B1887,'Data Master'!$C$2:$C1887=A912)))"),"petani")</f>
        <v>petani</v>
      </c>
      <c r="D912" s="40" t="str">
        <f>IFERROR(__xludf.DUMMYFUNCTION("TEXTJOIN("", "",TRUE,UNIQUE(FILTER('Data Master'!$D$2:$D1887,'Data Master'!$C$2:$C1887=A912)))"),"")</f>
        <v/>
      </c>
    </row>
    <row r="913" hidden="1">
      <c r="C913" s="40" t="str">
        <f>IFERROR(__xludf.DUMMYFUNCTION("TEXTJOIN("", "",TRUE,UNIQUE(FILTER('Data Master'!$B$2:$B1887,'Data Master'!$C$2:$C1887=A913)))"),"petani")</f>
        <v>petani</v>
      </c>
      <c r="D913" s="40" t="str">
        <f>IFERROR(__xludf.DUMMYFUNCTION("TEXTJOIN("", "",TRUE,UNIQUE(FILTER('Data Master'!$D$2:$D1887,'Data Master'!$C$2:$C1887=A913)))"),"")</f>
        <v/>
      </c>
    </row>
    <row r="914" hidden="1">
      <c r="C914" s="40" t="str">
        <f>IFERROR(__xludf.DUMMYFUNCTION("TEXTJOIN("", "",TRUE,UNIQUE(FILTER('Data Master'!$B$2:$B1887,'Data Master'!$C$2:$C1887=A914)))"),"petani")</f>
        <v>petani</v>
      </c>
      <c r="D914" s="40" t="str">
        <f>IFERROR(__xludf.DUMMYFUNCTION("TEXTJOIN("", "",TRUE,UNIQUE(FILTER('Data Master'!$D$2:$D1887,'Data Master'!$C$2:$C1887=A914)))"),"")</f>
        <v/>
      </c>
    </row>
    <row r="915" hidden="1">
      <c r="C915" s="40" t="str">
        <f>IFERROR(__xludf.DUMMYFUNCTION("TEXTJOIN("", "",TRUE,UNIQUE(FILTER('Data Master'!$B$2:$B1887,'Data Master'!$C$2:$C1887=A915)))"),"petani")</f>
        <v>petani</v>
      </c>
      <c r="D915" s="40" t="str">
        <f>IFERROR(__xludf.DUMMYFUNCTION("TEXTJOIN("", "",TRUE,UNIQUE(FILTER('Data Master'!$D$2:$D1887,'Data Master'!$C$2:$C1887=A915)))"),"")</f>
        <v/>
      </c>
    </row>
    <row r="916" hidden="1">
      <c r="C916" s="40" t="str">
        <f>IFERROR(__xludf.DUMMYFUNCTION("TEXTJOIN("", "",TRUE,UNIQUE(FILTER('Data Master'!$B$2:$B1887,'Data Master'!$C$2:$C1887=A916)))"),"petani")</f>
        <v>petani</v>
      </c>
      <c r="D916" s="40" t="str">
        <f>IFERROR(__xludf.DUMMYFUNCTION("TEXTJOIN("", "",TRUE,UNIQUE(FILTER('Data Master'!$D$2:$D1887,'Data Master'!$C$2:$C1887=A916)))"),"")</f>
        <v/>
      </c>
    </row>
    <row r="917" hidden="1">
      <c r="C917" s="40" t="str">
        <f>IFERROR(__xludf.DUMMYFUNCTION("TEXTJOIN("", "",TRUE,UNIQUE(FILTER('Data Master'!$B$2:$B1887,'Data Master'!$C$2:$C1887=A917)))"),"petani")</f>
        <v>petani</v>
      </c>
      <c r="D917" s="40" t="str">
        <f>IFERROR(__xludf.DUMMYFUNCTION("TEXTJOIN("", "",TRUE,UNIQUE(FILTER('Data Master'!$D$2:$D1887,'Data Master'!$C$2:$C1887=A917)))"),"")</f>
        <v/>
      </c>
    </row>
    <row r="918" hidden="1">
      <c r="C918" s="40" t="str">
        <f>IFERROR(__xludf.DUMMYFUNCTION("TEXTJOIN("", "",TRUE,UNIQUE(FILTER('Data Master'!$B$2:$B1887,'Data Master'!$C$2:$C1887=A918)))"),"petani")</f>
        <v>petani</v>
      </c>
      <c r="D918" s="40" t="str">
        <f>IFERROR(__xludf.DUMMYFUNCTION("TEXTJOIN("", "",TRUE,UNIQUE(FILTER('Data Master'!$D$2:$D1887,'Data Master'!$C$2:$C1887=A918)))"),"")</f>
        <v/>
      </c>
    </row>
    <row r="919" hidden="1">
      <c r="C919" s="40" t="str">
        <f>IFERROR(__xludf.DUMMYFUNCTION("TEXTJOIN("", "",TRUE,UNIQUE(FILTER('Data Master'!$B$2:$B1887,'Data Master'!$C$2:$C1887=A919)))"),"petani")</f>
        <v>petani</v>
      </c>
      <c r="D919" s="40" t="str">
        <f>IFERROR(__xludf.DUMMYFUNCTION("TEXTJOIN("", "",TRUE,UNIQUE(FILTER('Data Master'!$D$2:$D1887,'Data Master'!$C$2:$C1887=A919)))"),"")</f>
        <v/>
      </c>
    </row>
    <row r="920" hidden="1">
      <c r="C920" s="40" t="str">
        <f>IFERROR(__xludf.DUMMYFUNCTION("TEXTJOIN("", "",TRUE,UNIQUE(FILTER('Data Master'!$B$2:$B1887,'Data Master'!$C$2:$C1887=A920)))"),"petani")</f>
        <v>petani</v>
      </c>
      <c r="D920" s="40" t="str">
        <f>IFERROR(__xludf.DUMMYFUNCTION("TEXTJOIN("", "",TRUE,UNIQUE(FILTER('Data Master'!$D$2:$D1887,'Data Master'!$C$2:$C1887=A920)))"),"")</f>
        <v/>
      </c>
    </row>
    <row r="921" hidden="1">
      <c r="C921" s="40" t="str">
        <f>IFERROR(__xludf.DUMMYFUNCTION("TEXTJOIN("", "",TRUE,UNIQUE(FILTER('Data Master'!$B$2:$B1887,'Data Master'!$C$2:$C1887=A921)))"),"petani")</f>
        <v>petani</v>
      </c>
      <c r="D921" s="40" t="str">
        <f>IFERROR(__xludf.DUMMYFUNCTION("TEXTJOIN("", "",TRUE,UNIQUE(FILTER('Data Master'!$D$2:$D1887,'Data Master'!$C$2:$C1887=A921)))"),"")</f>
        <v/>
      </c>
    </row>
    <row r="922" hidden="1">
      <c r="C922" s="40" t="str">
        <f>IFERROR(__xludf.DUMMYFUNCTION("TEXTJOIN("", "",TRUE,UNIQUE(FILTER('Data Master'!$B$2:$B1887,'Data Master'!$C$2:$C1887=A922)))"),"petani")</f>
        <v>petani</v>
      </c>
      <c r="D922" s="40" t="str">
        <f>IFERROR(__xludf.DUMMYFUNCTION("TEXTJOIN("", "",TRUE,UNIQUE(FILTER('Data Master'!$D$2:$D1887,'Data Master'!$C$2:$C1887=A922)))"),"")</f>
        <v/>
      </c>
    </row>
    <row r="923" hidden="1">
      <c r="C923" s="40" t="str">
        <f>IFERROR(__xludf.DUMMYFUNCTION("TEXTJOIN("", "",TRUE,UNIQUE(FILTER('Data Master'!$B$2:$B1887,'Data Master'!$C$2:$C1887=A923)))"),"petani")</f>
        <v>petani</v>
      </c>
      <c r="D923" s="40" t="str">
        <f>IFERROR(__xludf.DUMMYFUNCTION("TEXTJOIN("", "",TRUE,UNIQUE(FILTER('Data Master'!$D$2:$D1887,'Data Master'!$C$2:$C1887=A923)))"),"")</f>
        <v/>
      </c>
    </row>
    <row r="924" hidden="1">
      <c r="C924" s="40" t="str">
        <f>IFERROR(__xludf.DUMMYFUNCTION("TEXTJOIN("", "",TRUE,UNIQUE(FILTER('Data Master'!$B$2:$B1887,'Data Master'!$C$2:$C1887=A924)))"),"petani")</f>
        <v>petani</v>
      </c>
      <c r="D924" s="40" t="str">
        <f>IFERROR(__xludf.DUMMYFUNCTION("TEXTJOIN("", "",TRUE,UNIQUE(FILTER('Data Master'!$D$2:$D1887,'Data Master'!$C$2:$C1887=A924)))"),"")</f>
        <v/>
      </c>
    </row>
    <row r="925" hidden="1">
      <c r="C925" s="40" t="str">
        <f>IFERROR(__xludf.DUMMYFUNCTION("TEXTJOIN("", "",TRUE,UNIQUE(FILTER('Data Master'!$B$2:$B1887,'Data Master'!$C$2:$C1887=A925)))"),"petani")</f>
        <v>petani</v>
      </c>
      <c r="D925" s="40" t="str">
        <f>IFERROR(__xludf.DUMMYFUNCTION("TEXTJOIN("", "",TRUE,UNIQUE(FILTER('Data Master'!$D$2:$D1887,'Data Master'!$C$2:$C1887=A925)))"),"")</f>
        <v/>
      </c>
    </row>
    <row r="926" hidden="1">
      <c r="C926" s="40" t="str">
        <f>IFERROR(__xludf.DUMMYFUNCTION("TEXTJOIN("", "",TRUE,UNIQUE(FILTER('Data Master'!$B$2:$B1887,'Data Master'!$C$2:$C1887=A926)))"),"petani")</f>
        <v>petani</v>
      </c>
      <c r="D926" s="40" t="str">
        <f>IFERROR(__xludf.DUMMYFUNCTION("TEXTJOIN("", "",TRUE,UNIQUE(FILTER('Data Master'!$D$2:$D1887,'Data Master'!$C$2:$C1887=A926)))"),"")</f>
        <v/>
      </c>
    </row>
    <row r="927" hidden="1">
      <c r="C927" s="40" t="str">
        <f>IFERROR(__xludf.DUMMYFUNCTION("TEXTJOIN("", "",TRUE,UNIQUE(FILTER('Data Master'!$B$2:$B1887,'Data Master'!$C$2:$C1887=A927)))"),"petani")</f>
        <v>petani</v>
      </c>
      <c r="D927" s="40" t="str">
        <f>IFERROR(__xludf.DUMMYFUNCTION("TEXTJOIN("", "",TRUE,UNIQUE(FILTER('Data Master'!$D$2:$D1887,'Data Master'!$C$2:$C1887=A927)))"),"")</f>
        <v/>
      </c>
    </row>
    <row r="928" hidden="1">
      <c r="C928" s="40" t="str">
        <f>IFERROR(__xludf.DUMMYFUNCTION("TEXTJOIN("", "",TRUE,UNIQUE(FILTER('Data Master'!$B$2:$B1887,'Data Master'!$C$2:$C1887=A928)))"),"petani")</f>
        <v>petani</v>
      </c>
      <c r="D928" s="40" t="str">
        <f>IFERROR(__xludf.DUMMYFUNCTION("TEXTJOIN("", "",TRUE,UNIQUE(FILTER('Data Master'!$D$2:$D1887,'Data Master'!$C$2:$C1887=A928)))"),"")</f>
        <v/>
      </c>
    </row>
    <row r="929" hidden="1">
      <c r="C929" s="40" t="str">
        <f>IFERROR(__xludf.DUMMYFUNCTION("TEXTJOIN("", "",TRUE,UNIQUE(FILTER('Data Master'!$B$2:$B1887,'Data Master'!$C$2:$C1887=A929)))"),"petani")</f>
        <v>petani</v>
      </c>
      <c r="D929" s="40" t="str">
        <f>IFERROR(__xludf.DUMMYFUNCTION("TEXTJOIN("", "",TRUE,UNIQUE(FILTER('Data Master'!$D$2:$D1887,'Data Master'!$C$2:$C1887=A929)))"),"")</f>
        <v/>
      </c>
    </row>
    <row r="930" hidden="1">
      <c r="C930" s="40" t="str">
        <f>IFERROR(__xludf.DUMMYFUNCTION("TEXTJOIN("", "",TRUE,UNIQUE(FILTER('Data Master'!$B$2:$B1887,'Data Master'!$C$2:$C1887=A930)))"),"petani")</f>
        <v>petani</v>
      </c>
      <c r="D930" s="40" t="str">
        <f>IFERROR(__xludf.DUMMYFUNCTION("TEXTJOIN("", "",TRUE,UNIQUE(FILTER('Data Master'!$D$2:$D1887,'Data Master'!$C$2:$C1887=A930)))"),"")</f>
        <v/>
      </c>
    </row>
    <row r="931" hidden="1">
      <c r="C931" s="40" t="str">
        <f>IFERROR(__xludf.DUMMYFUNCTION("TEXTJOIN("", "",TRUE,UNIQUE(FILTER('Data Master'!$B$2:$B1887,'Data Master'!$C$2:$C1887=A931)))"),"petani")</f>
        <v>petani</v>
      </c>
      <c r="D931" s="40" t="str">
        <f>IFERROR(__xludf.DUMMYFUNCTION("TEXTJOIN("", "",TRUE,UNIQUE(FILTER('Data Master'!$D$2:$D1887,'Data Master'!$C$2:$C1887=A931)))"),"")</f>
        <v/>
      </c>
    </row>
    <row r="932" hidden="1">
      <c r="C932" s="40" t="str">
        <f>IFERROR(__xludf.DUMMYFUNCTION("TEXTJOIN("", "",TRUE,UNIQUE(FILTER('Data Master'!$B$2:$B1887,'Data Master'!$C$2:$C1887=A932)))"),"petani")</f>
        <v>petani</v>
      </c>
      <c r="D932" s="40" t="str">
        <f>IFERROR(__xludf.DUMMYFUNCTION("TEXTJOIN("", "",TRUE,UNIQUE(FILTER('Data Master'!$D$2:$D1887,'Data Master'!$C$2:$C1887=A932)))"),"")</f>
        <v/>
      </c>
    </row>
    <row r="933" hidden="1">
      <c r="C933" s="40" t="str">
        <f>IFERROR(__xludf.DUMMYFUNCTION("TEXTJOIN("", "",TRUE,UNIQUE(FILTER('Data Master'!$B$2:$B1887,'Data Master'!$C$2:$C1887=A933)))"),"petani")</f>
        <v>petani</v>
      </c>
      <c r="D933" s="40" t="str">
        <f>IFERROR(__xludf.DUMMYFUNCTION("TEXTJOIN("", "",TRUE,UNIQUE(FILTER('Data Master'!$D$2:$D1887,'Data Master'!$C$2:$C1887=A933)))"),"")</f>
        <v/>
      </c>
    </row>
    <row r="934" hidden="1">
      <c r="C934" s="40" t="str">
        <f>IFERROR(__xludf.DUMMYFUNCTION("TEXTJOIN("", "",TRUE,UNIQUE(FILTER('Data Master'!$B$2:$B1887,'Data Master'!$C$2:$C1887=A934)))"),"petani")</f>
        <v>petani</v>
      </c>
      <c r="D934" s="40" t="str">
        <f>IFERROR(__xludf.DUMMYFUNCTION("TEXTJOIN("", "",TRUE,UNIQUE(FILTER('Data Master'!$D$2:$D1887,'Data Master'!$C$2:$C1887=A934)))"),"")</f>
        <v/>
      </c>
    </row>
    <row r="935" hidden="1">
      <c r="C935" s="40" t="str">
        <f>IFERROR(__xludf.DUMMYFUNCTION("TEXTJOIN("", "",TRUE,UNIQUE(FILTER('Data Master'!$B$2:$B1887,'Data Master'!$C$2:$C1887=A935)))"),"petani")</f>
        <v>petani</v>
      </c>
      <c r="D935" s="40" t="str">
        <f>IFERROR(__xludf.DUMMYFUNCTION("TEXTJOIN("", "",TRUE,UNIQUE(FILTER('Data Master'!$D$2:$D1887,'Data Master'!$C$2:$C1887=A935)))"),"")</f>
        <v/>
      </c>
    </row>
    <row r="936" hidden="1">
      <c r="C936" s="40" t="str">
        <f>IFERROR(__xludf.DUMMYFUNCTION("TEXTJOIN("", "",TRUE,UNIQUE(FILTER('Data Master'!$B$2:$B1887,'Data Master'!$C$2:$C1887=A936)))"),"petani")</f>
        <v>petani</v>
      </c>
      <c r="D936" s="40" t="str">
        <f>IFERROR(__xludf.DUMMYFUNCTION("TEXTJOIN("", "",TRUE,UNIQUE(FILTER('Data Master'!$D$2:$D1887,'Data Master'!$C$2:$C1887=A936)))"),"")</f>
        <v/>
      </c>
    </row>
    <row r="937" hidden="1">
      <c r="C937" s="40" t="str">
        <f>IFERROR(__xludf.DUMMYFUNCTION("TEXTJOIN("", "",TRUE,UNIQUE(FILTER('Data Master'!$B$2:$B1887,'Data Master'!$C$2:$C1887=A937)))"),"petani")</f>
        <v>petani</v>
      </c>
      <c r="D937" s="40" t="str">
        <f>IFERROR(__xludf.DUMMYFUNCTION("TEXTJOIN("", "",TRUE,UNIQUE(FILTER('Data Master'!$D$2:$D1887,'Data Master'!$C$2:$C1887=A937)))"),"")</f>
        <v/>
      </c>
    </row>
    <row r="938" hidden="1">
      <c r="C938" s="40" t="str">
        <f>IFERROR(__xludf.DUMMYFUNCTION("TEXTJOIN("", "",TRUE,UNIQUE(FILTER('Data Master'!$B$2:$B1887,'Data Master'!$C$2:$C1887=A938)))"),"petani")</f>
        <v>petani</v>
      </c>
      <c r="D938" s="40" t="str">
        <f>IFERROR(__xludf.DUMMYFUNCTION("TEXTJOIN("", "",TRUE,UNIQUE(FILTER('Data Master'!$D$2:$D1887,'Data Master'!$C$2:$C1887=A938)))"),"")</f>
        <v/>
      </c>
    </row>
    <row r="939" hidden="1">
      <c r="C939" s="40" t="str">
        <f>IFERROR(__xludf.DUMMYFUNCTION("TEXTJOIN("", "",TRUE,UNIQUE(FILTER('Data Master'!$B$2:$B1887,'Data Master'!$C$2:$C1887=A939)))"),"petani")</f>
        <v>petani</v>
      </c>
      <c r="D939" s="40" t="str">
        <f>IFERROR(__xludf.DUMMYFUNCTION("TEXTJOIN("", "",TRUE,UNIQUE(FILTER('Data Master'!$D$2:$D1887,'Data Master'!$C$2:$C1887=A939)))"),"")</f>
        <v/>
      </c>
    </row>
    <row r="940" hidden="1">
      <c r="C940" s="40" t="str">
        <f>IFERROR(__xludf.DUMMYFUNCTION("TEXTJOIN("", "",TRUE,UNIQUE(FILTER('Data Master'!$B$2:$B1887,'Data Master'!$C$2:$C1887=A940)))"),"petani")</f>
        <v>petani</v>
      </c>
      <c r="D940" s="40" t="str">
        <f>IFERROR(__xludf.DUMMYFUNCTION("TEXTJOIN("", "",TRUE,UNIQUE(FILTER('Data Master'!$D$2:$D1887,'Data Master'!$C$2:$C1887=A940)))"),"")</f>
        <v/>
      </c>
    </row>
    <row r="941" hidden="1">
      <c r="C941" s="40" t="str">
        <f>IFERROR(__xludf.DUMMYFUNCTION("TEXTJOIN("", "",TRUE,UNIQUE(FILTER('Data Master'!$B$2:$B1887,'Data Master'!$C$2:$C1887=A941)))"),"petani")</f>
        <v>petani</v>
      </c>
      <c r="D941" s="40" t="str">
        <f>IFERROR(__xludf.DUMMYFUNCTION("TEXTJOIN("", "",TRUE,UNIQUE(FILTER('Data Master'!$D$2:$D1887,'Data Master'!$C$2:$C1887=A941)))"),"")</f>
        <v/>
      </c>
    </row>
    <row r="942" hidden="1">
      <c r="C942" s="40" t="str">
        <f>IFERROR(__xludf.DUMMYFUNCTION("TEXTJOIN("", "",TRUE,UNIQUE(FILTER('Data Master'!$B$2:$B1887,'Data Master'!$C$2:$C1887=A942)))"),"petani")</f>
        <v>petani</v>
      </c>
      <c r="D942" s="40" t="str">
        <f>IFERROR(__xludf.DUMMYFUNCTION("TEXTJOIN("", "",TRUE,UNIQUE(FILTER('Data Master'!$D$2:$D1887,'Data Master'!$C$2:$C1887=A942)))"),"")</f>
        <v/>
      </c>
    </row>
    <row r="943" hidden="1">
      <c r="C943" s="40" t="str">
        <f>IFERROR(__xludf.DUMMYFUNCTION("TEXTJOIN("", "",TRUE,UNIQUE(FILTER('Data Master'!$B$2:$B1887,'Data Master'!$C$2:$C1887=A943)))"),"petani")</f>
        <v>petani</v>
      </c>
      <c r="D943" s="40" t="str">
        <f>IFERROR(__xludf.DUMMYFUNCTION("TEXTJOIN("", "",TRUE,UNIQUE(FILTER('Data Master'!$D$2:$D1887,'Data Master'!$C$2:$C1887=A943)))"),"")</f>
        <v/>
      </c>
    </row>
    <row r="944" hidden="1">
      <c r="C944" s="40" t="str">
        <f>IFERROR(__xludf.DUMMYFUNCTION("TEXTJOIN("", "",TRUE,UNIQUE(FILTER('Data Master'!$B$2:$B1887,'Data Master'!$C$2:$C1887=A944)))"),"petani")</f>
        <v>petani</v>
      </c>
      <c r="D944" s="40" t="str">
        <f>IFERROR(__xludf.DUMMYFUNCTION("TEXTJOIN("", "",TRUE,UNIQUE(FILTER('Data Master'!$D$2:$D1887,'Data Master'!$C$2:$C1887=A944)))"),"")</f>
        <v/>
      </c>
    </row>
    <row r="945" hidden="1">
      <c r="C945" s="40" t="str">
        <f>IFERROR(__xludf.DUMMYFUNCTION("TEXTJOIN("", "",TRUE,UNIQUE(FILTER('Data Master'!$B$2:$B1887,'Data Master'!$C$2:$C1887=A945)))"),"petani")</f>
        <v>petani</v>
      </c>
      <c r="D945" s="40" t="str">
        <f>IFERROR(__xludf.DUMMYFUNCTION("TEXTJOIN("", "",TRUE,UNIQUE(FILTER('Data Master'!$D$2:$D1887,'Data Master'!$C$2:$C1887=A945)))"),"")</f>
        <v/>
      </c>
    </row>
    <row r="946" hidden="1">
      <c r="C946" s="40" t="str">
        <f>IFERROR(__xludf.DUMMYFUNCTION("TEXTJOIN("", "",TRUE,UNIQUE(FILTER('Data Master'!$B$2:$B1887,'Data Master'!$C$2:$C1887=A946)))"),"petani")</f>
        <v>petani</v>
      </c>
      <c r="D946" s="40" t="str">
        <f>IFERROR(__xludf.DUMMYFUNCTION("TEXTJOIN("", "",TRUE,UNIQUE(FILTER('Data Master'!$D$2:$D1887,'Data Master'!$C$2:$C1887=A946)))"),"")</f>
        <v/>
      </c>
    </row>
    <row r="947" hidden="1">
      <c r="C947" s="40" t="str">
        <f>IFERROR(__xludf.DUMMYFUNCTION("TEXTJOIN("", "",TRUE,UNIQUE(FILTER('Data Master'!$B$2:$B1887,'Data Master'!$C$2:$C1887=A947)))"),"petani")</f>
        <v>petani</v>
      </c>
      <c r="D947" s="40" t="str">
        <f>IFERROR(__xludf.DUMMYFUNCTION("TEXTJOIN("", "",TRUE,UNIQUE(FILTER('Data Master'!$D$2:$D1887,'Data Master'!$C$2:$C1887=A947)))"),"")</f>
        <v/>
      </c>
    </row>
    <row r="948" hidden="1">
      <c r="C948" s="40" t="str">
        <f>IFERROR(__xludf.DUMMYFUNCTION("TEXTJOIN("", "",TRUE,UNIQUE(FILTER('Data Master'!$B$2:$B1887,'Data Master'!$C$2:$C1887=A948)))"),"petani")</f>
        <v>petani</v>
      </c>
      <c r="D948" s="40" t="str">
        <f>IFERROR(__xludf.DUMMYFUNCTION("TEXTJOIN("", "",TRUE,UNIQUE(FILTER('Data Master'!$D$2:$D1887,'Data Master'!$C$2:$C1887=A948)))"),"")</f>
        <v/>
      </c>
    </row>
    <row r="949" hidden="1">
      <c r="C949" s="40" t="str">
        <f>IFERROR(__xludf.DUMMYFUNCTION("TEXTJOIN("", "",TRUE,UNIQUE(FILTER('Data Master'!$B$2:$B1887,'Data Master'!$C$2:$C1887=A949)))"),"petani")</f>
        <v>petani</v>
      </c>
      <c r="D949" s="40" t="str">
        <f>IFERROR(__xludf.DUMMYFUNCTION("TEXTJOIN("", "",TRUE,UNIQUE(FILTER('Data Master'!$D$2:$D1887,'Data Master'!$C$2:$C1887=A949)))"),"")</f>
        <v/>
      </c>
    </row>
    <row r="950" hidden="1">
      <c r="C950" s="40" t="str">
        <f>IFERROR(__xludf.DUMMYFUNCTION("TEXTJOIN("", "",TRUE,UNIQUE(FILTER('Data Master'!$B$2:$B1887,'Data Master'!$C$2:$C1887=A950)))"),"petani")</f>
        <v>petani</v>
      </c>
      <c r="D950" s="40" t="str">
        <f>IFERROR(__xludf.DUMMYFUNCTION("TEXTJOIN("", "",TRUE,UNIQUE(FILTER('Data Master'!$D$2:$D1887,'Data Master'!$C$2:$C1887=A950)))"),"")</f>
        <v/>
      </c>
    </row>
    <row r="951" hidden="1">
      <c r="C951" s="40" t="str">
        <f>IFERROR(__xludf.DUMMYFUNCTION("TEXTJOIN("", "",TRUE,UNIQUE(FILTER('Data Master'!$B$2:$B1887,'Data Master'!$C$2:$C1887=A951)))"),"petani")</f>
        <v>petani</v>
      </c>
      <c r="D951" s="40" t="str">
        <f>IFERROR(__xludf.DUMMYFUNCTION("TEXTJOIN("", "",TRUE,UNIQUE(FILTER('Data Master'!$D$2:$D1887,'Data Master'!$C$2:$C1887=A951)))"),"")</f>
        <v/>
      </c>
    </row>
    <row r="952" hidden="1">
      <c r="C952" s="40" t="str">
        <f>IFERROR(__xludf.DUMMYFUNCTION("TEXTJOIN("", "",TRUE,UNIQUE(FILTER('Data Master'!$B$2:$B1887,'Data Master'!$C$2:$C1887=A952)))"),"petani")</f>
        <v>petani</v>
      </c>
      <c r="D952" s="40" t="str">
        <f>IFERROR(__xludf.DUMMYFUNCTION("TEXTJOIN("", "",TRUE,UNIQUE(FILTER('Data Master'!$D$2:$D1887,'Data Master'!$C$2:$C1887=A952)))"),"")</f>
        <v/>
      </c>
    </row>
    <row r="953" hidden="1">
      <c r="C953" s="40" t="str">
        <f>IFERROR(__xludf.DUMMYFUNCTION("TEXTJOIN("", "",TRUE,UNIQUE(FILTER('Data Master'!$B$2:$B1887,'Data Master'!$C$2:$C1887=A953)))"),"petani")</f>
        <v>petani</v>
      </c>
      <c r="D953" s="40" t="str">
        <f>IFERROR(__xludf.DUMMYFUNCTION("TEXTJOIN("", "",TRUE,UNIQUE(FILTER('Data Master'!$D$2:$D1887,'Data Master'!$C$2:$C1887=A953)))"),"")</f>
        <v/>
      </c>
    </row>
    <row r="954" hidden="1">
      <c r="C954" s="40" t="str">
        <f>IFERROR(__xludf.DUMMYFUNCTION("TEXTJOIN("", "",TRUE,UNIQUE(FILTER('Data Master'!$B$2:$B1887,'Data Master'!$C$2:$C1887=A954)))"),"petani")</f>
        <v>petani</v>
      </c>
      <c r="D954" s="40" t="str">
        <f>IFERROR(__xludf.DUMMYFUNCTION("TEXTJOIN("", "",TRUE,UNIQUE(FILTER('Data Master'!$D$2:$D1887,'Data Master'!$C$2:$C1887=A954)))"),"")</f>
        <v/>
      </c>
    </row>
    <row r="955" hidden="1">
      <c r="C955" s="40" t="str">
        <f>IFERROR(__xludf.DUMMYFUNCTION("TEXTJOIN("", "",TRUE,UNIQUE(FILTER('Data Master'!$B$2:$B1887,'Data Master'!$C$2:$C1887=A955)))"),"petani")</f>
        <v>petani</v>
      </c>
      <c r="D955" s="40" t="str">
        <f>IFERROR(__xludf.DUMMYFUNCTION("TEXTJOIN("", "",TRUE,UNIQUE(FILTER('Data Master'!$D$2:$D1887,'Data Master'!$C$2:$C1887=A955)))"),"")</f>
        <v/>
      </c>
    </row>
    <row r="956" hidden="1">
      <c r="C956" s="40" t="str">
        <f>IFERROR(__xludf.DUMMYFUNCTION("TEXTJOIN("", "",TRUE,UNIQUE(FILTER('Data Master'!$B$2:$B1887,'Data Master'!$C$2:$C1887=A956)))"),"petani")</f>
        <v>petani</v>
      </c>
      <c r="D956" s="40" t="str">
        <f>IFERROR(__xludf.DUMMYFUNCTION("TEXTJOIN("", "",TRUE,UNIQUE(FILTER('Data Master'!$D$2:$D1887,'Data Master'!$C$2:$C1887=A956)))"),"")</f>
        <v/>
      </c>
    </row>
    <row r="957" hidden="1">
      <c r="C957" s="40" t="str">
        <f>IFERROR(__xludf.DUMMYFUNCTION("TEXTJOIN("", "",TRUE,UNIQUE(FILTER('Data Master'!$B$2:$B1887,'Data Master'!$C$2:$C1887=A957)))"),"petani")</f>
        <v>petani</v>
      </c>
      <c r="D957" s="40" t="str">
        <f>IFERROR(__xludf.DUMMYFUNCTION("TEXTJOIN("", "",TRUE,UNIQUE(FILTER('Data Master'!$D$2:$D1887,'Data Master'!$C$2:$C1887=A957)))"),"")</f>
        <v/>
      </c>
    </row>
    <row r="958" hidden="1">
      <c r="C958" s="40" t="str">
        <f>IFERROR(__xludf.DUMMYFUNCTION("TEXTJOIN("", "",TRUE,UNIQUE(FILTER('Data Master'!$B$2:$B1887,'Data Master'!$C$2:$C1887=A958)))"),"petani")</f>
        <v>petani</v>
      </c>
      <c r="D958" s="40" t="str">
        <f>IFERROR(__xludf.DUMMYFUNCTION("TEXTJOIN("", "",TRUE,UNIQUE(FILTER('Data Master'!$D$2:$D1887,'Data Master'!$C$2:$C1887=A958)))"),"")</f>
        <v/>
      </c>
    </row>
    <row r="959" hidden="1">
      <c r="C959" s="40" t="str">
        <f>IFERROR(__xludf.DUMMYFUNCTION("TEXTJOIN("", "",TRUE,UNIQUE(FILTER('Data Master'!$B$2:$B1887,'Data Master'!$C$2:$C1887=A959)))"),"penyuluh")</f>
        <v>penyuluh</v>
      </c>
      <c r="D959" s="40" t="str">
        <f>IFERROR(__xludf.DUMMYFUNCTION("TEXTJOIN("", "",TRUE,UNIQUE(FILTER('Data Master'!$D$2:$D1887,'Data Master'!$C$2:$C1887=A959)))"),"")</f>
        <v/>
      </c>
    </row>
    <row r="960" hidden="1">
      <c r="C960" s="40" t="str">
        <f>IFERROR(__xludf.DUMMYFUNCTION("TEXTJOIN("", "",TRUE,UNIQUE(FILTER('Data Master'!$B$2:$B1887,'Data Master'!$C$2:$C1887=A960)))"),"petani")</f>
        <v>petani</v>
      </c>
      <c r="D960" s="40" t="str">
        <f>IFERROR(__xludf.DUMMYFUNCTION("TEXTJOIN("", "",TRUE,UNIQUE(FILTER('Data Master'!$D$2:$D1887,'Data Master'!$C$2:$C1887=A960)))"),"")</f>
        <v/>
      </c>
    </row>
    <row r="961" hidden="1">
      <c r="C961" s="40" t="str">
        <f>IFERROR(__xludf.DUMMYFUNCTION("TEXTJOIN("", "",TRUE,UNIQUE(FILTER('Data Master'!$B$2:$B1887,'Data Master'!$C$2:$C1887=A961)))"),"petani")</f>
        <v>petani</v>
      </c>
      <c r="D961" s="40" t="str">
        <f>IFERROR(__xludf.DUMMYFUNCTION("TEXTJOIN("", "",TRUE,UNIQUE(FILTER('Data Master'!$D$2:$D1887,'Data Master'!$C$2:$C1887=A961)))"),"")</f>
        <v/>
      </c>
    </row>
    <row r="962" hidden="1">
      <c r="C962" s="40" t="str">
        <f>IFERROR(__xludf.DUMMYFUNCTION("TEXTJOIN("", "",TRUE,UNIQUE(FILTER('Data Master'!$B$2:$B1887,'Data Master'!$C$2:$C1887=A962)))"),"petani")</f>
        <v>petani</v>
      </c>
      <c r="D962" s="40" t="str">
        <f>IFERROR(__xludf.DUMMYFUNCTION("TEXTJOIN("", "",TRUE,UNIQUE(FILTER('Data Master'!$D$2:$D1887,'Data Master'!$C$2:$C1887=A962)))"),"")</f>
        <v/>
      </c>
    </row>
    <row r="963" hidden="1">
      <c r="C963" s="40" t="str">
        <f>IFERROR(__xludf.DUMMYFUNCTION("TEXTJOIN("", "",TRUE,UNIQUE(FILTER('Data Master'!$B$2:$B1887,'Data Master'!$C$2:$C1887=A963)))"),"petani")</f>
        <v>petani</v>
      </c>
      <c r="D963" s="40" t="str">
        <f>IFERROR(__xludf.DUMMYFUNCTION("TEXTJOIN("", "",TRUE,UNIQUE(FILTER('Data Master'!$D$2:$D1887,'Data Master'!$C$2:$C1887=A963)))"),"")</f>
        <v/>
      </c>
    </row>
    <row r="964" hidden="1">
      <c r="C964" s="40" t="str">
        <f>IFERROR(__xludf.DUMMYFUNCTION("TEXTJOIN("", "",TRUE,UNIQUE(FILTER('Data Master'!$B$2:$B1887,'Data Master'!$C$2:$C1887=A964)))"),"petani")</f>
        <v>petani</v>
      </c>
      <c r="D964" s="40" t="str">
        <f>IFERROR(__xludf.DUMMYFUNCTION("TEXTJOIN("", "",TRUE,UNIQUE(FILTER('Data Master'!$D$2:$D1887,'Data Master'!$C$2:$C1887=A964)))"),"")</f>
        <v/>
      </c>
    </row>
    <row r="965" hidden="1">
      <c r="C965" s="40" t="str">
        <f>IFERROR(__xludf.DUMMYFUNCTION("TEXTJOIN("", "",TRUE,UNIQUE(FILTER('Data Master'!$B$2:$B1887,'Data Master'!$C$2:$C1887=A965)))"),"petani")</f>
        <v>petani</v>
      </c>
      <c r="D965" s="40" t="str">
        <f>IFERROR(__xludf.DUMMYFUNCTION("TEXTJOIN("", "",TRUE,UNIQUE(FILTER('Data Master'!$D$2:$D1887,'Data Master'!$C$2:$C1887=A965)))"),"")</f>
        <v/>
      </c>
    </row>
    <row r="966" hidden="1">
      <c r="C966" s="40" t="str">
        <f>IFERROR(__xludf.DUMMYFUNCTION("TEXTJOIN("", "",TRUE,UNIQUE(FILTER('Data Master'!$B$2:$B1887,'Data Master'!$C$2:$C1887=A966)))"),"petani")</f>
        <v>petani</v>
      </c>
      <c r="D966" s="40" t="str">
        <f>IFERROR(__xludf.DUMMYFUNCTION("TEXTJOIN("", "",TRUE,UNIQUE(FILTER('Data Master'!$D$2:$D1887,'Data Master'!$C$2:$C1887=A966)))"),"")</f>
        <v/>
      </c>
    </row>
    <row r="967" hidden="1">
      <c r="C967" s="40" t="str">
        <f>IFERROR(__xludf.DUMMYFUNCTION("TEXTJOIN("", "",TRUE,UNIQUE(FILTER('Data Master'!$B$2:$B1887,'Data Master'!$C$2:$C1887=A967)))"),"petani")</f>
        <v>petani</v>
      </c>
      <c r="D967" s="40" t="str">
        <f>IFERROR(__xludf.DUMMYFUNCTION("TEXTJOIN("", "",TRUE,UNIQUE(FILTER('Data Master'!$D$2:$D1887,'Data Master'!$C$2:$C1887=A967)))"),"")</f>
        <v/>
      </c>
    </row>
    <row r="968" hidden="1">
      <c r="C968" s="40" t="str">
        <f>IFERROR(__xludf.DUMMYFUNCTION("TEXTJOIN("", "",TRUE,UNIQUE(FILTER('Data Master'!$B$2:$B1887,'Data Master'!$C$2:$C1887=A968)))"),"petani")</f>
        <v>petani</v>
      </c>
      <c r="D968" s="40" t="str">
        <f>IFERROR(__xludf.DUMMYFUNCTION("TEXTJOIN("", "",TRUE,UNIQUE(FILTER('Data Master'!$D$2:$D1887,'Data Master'!$C$2:$C1887=A968)))"),"")</f>
        <v/>
      </c>
    </row>
    <row r="969" hidden="1">
      <c r="C969" s="40" t="str">
        <f>IFERROR(__xludf.DUMMYFUNCTION("TEXTJOIN("", "",TRUE,UNIQUE(FILTER('Data Master'!$B$2:$B1887,'Data Master'!$C$2:$C1887=A969)))"),"petani")</f>
        <v>petani</v>
      </c>
      <c r="D969" s="40" t="str">
        <f>IFERROR(__xludf.DUMMYFUNCTION("TEXTJOIN("", "",TRUE,UNIQUE(FILTER('Data Master'!$D$2:$D1887,'Data Master'!$C$2:$C1887=A969)))"),"")</f>
        <v/>
      </c>
    </row>
    <row r="970" hidden="1">
      <c r="C970" s="40" t="str">
        <f>IFERROR(__xludf.DUMMYFUNCTION("TEXTJOIN("", "",TRUE,UNIQUE(FILTER('Data Master'!$B$2:$B1887,'Data Master'!$C$2:$C1887=A970)))"),"petani")</f>
        <v>petani</v>
      </c>
      <c r="D970" s="40" t="str">
        <f>IFERROR(__xludf.DUMMYFUNCTION("TEXTJOIN("", "",TRUE,UNIQUE(FILTER('Data Master'!$D$2:$D1887,'Data Master'!$C$2:$C1887=A970)))"),"")</f>
        <v/>
      </c>
    </row>
    <row r="971" hidden="1">
      <c r="C971" s="40" t="str">
        <f>IFERROR(__xludf.DUMMYFUNCTION("TEXTJOIN("", "",TRUE,UNIQUE(FILTER('Data Master'!$B$2:$B1887,'Data Master'!$C$2:$C1887=A971)))"),"petani")</f>
        <v>petani</v>
      </c>
      <c r="D971" s="40" t="str">
        <f>IFERROR(__xludf.DUMMYFUNCTION("TEXTJOIN("", "",TRUE,UNIQUE(FILTER('Data Master'!$D$2:$D1887,'Data Master'!$C$2:$C1887=A971)))"),"")</f>
        <v/>
      </c>
    </row>
    <row r="972" hidden="1">
      <c r="C972" s="40" t="str">
        <f>IFERROR(__xludf.DUMMYFUNCTION("TEXTJOIN("", "",TRUE,UNIQUE(FILTER('Data Master'!$B$2:$B1887,'Data Master'!$C$2:$C1887=A972)))"),"petani")</f>
        <v>petani</v>
      </c>
      <c r="D972" s="40" t="str">
        <f>IFERROR(__xludf.DUMMYFUNCTION("TEXTJOIN("", "",TRUE,UNIQUE(FILTER('Data Master'!$D$2:$D1887,'Data Master'!$C$2:$C1887=A972)))"),"")</f>
        <v/>
      </c>
    </row>
    <row r="973" hidden="1">
      <c r="C973" s="40" t="str">
        <f>IFERROR(__xludf.DUMMYFUNCTION("TEXTJOIN("", "",TRUE,UNIQUE(FILTER('Data Master'!$B$2:$B1887,'Data Master'!$C$2:$C1887=A973)))"),"petani")</f>
        <v>petani</v>
      </c>
      <c r="D973" s="40" t="str">
        <f>IFERROR(__xludf.DUMMYFUNCTION("TEXTJOIN("", "",TRUE,UNIQUE(FILTER('Data Master'!$D$2:$D1887,'Data Master'!$C$2:$C1887=A973)))"),"")</f>
        <v/>
      </c>
    </row>
    <row r="974" hidden="1">
      <c r="C974" s="40" t="str">
        <f>IFERROR(__xludf.DUMMYFUNCTION("TEXTJOIN("", "",TRUE,UNIQUE(FILTER('Data Master'!$B$2:$B1887,'Data Master'!$C$2:$C1887=A974)))"),"petani")</f>
        <v>petani</v>
      </c>
      <c r="D974" s="40" t="str">
        <f>IFERROR(__xludf.DUMMYFUNCTION("TEXTJOIN("", "",TRUE,UNIQUE(FILTER('Data Master'!$D$2:$D1887,'Data Master'!$C$2:$C1887=A974)))"),"")</f>
        <v/>
      </c>
    </row>
    <row r="975" hidden="1">
      <c r="C975" s="40" t="str">
        <f>IFERROR(__xludf.DUMMYFUNCTION("TEXTJOIN("", "",TRUE,UNIQUE(FILTER('Data Master'!$B$2:$B1887,'Data Master'!$C$2:$C1887=A975)))"),"petani")</f>
        <v>petani</v>
      </c>
      <c r="D975" s="40" t="str">
        <f>IFERROR(__xludf.DUMMYFUNCTION("TEXTJOIN("", "",TRUE,UNIQUE(FILTER('Data Master'!$D$2:$D1887,'Data Master'!$C$2:$C1887=A975)))"),"")</f>
        <v/>
      </c>
    </row>
    <row r="976" hidden="1">
      <c r="C976" s="40" t="str">
        <f>IFERROR(__xludf.DUMMYFUNCTION("TEXTJOIN("", "",TRUE,UNIQUE(FILTER('Data Master'!$B$2:$B1887,'Data Master'!$C$2:$C1887=A976)))"),"petani")</f>
        <v>petani</v>
      </c>
      <c r="D976" s="40" t="str">
        <f>IFERROR(__xludf.DUMMYFUNCTION("TEXTJOIN("", "",TRUE,UNIQUE(FILTER('Data Master'!$D$2:$D1887,'Data Master'!$C$2:$C1887=A976)))"),"")</f>
        <v/>
      </c>
    </row>
    <row r="977" hidden="1">
      <c r="C977" s="40" t="str">
        <f>IFERROR(__xludf.DUMMYFUNCTION("TEXTJOIN("", "",TRUE,UNIQUE(FILTER('Data Master'!$B$2:$B1887,'Data Master'!$C$2:$C1887=A977)))"),"petani")</f>
        <v>petani</v>
      </c>
      <c r="D977" s="40" t="str">
        <f>IFERROR(__xludf.DUMMYFUNCTION("TEXTJOIN("", "",TRUE,UNIQUE(FILTER('Data Master'!$D$2:$D1887,'Data Master'!$C$2:$C1887=A977)))"),"")</f>
        <v/>
      </c>
    </row>
    <row r="978" hidden="1">
      <c r="C978" s="40" t="str">
        <f>IFERROR(__xludf.DUMMYFUNCTION("TEXTJOIN("", "",TRUE,UNIQUE(FILTER('Data Master'!$B$2:$B1887,'Data Master'!$C$2:$C1887=A978)))"),"petani")</f>
        <v>petani</v>
      </c>
      <c r="D978" s="40" t="str">
        <f>IFERROR(__xludf.DUMMYFUNCTION("TEXTJOIN("", "",TRUE,UNIQUE(FILTER('Data Master'!$D$2:$D1887,'Data Master'!$C$2:$C1887=A978)))"),"")</f>
        <v/>
      </c>
    </row>
    <row r="979" hidden="1">
      <c r="C979" s="40" t="str">
        <f>IFERROR(__xludf.DUMMYFUNCTION("TEXTJOIN("", "",TRUE,UNIQUE(FILTER('Data Master'!$B$2:$B1887,'Data Master'!$C$2:$C1887=A979)))"),"petani")</f>
        <v>petani</v>
      </c>
      <c r="D979" s="40" t="str">
        <f>IFERROR(__xludf.DUMMYFUNCTION("TEXTJOIN("", "",TRUE,UNIQUE(FILTER('Data Master'!$D$2:$D1887,'Data Master'!$C$2:$C1887=A979)))"),"")</f>
        <v/>
      </c>
    </row>
    <row r="980" hidden="1">
      <c r="C980" s="40" t="str">
        <f>IFERROR(__xludf.DUMMYFUNCTION("TEXTJOIN("", "",TRUE,UNIQUE(FILTER('Data Master'!$B$2:$B1887,'Data Master'!$C$2:$C1887=A980)))"),"petani")</f>
        <v>petani</v>
      </c>
      <c r="D980" s="40" t="str">
        <f>IFERROR(__xludf.DUMMYFUNCTION("TEXTJOIN("", "",TRUE,UNIQUE(FILTER('Data Master'!$D$2:$D1887,'Data Master'!$C$2:$C1887=A980)))"),"")</f>
        <v/>
      </c>
    </row>
    <row r="981" hidden="1">
      <c r="C981" s="40" t="str">
        <f>IFERROR(__xludf.DUMMYFUNCTION("TEXTJOIN("", "",TRUE,UNIQUE(FILTER('Data Master'!$B$2:$B1887,'Data Master'!$C$2:$C1887=A981)))"),"petani")</f>
        <v>petani</v>
      </c>
      <c r="D981" s="40" t="str">
        <f>IFERROR(__xludf.DUMMYFUNCTION("TEXTJOIN("", "",TRUE,UNIQUE(FILTER('Data Master'!$D$2:$D1887,'Data Master'!$C$2:$C1887=A981)))"),"")</f>
        <v/>
      </c>
    </row>
    <row r="982" hidden="1">
      <c r="C982" s="40" t="str">
        <f>IFERROR(__xludf.DUMMYFUNCTION("TEXTJOIN("", "",TRUE,UNIQUE(FILTER('Data Master'!$B$2:$B1887,'Data Master'!$C$2:$C1887=A982)))"),"petani")</f>
        <v>petani</v>
      </c>
      <c r="D982" s="40" t="str">
        <f>IFERROR(__xludf.DUMMYFUNCTION("TEXTJOIN("", "",TRUE,UNIQUE(FILTER('Data Master'!$D$2:$D1887,'Data Master'!$C$2:$C1887=A982)))"),"")</f>
        <v/>
      </c>
    </row>
    <row r="983" hidden="1">
      <c r="C983" s="40" t="str">
        <f>IFERROR(__xludf.DUMMYFUNCTION("TEXTJOIN("", "",TRUE,UNIQUE(FILTER('Data Master'!$B$2:$B1887,'Data Master'!$C$2:$C1887=A983)))"),"petani")</f>
        <v>petani</v>
      </c>
      <c r="D983" s="40" t="str">
        <f>IFERROR(__xludf.DUMMYFUNCTION("TEXTJOIN("", "",TRUE,UNIQUE(FILTER('Data Master'!$D$2:$D1887,'Data Master'!$C$2:$C1887=A983)))"),"")</f>
        <v/>
      </c>
    </row>
    <row r="984" hidden="1">
      <c r="C984" s="40" t="str">
        <f>IFERROR(__xludf.DUMMYFUNCTION("TEXTJOIN("", "",TRUE,UNIQUE(FILTER('Data Master'!$B$2:$B1887,'Data Master'!$C$2:$C1887=A984)))"),"petani")</f>
        <v>petani</v>
      </c>
      <c r="D984" s="40" t="str">
        <f>IFERROR(__xludf.DUMMYFUNCTION("TEXTJOIN("", "",TRUE,UNIQUE(FILTER('Data Master'!$D$2:$D1887,'Data Master'!$C$2:$C1887=A984)))"),"")</f>
        <v/>
      </c>
    </row>
    <row r="985" hidden="1">
      <c r="C985" s="40" t="str">
        <f>IFERROR(__xludf.DUMMYFUNCTION("TEXTJOIN("", "",TRUE,UNIQUE(FILTER('Data Master'!$B$2:$B1887,'Data Master'!$C$2:$C1887=A985)))"),"petani")</f>
        <v>petani</v>
      </c>
      <c r="D985" s="40" t="str">
        <f>IFERROR(__xludf.DUMMYFUNCTION("TEXTJOIN("", "",TRUE,UNIQUE(FILTER('Data Master'!$D$2:$D1887,'Data Master'!$C$2:$C1887=A985)))"),"")</f>
        <v/>
      </c>
    </row>
    <row r="986" hidden="1">
      <c r="C986" s="40" t="str">
        <f>IFERROR(__xludf.DUMMYFUNCTION("TEXTJOIN("", "",TRUE,UNIQUE(FILTER('Data Master'!$B$2:$B1887,'Data Master'!$C$2:$C1887=A986)))"),"petani")</f>
        <v>petani</v>
      </c>
      <c r="D986" s="40" t="str">
        <f>IFERROR(__xludf.DUMMYFUNCTION("TEXTJOIN("", "",TRUE,UNIQUE(FILTER('Data Master'!$D$2:$D1887,'Data Master'!$C$2:$C1887=A986)))"),"")</f>
        <v/>
      </c>
    </row>
    <row r="987" hidden="1">
      <c r="C987" s="40" t="str">
        <f>IFERROR(__xludf.DUMMYFUNCTION("TEXTJOIN("", "",TRUE,UNIQUE(FILTER('Data Master'!$B$2:$B1887,'Data Master'!$C$2:$C1887=A987)))"),"petani")</f>
        <v>petani</v>
      </c>
      <c r="D987" s="40" t="str">
        <f>IFERROR(__xludf.DUMMYFUNCTION("TEXTJOIN("", "",TRUE,UNIQUE(FILTER('Data Master'!$D$2:$D1887,'Data Master'!$C$2:$C1887=A987)))"),"")</f>
        <v/>
      </c>
    </row>
    <row r="988" hidden="1">
      <c r="C988" s="40" t="str">
        <f>IFERROR(__xludf.DUMMYFUNCTION("TEXTJOIN("", "",TRUE,UNIQUE(FILTER('Data Master'!$B$2:$B1887,'Data Master'!$C$2:$C1887=A988)))"),"petani")</f>
        <v>petani</v>
      </c>
      <c r="D988" s="40" t="str">
        <f>IFERROR(__xludf.DUMMYFUNCTION("TEXTJOIN("", "",TRUE,UNIQUE(FILTER('Data Master'!$D$2:$D1887,'Data Master'!$C$2:$C1887=A988)))"),"")</f>
        <v/>
      </c>
    </row>
    <row r="989" hidden="1">
      <c r="C989" s="40" t="str">
        <f>IFERROR(__xludf.DUMMYFUNCTION("TEXTJOIN("", "",TRUE,UNIQUE(FILTER('Data Master'!$B$2:$B1887,'Data Master'!$C$2:$C1887=A989)))"),"petani")</f>
        <v>petani</v>
      </c>
      <c r="D989" s="40" t="str">
        <f>IFERROR(__xludf.DUMMYFUNCTION("TEXTJOIN("", "",TRUE,UNIQUE(FILTER('Data Master'!$D$2:$D1887,'Data Master'!$C$2:$C1887=A989)))"),"")</f>
        <v/>
      </c>
    </row>
    <row r="990" hidden="1">
      <c r="C990" s="40" t="str">
        <f>IFERROR(__xludf.DUMMYFUNCTION("TEXTJOIN("", "",TRUE,UNIQUE(FILTER('Data Master'!$B$2:$B1887,'Data Master'!$C$2:$C1887=A990)))"),"petani")</f>
        <v>petani</v>
      </c>
      <c r="D990" s="40" t="str">
        <f>IFERROR(__xludf.DUMMYFUNCTION("TEXTJOIN("", "",TRUE,UNIQUE(FILTER('Data Master'!$D$2:$D1887,'Data Master'!$C$2:$C1887=A990)))"),"")</f>
        <v/>
      </c>
    </row>
    <row r="991" hidden="1">
      <c r="C991" s="40" t="str">
        <f>IFERROR(__xludf.DUMMYFUNCTION("TEXTJOIN("", "",TRUE,UNIQUE(FILTER('Data Master'!$B$2:$B1887,'Data Master'!$C$2:$C1887=A991)))"),"penyuluh")</f>
        <v>penyuluh</v>
      </c>
      <c r="D991" s="40" t="str">
        <f>IFERROR(__xludf.DUMMYFUNCTION("TEXTJOIN("", "",TRUE,UNIQUE(FILTER('Data Master'!$D$2:$D1887,'Data Master'!$C$2:$C1887=A991)))"),"fatqur@gmail.com")</f>
        <v>fatqur@gmail.com</v>
      </c>
    </row>
    <row r="992" hidden="1">
      <c r="C992" s="40" t="str">
        <f>IFERROR(__xludf.DUMMYFUNCTION("TEXTJOIN("", "",TRUE,UNIQUE(FILTER('Data Master'!$B$2:$B1887,'Data Master'!$C$2:$C1887=A992)))"),"penyuluh")</f>
        <v>penyuluh</v>
      </c>
      <c r="D992" s="40" t="str">
        <f>IFERROR(__xludf.DUMMYFUNCTION("TEXTJOIN("", "",TRUE,UNIQUE(FILTER('Data Master'!$D$2:$D1887,'Data Master'!$C$2:$C1887=A992)))"),"kirbanderini@gmail.com")</f>
        <v>kirbanderini@gmail.com</v>
      </c>
    </row>
    <row r="993" hidden="1">
      <c r="C993" s="40" t="str">
        <f>IFERROR(__xludf.DUMMYFUNCTION("TEXTJOIN("", "",TRUE,UNIQUE(FILTER('Data Master'!$B$2:$B1887,'Data Master'!$C$2:$C1887=A993)))"),"petani")</f>
        <v>petani</v>
      </c>
      <c r="D993" s="40" t="str">
        <f>IFERROR(__xludf.DUMMYFUNCTION("TEXTJOIN("", "",TRUE,UNIQUE(FILTER('Data Master'!$D$2:$D1887,'Data Master'!$C$2:$C1887=A993)))"),"")</f>
        <v/>
      </c>
    </row>
    <row r="994" hidden="1">
      <c r="C994" s="40" t="str">
        <f>IFERROR(__xludf.DUMMYFUNCTION("TEXTJOIN("", "",TRUE,UNIQUE(FILTER('Data Master'!$B$2:$B1887,'Data Master'!$C$2:$C1887=A994)))"),"petani")</f>
        <v>petani</v>
      </c>
      <c r="D994" s="40" t="str">
        <f>IFERROR(__xludf.DUMMYFUNCTION("TEXTJOIN("", "",TRUE,UNIQUE(FILTER('Data Master'!$D$2:$D1887,'Data Master'!$C$2:$C1887=A994)))"),"")</f>
        <v/>
      </c>
    </row>
    <row r="995" hidden="1">
      <c r="C995" s="40" t="str">
        <f>IFERROR(__xludf.DUMMYFUNCTION("TEXTJOIN("", "",TRUE,UNIQUE(FILTER('Data Master'!$B$2:$B1887,'Data Master'!$C$2:$C1887=A995)))"),"petani")</f>
        <v>petani</v>
      </c>
      <c r="D995" s="40" t="str">
        <f>IFERROR(__xludf.DUMMYFUNCTION("TEXTJOIN("", "",TRUE,UNIQUE(FILTER('Data Master'!$D$2:$D1887,'Data Master'!$C$2:$C1887=A995)))"),"")</f>
        <v/>
      </c>
    </row>
    <row r="996" hidden="1">
      <c r="C996" s="40" t="str">
        <f>IFERROR(__xludf.DUMMYFUNCTION("TEXTJOIN("", "",TRUE,UNIQUE(FILTER('Data Master'!$B$2:$B1887,'Data Master'!$C$2:$C1887=A996)))"),"petani")</f>
        <v>petani</v>
      </c>
      <c r="D996" s="40" t="str">
        <f>IFERROR(__xludf.DUMMYFUNCTION("TEXTJOIN("", "",TRUE,UNIQUE(FILTER('Data Master'!$D$2:$D1887,'Data Master'!$C$2:$C1887=A996)))"),"")</f>
        <v/>
      </c>
    </row>
    <row r="997" hidden="1">
      <c r="C997" s="40" t="str">
        <f>IFERROR(__xludf.DUMMYFUNCTION("TEXTJOIN("", "",TRUE,UNIQUE(FILTER('Data Master'!$B$2:$B1887,'Data Master'!$C$2:$C1887=A997)))"),"petani")</f>
        <v>petani</v>
      </c>
      <c r="D997" s="40" t="str">
        <f>IFERROR(__xludf.DUMMYFUNCTION("TEXTJOIN("", "",TRUE,UNIQUE(FILTER('Data Master'!$D$2:$D1887,'Data Master'!$C$2:$C1887=A997)))"),"")</f>
        <v/>
      </c>
    </row>
    <row r="998" hidden="1">
      <c r="C998" s="40" t="str">
        <f>IFERROR(__xludf.DUMMYFUNCTION("TEXTJOIN("", "",TRUE,UNIQUE(FILTER('Data Master'!$B$2:$B1887,'Data Master'!$C$2:$C1887=A998)))"),"petani")</f>
        <v>petani</v>
      </c>
      <c r="D998" s="40" t="str">
        <f>IFERROR(__xludf.DUMMYFUNCTION("TEXTJOIN("", "",TRUE,UNIQUE(FILTER('Data Master'!$D$2:$D1887,'Data Master'!$C$2:$C1887=A998)))"),"")</f>
        <v/>
      </c>
    </row>
    <row r="999" hidden="1">
      <c r="C999" s="40" t="str">
        <f>IFERROR(__xludf.DUMMYFUNCTION("TEXTJOIN("", "",TRUE,UNIQUE(FILTER('Data Master'!$B$2:$B1887,'Data Master'!$C$2:$C1887=A999)))"),"petani")</f>
        <v>petani</v>
      </c>
      <c r="D999" s="40" t="str">
        <f>IFERROR(__xludf.DUMMYFUNCTION("TEXTJOIN("", "",TRUE,UNIQUE(FILTER('Data Master'!$D$2:$D1887,'Data Master'!$C$2:$C1887=A999)))"),"")</f>
        <v/>
      </c>
    </row>
    <row r="1000" hidden="1">
      <c r="C1000" s="40" t="str">
        <f>IFERROR(__xludf.DUMMYFUNCTION("TEXTJOIN("", "",TRUE,UNIQUE(FILTER('Data Master'!$B$2:$B1887,'Data Master'!$C$2:$C1887=A1000)))"),"petani")</f>
        <v>petani</v>
      </c>
      <c r="D1000" s="40" t="str">
        <f>IFERROR(__xludf.DUMMYFUNCTION("TEXTJOIN("", "",TRUE,UNIQUE(FILTER('Data Master'!$D$2:$D1887,'Data Master'!$C$2:$C1887=A1000)))"),"")</f>
        <v/>
      </c>
    </row>
    <row r="1001" hidden="1">
      <c r="C1001" s="40" t="str">
        <f>IFERROR(__xludf.DUMMYFUNCTION("TEXTJOIN("", "",TRUE,UNIQUE(FILTER('Data Master'!$B$2:$B1887,'Data Master'!$C$2:$C1887=A1001)))"),"petani")</f>
        <v>petani</v>
      </c>
      <c r="D1001" s="40" t="str">
        <f>IFERROR(__xludf.DUMMYFUNCTION("TEXTJOIN("", "",TRUE,UNIQUE(FILTER('Data Master'!$D$2:$D1887,'Data Master'!$C$2:$C1887=A1001)))"),"")</f>
        <v/>
      </c>
    </row>
    <row r="1002" hidden="1">
      <c r="C1002" s="40" t="str">
        <f>IFERROR(__xludf.DUMMYFUNCTION("TEXTJOIN("", "",TRUE,UNIQUE(FILTER('Data Master'!$B$2:$B1887,'Data Master'!$C$2:$C1887=A1002)))"),"petani")</f>
        <v>petani</v>
      </c>
      <c r="D1002" s="40" t="str">
        <f>IFERROR(__xludf.DUMMYFUNCTION("TEXTJOIN("", "",TRUE,UNIQUE(FILTER('Data Master'!$D$2:$D1887,'Data Master'!$C$2:$C1887=A1002)))"),"")</f>
        <v/>
      </c>
    </row>
    <row r="1003" hidden="1">
      <c r="C1003" s="40" t="str">
        <f>IFERROR(__xludf.DUMMYFUNCTION("TEXTJOIN("", "",TRUE,UNIQUE(FILTER('Data Master'!$B$2:$B1887,'Data Master'!$C$2:$C1887=A1003)))"),"petani")</f>
        <v>petani</v>
      </c>
      <c r="D1003" s="40" t="str">
        <f>IFERROR(__xludf.DUMMYFUNCTION("TEXTJOIN("", "",TRUE,UNIQUE(FILTER('Data Master'!$D$2:$D1887,'Data Master'!$C$2:$C1887=A1003)))"),"")</f>
        <v/>
      </c>
    </row>
    <row r="1004" hidden="1">
      <c r="C1004" s="40" t="str">
        <f>IFERROR(__xludf.DUMMYFUNCTION("TEXTJOIN("", "",TRUE,UNIQUE(FILTER('Data Master'!$B$2:$B1887,'Data Master'!$C$2:$C1887=A1004)))"),"petani")</f>
        <v>petani</v>
      </c>
      <c r="D1004" s="40" t="str">
        <f>IFERROR(__xludf.DUMMYFUNCTION("TEXTJOIN("", "",TRUE,UNIQUE(FILTER('Data Master'!$D$2:$D1887,'Data Master'!$C$2:$C1887=A1004)))"),"")</f>
        <v/>
      </c>
    </row>
    <row r="1005" hidden="1">
      <c r="C1005" s="40" t="str">
        <f>IFERROR(__xludf.DUMMYFUNCTION("TEXTJOIN("", "",TRUE,UNIQUE(FILTER('Data Master'!$B$2:$B1887,'Data Master'!$C$2:$C1887=A1005)))"),"petani")</f>
        <v>petani</v>
      </c>
      <c r="D1005" s="40" t="str">
        <f>IFERROR(__xludf.DUMMYFUNCTION("TEXTJOIN("", "",TRUE,UNIQUE(FILTER('Data Master'!$D$2:$D1887,'Data Master'!$C$2:$C1887=A1005)))"),"")</f>
        <v/>
      </c>
    </row>
    <row r="1006" hidden="1">
      <c r="C1006" s="40" t="str">
        <f>IFERROR(__xludf.DUMMYFUNCTION("TEXTJOIN("", "",TRUE,UNIQUE(FILTER('Data Master'!$B$2:$B1887,'Data Master'!$C$2:$C1887=A1006)))"),"petani")</f>
        <v>petani</v>
      </c>
      <c r="D1006" s="40" t="str">
        <f>IFERROR(__xludf.DUMMYFUNCTION("TEXTJOIN("", "",TRUE,UNIQUE(FILTER('Data Master'!$D$2:$D1887,'Data Master'!$C$2:$C1887=A1006)))"),"")</f>
        <v/>
      </c>
    </row>
    <row r="1007" hidden="1">
      <c r="C1007" s="40" t="str">
        <f>IFERROR(__xludf.DUMMYFUNCTION("TEXTJOIN("", "",TRUE,UNIQUE(FILTER('Data Master'!$B$2:$B1887,'Data Master'!$C$2:$C1887=A1007)))"),"petani")</f>
        <v>petani</v>
      </c>
      <c r="D1007" s="40" t="str">
        <f>IFERROR(__xludf.DUMMYFUNCTION("TEXTJOIN("", "",TRUE,UNIQUE(FILTER('Data Master'!$D$2:$D1887,'Data Master'!$C$2:$C1887=A1007)))"),"")</f>
        <v/>
      </c>
    </row>
    <row r="1008" hidden="1">
      <c r="C1008" s="40" t="str">
        <f>IFERROR(__xludf.DUMMYFUNCTION("TEXTJOIN("", "",TRUE,UNIQUE(FILTER('Data Master'!$B$2:$B1887,'Data Master'!$C$2:$C1887=A1008)))"),"petani")</f>
        <v>petani</v>
      </c>
      <c r="D1008" s="40" t="str">
        <f>IFERROR(__xludf.DUMMYFUNCTION("TEXTJOIN("", "",TRUE,UNIQUE(FILTER('Data Master'!$D$2:$D1887,'Data Master'!$C$2:$C1887=A1008)))"),"")</f>
        <v/>
      </c>
    </row>
    <row r="1009" hidden="1">
      <c r="C1009" s="40" t="str">
        <f>IFERROR(__xludf.DUMMYFUNCTION("TEXTJOIN("", "",TRUE,UNIQUE(FILTER('Data Master'!$B$2:$B1887,'Data Master'!$C$2:$C1887=A1009)))"),"petani")</f>
        <v>petani</v>
      </c>
      <c r="D1009" s="40" t="str">
        <f>IFERROR(__xludf.DUMMYFUNCTION("TEXTJOIN("", "",TRUE,UNIQUE(FILTER('Data Master'!$D$2:$D1887,'Data Master'!$C$2:$C1887=A1009)))"),"")</f>
        <v/>
      </c>
    </row>
    <row r="1010" hidden="1">
      <c r="C1010" s="40" t="str">
        <f>IFERROR(__xludf.DUMMYFUNCTION("TEXTJOIN("", "",TRUE,UNIQUE(FILTER('Data Master'!$B$2:$B1887,'Data Master'!$C$2:$C1887=A1010)))"),"penyuluh")</f>
        <v>penyuluh</v>
      </c>
      <c r="D1010" s="40" t="str">
        <f>IFERROR(__xludf.DUMMYFUNCTION("TEXTJOIN("", "",TRUE,UNIQUE(FILTER('Data Master'!$D$2:$D1887,'Data Master'!$C$2:$C1887=A1010)))"),"")</f>
        <v/>
      </c>
    </row>
    <row r="1011" hidden="1">
      <c r="C1011" s="40" t="str">
        <f>IFERROR(__xludf.DUMMYFUNCTION("TEXTJOIN("", "",TRUE,UNIQUE(FILTER('Data Master'!$B$2:$B1887,'Data Master'!$C$2:$C1887=A1011)))"),"petani")</f>
        <v>petani</v>
      </c>
      <c r="D1011" s="40" t="str">
        <f>IFERROR(__xludf.DUMMYFUNCTION("TEXTJOIN("", "",TRUE,UNIQUE(FILTER('Data Master'!$D$2:$D1887,'Data Master'!$C$2:$C1887=A1011)))"),"")</f>
        <v/>
      </c>
    </row>
    <row r="1012" hidden="1">
      <c r="C1012" s="40" t="str">
        <f>IFERROR(__xludf.DUMMYFUNCTION("TEXTJOIN("", "",TRUE,UNIQUE(FILTER('Data Master'!$B$2:$B1887,'Data Master'!$C$2:$C1887=A1012)))"),"petani")</f>
        <v>petani</v>
      </c>
      <c r="D1012" s="40" t="str">
        <f>IFERROR(__xludf.DUMMYFUNCTION("TEXTJOIN("", "",TRUE,UNIQUE(FILTER('Data Master'!$D$2:$D1887,'Data Master'!$C$2:$C1887=A1012)))"),"")</f>
        <v/>
      </c>
    </row>
    <row r="1013" hidden="1">
      <c r="C1013" s="40" t="str">
        <f>IFERROR(__xludf.DUMMYFUNCTION("TEXTJOIN("", "",TRUE,UNIQUE(FILTER('Data Master'!$B$2:$B1887,'Data Master'!$C$2:$C1887=A1013)))"),"petani")</f>
        <v>petani</v>
      </c>
      <c r="D1013" s="40" t="str">
        <f>IFERROR(__xludf.DUMMYFUNCTION("TEXTJOIN("", "",TRUE,UNIQUE(FILTER('Data Master'!$D$2:$D1887,'Data Master'!$C$2:$C1887=A1013)))"),"")</f>
        <v/>
      </c>
    </row>
    <row r="1014" hidden="1">
      <c r="C1014" s="40" t="str">
        <f>IFERROR(__xludf.DUMMYFUNCTION("TEXTJOIN("", "",TRUE,UNIQUE(FILTER('Data Master'!$B$2:$B1887,'Data Master'!$C$2:$C1887=A1014)))"),"petani")</f>
        <v>petani</v>
      </c>
      <c r="D1014" s="40" t="str">
        <f>IFERROR(__xludf.DUMMYFUNCTION("TEXTJOIN("", "",TRUE,UNIQUE(FILTER('Data Master'!$D$2:$D1887,'Data Master'!$C$2:$C1887=A1014)))"),"")</f>
        <v/>
      </c>
    </row>
    <row r="1015" hidden="1">
      <c r="C1015" s="40" t="str">
        <f>IFERROR(__xludf.DUMMYFUNCTION("TEXTJOIN("", "",TRUE,UNIQUE(FILTER('Data Master'!$B$2:$B1887,'Data Master'!$C$2:$C1887=A1015)))"),"petani")</f>
        <v>petani</v>
      </c>
      <c r="D1015" s="40" t="str">
        <f>IFERROR(__xludf.DUMMYFUNCTION("TEXTJOIN("", "",TRUE,UNIQUE(FILTER('Data Master'!$D$2:$D1887,'Data Master'!$C$2:$C1887=A1015)))"),"")</f>
        <v/>
      </c>
    </row>
    <row r="1016" hidden="1">
      <c r="C1016" s="40" t="str">
        <f>IFERROR(__xludf.DUMMYFUNCTION("TEXTJOIN("", "",TRUE,UNIQUE(FILTER('Data Master'!$B$2:$B1887,'Data Master'!$C$2:$C1887=A1016)))"),"penyuluh")</f>
        <v>penyuluh</v>
      </c>
      <c r="D1016" s="40" t="str">
        <f>IFERROR(__xludf.DUMMYFUNCTION("TEXTJOIN("", "",TRUE,UNIQUE(FILTER('Data Master'!$D$2:$D1887,'Data Master'!$C$2:$C1887=A1016)))"),"")</f>
        <v/>
      </c>
    </row>
    <row r="1017" hidden="1">
      <c r="C1017" s="40" t="str">
        <f>IFERROR(__xludf.DUMMYFUNCTION("TEXTJOIN("", "",TRUE,UNIQUE(FILTER('Data Master'!$B$2:$B1887,'Data Master'!$C$2:$C1887=A1017)))"),"petani")</f>
        <v>petani</v>
      </c>
      <c r="D1017" s="40" t="str">
        <f>IFERROR(__xludf.DUMMYFUNCTION("TEXTJOIN("", "",TRUE,UNIQUE(FILTER('Data Master'!$D$2:$D1887,'Data Master'!$C$2:$C1887=A1017)))"),"")</f>
        <v/>
      </c>
    </row>
    <row r="1018" hidden="1">
      <c r="C1018" s="40" t="str">
        <f>IFERROR(__xludf.DUMMYFUNCTION("TEXTJOIN("", "",TRUE,UNIQUE(FILTER('Data Master'!$B$2:$B1887,'Data Master'!$C$2:$C1887=A1018)))"),"petani")</f>
        <v>petani</v>
      </c>
      <c r="D1018" s="40" t="str">
        <f>IFERROR(__xludf.DUMMYFUNCTION("TEXTJOIN("", "",TRUE,UNIQUE(FILTER('Data Master'!$D$2:$D1887,'Data Master'!$C$2:$C1887=A1018)))"),"")</f>
        <v/>
      </c>
    </row>
    <row r="1019" hidden="1">
      <c r="C1019" s="40" t="str">
        <f>IFERROR(__xludf.DUMMYFUNCTION("TEXTJOIN("", "",TRUE,UNIQUE(FILTER('Data Master'!$B$2:$B1887,'Data Master'!$C$2:$C1887=A1019)))"),"petani")</f>
        <v>petani</v>
      </c>
      <c r="D1019" s="40" t="str">
        <f>IFERROR(__xludf.DUMMYFUNCTION("TEXTJOIN("", "",TRUE,UNIQUE(FILTER('Data Master'!$D$2:$D1887,'Data Master'!$C$2:$C1887=A1019)))"),"")</f>
        <v/>
      </c>
    </row>
    <row r="1020" hidden="1">
      <c r="C1020" s="40" t="str">
        <f>IFERROR(__xludf.DUMMYFUNCTION("TEXTJOIN("", "",TRUE,UNIQUE(FILTER('Data Master'!$B$2:$B1887,'Data Master'!$C$2:$C1887=A1020)))"),"penyuluh")</f>
        <v>penyuluh</v>
      </c>
      <c r="D1020" s="40" t="str">
        <f>IFERROR(__xludf.DUMMYFUNCTION("TEXTJOIN("", "",TRUE,UNIQUE(FILTER('Data Master'!$D$2:$D1887,'Data Master'!$C$2:$C1887=A1020)))"),"ladhiantopratama8@gmail.com")</f>
        <v>ladhiantopratama8@gmail.com</v>
      </c>
    </row>
    <row r="1021" hidden="1">
      <c r="C1021" s="40" t="str">
        <f>IFERROR(__xludf.DUMMYFUNCTION("TEXTJOIN("", "",TRUE,UNIQUE(FILTER('Data Master'!$B$2:$B1887,'Data Master'!$C$2:$C1887=A1021)))"),"petani")</f>
        <v>petani</v>
      </c>
      <c r="D1021" s="40" t="str">
        <f>IFERROR(__xludf.DUMMYFUNCTION("TEXTJOIN("", "",TRUE,UNIQUE(FILTER('Data Master'!$D$2:$D1887,'Data Master'!$C$2:$C1887=A1021)))"),"")</f>
        <v/>
      </c>
    </row>
    <row r="1022" hidden="1">
      <c r="C1022" s="40" t="str">
        <f>IFERROR(__xludf.DUMMYFUNCTION("TEXTJOIN("", "",TRUE,UNIQUE(FILTER('Data Master'!$B$2:$B1887,'Data Master'!$C$2:$C1887=A1022)))"),"petani")</f>
        <v>petani</v>
      </c>
      <c r="D1022" s="40" t="str">
        <f>IFERROR(__xludf.DUMMYFUNCTION("TEXTJOIN("", "",TRUE,UNIQUE(FILTER('Data Master'!$D$2:$D1887,'Data Master'!$C$2:$C1887=A1022)))"),"")</f>
        <v/>
      </c>
    </row>
    <row r="1023" hidden="1">
      <c r="C1023" s="40" t="str">
        <f>IFERROR(__xludf.DUMMYFUNCTION("TEXTJOIN("", "",TRUE,UNIQUE(FILTER('Data Master'!$B$2:$B1887,'Data Master'!$C$2:$C1887=A1023)))"),"petani")</f>
        <v>petani</v>
      </c>
      <c r="D1023" s="40" t="str">
        <f>IFERROR(__xludf.DUMMYFUNCTION("TEXTJOIN("", "",TRUE,UNIQUE(FILTER('Data Master'!$D$2:$D1887,'Data Master'!$C$2:$C1887=A1023)))"),"")</f>
        <v/>
      </c>
    </row>
    <row r="1024" hidden="1">
      <c r="C1024" s="40" t="str">
        <f>IFERROR(__xludf.DUMMYFUNCTION("TEXTJOIN("", "",TRUE,UNIQUE(FILTER('Data Master'!$B$2:$B1887,'Data Master'!$C$2:$C1887=A1024)))"),"petani")</f>
        <v>petani</v>
      </c>
      <c r="D1024" s="40" t="str">
        <f>IFERROR(__xludf.DUMMYFUNCTION("TEXTJOIN("", "",TRUE,UNIQUE(FILTER('Data Master'!$D$2:$D1887,'Data Master'!$C$2:$C1887=A1024)))"),"")</f>
        <v/>
      </c>
    </row>
    <row r="1025" hidden="1">
      <c r="C1025" s="40" t="str">
        <f>IFERROR(__xludf.DUMMYFUNCTION("TEXTJOIN("", "",TRUE,UNIQUE(FILTER('Data Master'!$B$2:$B1887,'Data Master'!$C$2:$C1887=A1025)))"),"petani")</f>
        <v>petani</v>
      </c>
      <c r="D1025" s="40" t="str">
        <f>IFERROR(__xludf.DUMMYFUNCTION("TEXTJOIN("", "",TRUE,UNIQUE(FILTER('Data Master'!$D$2:$D1887,'Data Master'!$C$2:$C1887=A1025)))"),"")</f>
        <v/>
      </c>
    </row>
    <row r="1026" hidden="1">
      <c r="C1026" s="40" t="str">
        <f>IFERROR(__xludf.DUMMYFUNCTION("TEXTJOIN("", "",TRUE,UNIQUE(FILTER('Data Master'!$B$2:$B1887,'Data Master'!$C$2:$C1887=A1026)))"),"petani")</f>
        <v>petani</v>
      </c>
      <c r="D1026" s="40" t="str">
        <f>IFERROR(__xludf.DUMMYFUNCTION("TEXTJOIN("", "",TRUE,UNIQUE(FILTER('Data Master'!$D$2:$D1887,'Data Master'!$C$2:$C1887=A1026)))"),"")</f>
        <v/>
      </c>
    </row>
    <row r="1027" hidden="1">
      <c r="C1027" s="40" t="str">
        <f>IFERROR(__xludf.DUMMYFUNCTION("TEXTJOIN("", "",TRUE,UNIQUE(FILTER('Data Master'!$B$2:$B1887,'Data Master'!$C$2:$C1887=A1027)))"),"petani")</f>
        <v>petani</v>
      </c>
      <c r="D1027" s="40" t="str">
        <f>IFERROR(__xludf.DUMMYFUNCTION("TEXTJOIN("", "",TRUE,UNIQUE(FILTER('Data Master'!$D$2:$D1887,'Data Master'!$C$2:$C1887=A1027)))"),"lamiran@gmail.com")</f>
        <v>lamiran@gmail.com</v>
      </c>
    </row>
    <row r="1028" hidden="1">
      <c r="C1028" s="40" t="str">
        <f>IFERROR(__xludf.DUMMYFUNCTION("TEXTJOIN("", "",TRUE,UNIQUE(FILTER('Data Master'!$B$2:$B1887,'Data Master'!$C$2:$C1887=A1028)))"),"petani")</f>
        <v>petani</v>
      </c>
      <c r="D1028" s="40" t="str">
        <f>IFERROR(__xludf.DUMMYFUNCTION("TEXTJOIN("", "",TRUE,UNIQUE(FILTER('Data Master'!$D$2:$D1887,'Data Master'!$C$2:$C1887=A1028)))"),"")</f>
        <v/>
      </c>
    </row>
    <row r="1029" hidden="1">
      <c r="C1029" s="40" t="str">
        <f>IFERROR(__xludf.DUMMYFUNCTION("TEXTJOIN("", "",TRUE,UNIQUE(FILTER('Data Master'!$B$2:$B1887,'Data Master'!$C$2:$C1887=A1029)))"),"petani")</f>
        <v>petani</v>
      </c>
      <c r="D1029" s="40" t="str">
        <f>IFERROR(__xludf.DUMMYFUNCTION("TEXTJOIN("", "",TRUE,UNIQUE(FILTER('Data Master'!$D$2:$D1887,'Data Master'!$C$2:$C1887=A1029)))"),"")</f>
        <v/>
      </c>
    </row>
    <row r="1030" hidden="1">
      <c r="C1030" s="40" t="str">
        <f>IFERROR(__xludf.DUMMYFUNCTION("TEXTJOIN("", "",TRUE,UNIQUE(FILTER('Data Master'!$B$2:$B1887,'Data Master'!$C$2:$C1887=A1030)))"),"petani")</f>
        <v>petani</v>
      </c>
      <c r="D1030" s="40" t="str">
        <f>IFERROR(__xludf.DUMMYFUNCTION("TEXTJOIN("", "",TRUE,UNIQUE(FILTER('Data Master'!$D$2:$D1887,'Data Master'!$C$2:$C1887=A1030)))"),"")</f>
        <v/>
      </c>
    </row>
    <row r="1031" hidden="1">
      <c r="C1031" s="40" t="str">
        <f>IFERROR(__xludf.DUMMYFUNCTION("TEXTJOIN("", "",TRUE,UNIQUE(FILTER('Data Master'!$B$2:$B1887,'Data Master'!$C$2:$C1887=A1031)))"),"petani")</f>
        <v>petani</v>
      </c>
      <c r="D1031" s="40" t="str">
        <f>IFERROR(__xludf.DUMMYFUNCTION("TEXTJOIN("", "",TRUE,UNIQUE(FILTER('Data Master'!$D$2:$D1887,'Data Master'!$C$2:$C1887=A1031)))"),"")</f>
        <v/>
      </c>
    </row>
    <row r="1032" hidden="1">
      <c r="C1032" s="40" t="str">
        <f>IFERROR(__xludf.DUMMYFUNCTION("TEXTJOIN("", "",TRUE,UNIQUE(FILTER('Data Master'!$B$2:$B1887,'Data Master'!$C$2:$C1887=A1032)))"),"petani")</f>
        <v>petani</v>
      </c>
      <c r="D1032" s="40" t="str">
        <f>IFERROR(__xludf.DUMMYFUNCTION("TEXTJOIN("", "",TRUE,UNIQUE(FILTER('Data Master'!$D$2:$D1887,'Data Master'!$C$2:$C1887=A1032)))"),"")</f>
        <v/>
      </c>
    </row>
    <row r="1033" hidden="1">
      <c r="C1033" s="40" t="str">
        <f>IFERROR(__xludf.DUMMYFUNCTION("TEXTJOIN("", "",TRUE,UNIQUE(FILTER('Data Master'!$B$2:$B1887,'Data Master'!$C$2:$C1887=A1033)))"),"petani")</f>
        <v>petani</v>
      </c>
      <c r="D1033" s="40" t="str">
        <f>IFERROR(__xludf.DUMMYFUNCTION("TEXTJOIN("", "",TRUE,UNIQUE(FILTER('Data Master'!$D$2:$D1887,'Data Master'!$C$2:$C1887=A1033)))"),"")</f>
        <v/>
      </c>
    </row>
    <row r="1034" hidden="1">
      <c r="C1034" s="40" t="str">
        <f>IFERROR(__xludf.DUMMYFUNCTION("TEXTJOIN("", "",TRUE,UNIQUE(FILTER('Data Master'!$B$2:$B1887,'Data Master'!$C$2:$C1887=A1034)))"),"petani")</f>
        <v>petani</v>
      </c>
      <c r="D1034" s="40" t="str">
        <f>IFERROR(__xludf.DUMMYFUNCTION("TEXTJOIN("", "",TRUE,UNIQUE(FILTER('Data Master'!$D$2:$D1887,'Data Master'!$C$2:$C1887=A1034)))"),"")</f>
        <v/>
      </c>
    </row>
    <row r="1035" hidden="1">
      <c r="C1035" s="40" t="str">
        <f>IFERROR(__xludf.DUMMYFUNCTION("TEXTJOIN("", "",TRUE,UNIQUE(FILTER('Data Master'!$B$2:$B1887,'Data Master'!$C$2:$C1887=A1035)))"),"petani")</f>
        <v>petani</v>
      </c>
      <c r="D1035" s="40" t="str">
        <f>IFERROR(__xludf.DUMMYFUNCTION("TEXTJOIN("", "",TRUE,UNIQUE(FILTER('Data Master'!$D$2:$D1887,'Data Master'!$C$2:$C1887=A1035)))"),"")</f>
        <v/>
      </c>
    </row>
    <row r="1036" hidden="1">
      <c r="C1036" s="40" t="str">
        <f>IFERROR(__xludf.DUMMYFUNCTION("TEXTJOIN("", "",TRUE,UNIQUE(FILTER('Data Master'!$B$2:$B1887,'Data Master'!$C$2:$C1887=A1036)))"),"petani")</f>
        <v>petani</v>
      </c>
      <c r="D1036" s="40" t="str">
        <f>IFERROR(__xludf.DUMMYFUNCTION("TEXTJOIN("", "",TRUE,UNIQUE(FILTER('Data Master'!$D$2:$D1887,'Data Master'!$C$2:$C1887=A1036)))"),"")</f>
        <v/>
      </c>
    </row>
    <row r="1037" hidden="1">
      <c r="C1037" s="40" t="str">
        <f>IFERROR(__xludf.DUMMYFUNCTION("TEXTJOIN("", "",TRUE,UNIQUE(FILTER('Data Master'!$B$2:$B1887,'Data Master'!$C$2:$C1887=A1037)))"),"petani")</f>
        <v>petani</v>
      </c>
      <c r="D1037" s="40" t="str">
        <f>IFERROR(__xludf.DUMMYFUNCTION("TEXTJOIN("", "",TRUE,UNIQUE(FILTER('Data Master'!$D$2:$D1887,'Data Master'!$C$2:$C1887=A1037)))"),"")</f>
        <v/>
      </c>
    </row>
    <row r="1038" hidden="1">
      <c r="C1038" s="40" t="str">
        <f>IFERROR(__xludf.DUMMYFUNCTION("TEXTJOIN("", "",TRUE,UNIQUE(FILTER('Data Master'!$B$2:$B1887,'Data Master'!$C$2:$C1887=A1038)))"),"petani")</f>
        <v>petani</v>
      </c>
      <c r="D1038" s="40" t="str">
        <f>IFERROR(__xludf.DUMMYFUNCTION("TEXTJOIN("", "",TRUE,UNIQUE(FILTER('Data Master'!$D$2:$D1887,'Data Master'!$C$2:$C1887=A1038)))"),"")</f>
        <v/>
      </c>
    </row>
    <row r="1039" hidden="1">
      <c r="C1039" s="40" t="str">
        <f>IFERROR(__xludf.DUMMYFUNCTION("TEXTJOIN("", "",TRUE,UNIQUE(FILTER('Data Master'!$B$2:$B1887,'Data Master'!$C$2:$C1887=A1039)))"),"petani")</f>
        <v>petani</v>
      </c>
      <c r="D1039" s="40" t="str">
        <f>IFERROR(__xludf.DUMMYFUNCTION("TEXTJOIN("", "",TRUE,UNIQUE(FILTER('Data Master'!$D$2:$D1887,'Data Master'!$C$2:$C1887=A1039)))"),"")</f>
        <v/>
      </c>
    </row>
    <row r="1040" hidden="1">
      <c r="C1040" s="40" t="str">
        <f>IFERROR(__xludf.DUMMYFUNCTION("TEXTJOIN("", "",TRUE,UNIQUE(FILTER('Data Master'!$B$2:$B1887,'Data Master'!$C$2:$C1887=A1040)))"),"petani")</f>
        <v>petani</v>
      </c>
      <c r="D1040" s="40" t="str">
        <f>IFERROR(__xludf.DUMMYFUNCTION("TEXTJOIN("", "",TRUE,UNIQUE(FILTER('Data Master'!$D$2:$D1887,'Data Master'!$C$2:$C1887=A1040)))"),"")</f>
        <v/>
      </c>
    </row>
    <row r="1041" hidden="1">
      <c r="C1041" s="40" t="str">
        <f>IFERROR(__xludf.DUMMYFUNCTION("TEXTJOIN("", "",TRUE,UNIQUE(FILTER('Data Master'!$B$2:$B1887,'Data Master'!$C$2:$C1887=A1041)))"),"petani")</f>
        <v>petani</v>
      </c>
      <c r="D1041" s="40" t="str">
        <f>IFERROR(__xludf.DUMMYFUNCTION("TEXTJOIN("", "",TRUE,UNIQUE(FILTER('Data Master'!$D$2:$D1887,'Data Master'!$C$2:$C1887=A1041)))"),"")</f>
        <v/>
      </c>
    </row>
    <row r="1042" hidden="1">
      <c r="C1042" s="40" t="str">
        <f>IFERROR(__xludf.DUMMYFUNCTION("TEXTJOIN("", "",TRUE,UNIQUE(FILTER('Data Master'!$B$2:$B1887,'Data Master'!$C$2:$C1887=A1042)))"),"petani")</f>
        <v>petani</v>
      </c>
      <c r="D1042" s="40" t="str">
        <f>IFERROR(__xludf.DUMMYFUNCTION("TEXTJOIN("", "",TRUE,UNIQUE(FILTER('Data Master'!$D$2:$D1887,'Data Master'!$C$2:$C1887=A1042)))"),"")</f>
        <v/>
      </c>
    </row>
    <row r="1043" hidden="1">
      <c r="C1043" s="40" t="str">
        <f>IFERROR(__xludf.DUMMYFUNCTION("TEXTJOIN("", "",TRUE,UNIQUE(FILTER('Data Master'!$B$2:$B1887,'Data Master'!$C$2:$C1887=A1043)))"),"petani")</f>
        <v>petani</v>
      </c>
      <c r="D1043" s="40" t="str">
        <f>IFERROR(__xludf.DUMMYFUNCTION("TEXTJOIN("", "",TRUE,UNIQUE(FILTER('Data Master'!$D$2:$D1887,'Data Master'!$C$2:$C1887=A1043)))"),"")</f>
        <v/>
      </c>
    </row>
    <row r="1044" hidden="1">
      <c r="C1044" s="40" t="str">
        <f>IFERROR(__xludf.DUMMYFUNCTION("TEXTJOIN("", "",TRUE,UNIQUE(FILTER('Data Master'!$B$2:$B1887,'Data Master'!$C$2:$C1887=A1044)))"),"petani")</f>
        <v>petani</v>
      </c>
      <c r="D1044" s="40" t="str">
        <f>IFERROR(__xludf.DUMMYFUNCTION("TEXTJOIN("", "",TRUE,UNIQUE(FILTER('Data Master'!$D$2:$D1887,'Data Master'!$C$2:$C1887=A1044)))"),"")</f>
        <v/>
      </c>
    </row>
    <row r="1045" hidden="1">
      <c r="C1045" s="40" t="str">
        <f>IFERROR(__xludf.DUMMYFUNCTION("TEXTJOIN("", "",TRUE,UNIQUE(FILTER('Data Master'!$B$2:$B1887,'Data Master'!$C$2:$C1887=A1045)))"),"petani")</f>
        <v>petani</v>
      </c>
      <c r="D1045" s="40" t="str">
        <f>IFERROR(__xludf.DUMMYFUNCTION("TEXTJOIN("", "",TRUE,UNIQUE(FILTER('Data Master'!$D$2:$D1887,'Data Master'!$C$2:$C1887=A1045)))"),"")</f>
        <v/>
      </c>
    </row>
    <row r="1046" hidden="1">
      <c r="C1046" s="40" t="str">
        <f>IFERROR(__xludf.DUMMYFUNCTION("TEXTJOIN("", "",TRUE,UNIQUE(FILTER('Data Master'!$B$2:$B1887,'Data Master'!$C$2:$C1887=A1046)))"),"petani")</f>
        <v>petani</v>
      </c>
      <c r="D1046" s="40" t="str">
        <f>IFERROR(__xludf.DUMMYFUNCTION("TEXTJOIN("", "",TRUE,UNIQUE(FILTER('Data Master'!$D$2:$D1887,'Data Master'!$C$2:$C1887=A1046)))"),"")</f>
        <v/>
      </c>
    </row>
    <row r="1047" hidden="1">
      <c r="C1047" s="40" t="str">
        <f>IFERROR(__xludf.DUMMYFUNCTION("TEXTJOIN("", "",TRUE,UNIQUE(FILTER('Data Master'!$B$2:$B1887,'Data Master'!$C$2:$C1887=A1047)))"),"penyuluh")</f>
        <v>penyuluh</v>
      </c>
      <c r="D1047" s="40" t="str">
        <f>IFERROR(__xludf.DUMMYFUNCTION("TEXTJOIN("", "",TRUE,UNIQUE(FILTER('Data Master'!$D$2:$D1887,'Data Master'!$C$2:$C1887=A1047)))"),"")</f>
        <v/>
      </c>
    </row>
    <row r="1048" hidden="1">
      <c r="C1048" s="40" t="str">
        <f>IFERROR(__xludf.DUMMYFUNCTION("TEXTJOIN("", "",TRUE,UNIQUE(FILTER('Data Master'!$B$2:$B1887,'Data Master'!$C$2:$C1887=A1048)))"),"petani")</f>
        <v>petani</v>
      </c>
      <c r="D1048" s="40" t="str">
        <f>IFERROR(__xludf.DUMMYFUNCTION("TEXTJOIN("", "",TRUE,UNIQUE(FILTER('Data Master'!$D$2:$D1887,'Data Master'!$C$2:$C1887=A1048)))"),"")</f>
        <v/>
      </c>
    </row>
    <row r="1049" hidden="1">
      <c r="C1049" s="40" t="str">
        <f>IFERROR(__xludf.DUMMYFUNCTION("TEXTJOIN("", "",TRUE,UNIQUE(FILTER('Data Master'!$B$2:$B1887,'Data Master'!$C$2:$C1887=A1049)))"),"petani")</f>
        <v>petani</v>
      </c>
      <c r="D1049" s="40" t="str">
        <f>IFERROR(__xludf.DUMMYFUNCTION("TEXTJOIN("", "",TRUE,UNIQUE(FILTER('Data Master'!$D$2:$D1887,'Data Master'!$C$2:$C1887=A1049)))"),"")</f>
        <v/>
      </c>
    </row>
    <row r="1050" hidden="1">
      <c r="C1050" s="40" t="str">
        <f>IFERROR(__xludf.DUMMYFUNCTION("TEXTJOIN("", "",TRUE,UNIQUE(FILTER('Data Master'!$B$2:$B1887,'Data Master'!$C$2:$C1887=A1050)))"),"petani")</f>
        <v>petani</v>
      </c>
      <c r="D1050" s="40" t="str">
        <f>IFERROR(__xludf.DUMMYFUNCTION("TEXTJOIN("", "",TRUE,UNIQUE(FILTER('Data Master'!$D$2:$D1887,'Data Master'!$C$2:$C1887=A1050)))"),"")</f>
        <v/>
      </c>
    </row>
    <row r="1051" hidden="1">
      <c r="C1051" s="40" t="str">
        <f>IFERROR(__xludf.DUMMYFUNCTION("TEXTJOIN("", "",TRUE,UNIQUE(FILTER('Data Master'!$B$2:$B1887,'Data Master'!$C$2:$C1887=A1051)))"),"petani")</f>
        <v>petani</v>
      </c>
      <c r="D1051" s="40" t="str">
        <f>IFERROR(__xludf.DUMMYFUNCTION("TEXTJOIN("", "",TRUE,UNIQUE(FILTER('Data Master'!$D$2:$D1887,'Data Master'!$C$2:$C1887=A1051)))"),"")</f>
        <v/>
      </c>
    </row>
    <row r="1052" hidden="1">
      <c r="C1052" s="40" t="str">
        <f>IFERROR(__xludf.DUMMYFUNCTION("TEXTJOIN("", "",TRUE,UNIQUE(FILTER('Data Master'!$B$2:$B1887,'Data Master'!$C$2:$C1887=A1052)))"),"petani")</f>
        <v>petani</v>
      </c>
      <c r="D1052" s="40" t="str">
        <f>IFERROR(__xludf.DUMMYFUNCTION("TEXTJOIN("", "",TRUE,UNIQUE(FILTER('Data Master'!$D$2:$D1887,'Data Master'!$C$2:$C1887=A1052)))"),"")</f>
        <v/>
      </c>
    </row>
    <row r="1053" hidden="1">
      <c r="C1053" s="40" t="str">
        <f>IFERROR(__xludf.DUMMYFUNCTION("TEXTJOIN("", "",TRUE,UNIQUE(FILTER('Data Master'!$B$2:$B1887,'Data Master'!$C$2:$C1887=A1053)))"),"petani")</f>
        <v>petani</v>
      </c>
      <c r="D1053" s="40" t="str">
        <f>IFERROR(__xludf.DUMMYFUNCTION("TEXTJOIN("", "",TRUE,UNIQUE(FILTER('Data Master'!$D$2:$D1887,'Data Master'!$C$2:$C1887=A1053)))"),"")</f>
        <v/>
      </c>
    </row>
    <row r="1054" hidden="1">
      <c r="C1054" s="40" t="str">
        <f>IFERROR(__xludf.DUMMYFUNCTION("TEXTJOIN("", "",TRUE,UNIQUE(FILTER('Data Master'!$B$2:$B1887,'Data Master'!$C$2:$C1887=A1054)))"),"petani")</f>
        <v>petani</v>
      </c>
      <c r="D1054" s="40" t="str">
        <f>IFERROR(__xludf.DUMMYFUNCTION("TEXTJOIN("", "",TRUE,UNIQUE(FILTER('Data Master'!$D$2:$D1887,'Data Master'!$C$2:$C1887=A1054)))"),"")</f>
        <v/>
      </c>
    </row>
    <row r="1055">
      <c r="C1055" s="43" t="str">
        <f>IFERROR(__xludf.DUMMYFUNCTION("TEXTJOIN("", "",TRUE,UNIQUE(FILTER('Data Master'!$B$2:$B1887,'Data Master'!$C$2:$C1887=A1055)))"),"operator admin, penyuluh")</f>
        <v>operator admin, penyuluh</v>
      </c>
      <c r="D1055" s="43" t="str">
        <f>IFERROR(__xludf.DUMMYFUNCTION("TEXTJOIN("", "",TRUE,UNIQUE(FILTER('Data Master'!$D$2:$D1887,'Data Master'!$C$2:$C1887=A1055)))"),"paronbpp@gmail.com")</f>
        <v>paronbpp@gmail.com</v>
      </c>
    </row>
    <row r="1056" hidden="1">
      <c r="C1056" s="40" t="str">
        <f>IFERROR(__xludf.DUMMYFUNCTION("TEXTJOIN("", "",TRUE,UNIQUE(FILTER('Data Master'!$B$2:$B1887,'Data Master'!$C$2:$C1887=A1056)))"),"petani")</f>
        <v>petani</v>
      </c>
      <c r="D1056" s="40" t="str">
        <f>IFERROR(__xludf.DUMMYFUNCTION("TEXTJOIN("", "",TRUE,UNIQUE(FILTER('Data Master'!$D$2:$D1887,'Data Master'!$C$2:$C1887=A1056)))"),"")</f>
        <v/>
      </c>
    </row>
    <row r="1057" hidden="1">
      <c r="C1057" s="40" t="str">
        <f>IFERROR(__xludf.DUMMYFUNCTION("TEXTJOIN("", "",TRUE,UNIQUE(FILTER('Data Master'!$B$2:$B1887,'Data Master'!$C$2:$C1887=A1057)))"),"petani")</f>
        <v>petani</v>
      </c>
      <c r="D1057" s="40" t="str">
        <f>IFERROR(__xludf.DUMMYFUNCTION("TEXTJOIN("", "",TRUE,UNIQUE(FILTER('Data Master'!$D$2:$D1887,'Data Master'!$C$2:$C1887=A1057)))"),"")</f>
        <v/>
      </c>
    </row>
    <row r="1058" hidden="1">
      <c r="C1058" s="40" t="str">
        <f>IFERROR(__xludf.DUMMYFUNCTION("TEXTJOIN("", "",TRUE,UNIQUE(FILTER('Data Master'!$B$2:$B1887,'Data Master'!$C$2:$C1887=A1058)))"),"petani")</f>
        <v>petani</v>
      </c>
      <c r="D1058" s="40" t="str">
        <f>IFERROR(__xludf.DUMMYFUNCTION("TEXTJOIN("", "",TRUE,UNIQUE(FILTER('Data Master'!$D$2:$D1887,'Data Master'!$C$2:$C1887=A1058)))"),"")</f>
        <v/>
      </c>
    </row>
    <row r="1059" hidden="1">
      <c r="C1059" s="40" t="str">
        <f>IFERROR(__xludf.DUMMYFUNCTION("TEXTJOIN("", "",TRUE,UNIQUE(FILTER('Data Master'!$B$2:$B1887,'Data Master'!$C$2:$C1887=A1059)))"),"petani")</f>
        <v>petani</v>
      </c>
      <c r="D1059" s="40" t="str">
        <f>IFERROR(__xludf.DUMMYFUNCTION("TEXTJOIN("", "",TRUE,UNIQUE(FILTER('Data Master'!$D$2:$D1887,'Data Master'!$C$2:$C1887=A1059)))"),"")</f>
        <v/>
      </c>
    </row>
    <row r="1060" hidden="1">
      <c r="C1060" s="40" t="str">
        <f>IFERROR(__xludf.DUMMYFUNCTION("TEXTJOIN("", "",TRUE,UNIQUE(FILTER('Data Master'!$B$2:$B1887,'Data Master'!$C$2:$C1887=A1060)))"),"petani")</f>
        <v>petani</v>
      </c>
      <c r="D1060" s="40" t="str">
        <f>IFERROR(__xludf.DUMMYFUNCTION("TEXTJOIN("", "",TRUE,UNIQUE(FILTER('Data Master'!$D$2:$D1887,'Data Master'!$C$2:$C1887=A1060)))"),"")</f>
        <v/>
      </c>
    </row>
    <row r="1061" hidden="1">
      <c r="C1061" s="40" t="str">
        <f>IFERROR(__xludf.DUMMYFUNCTION("TEXTJOIN("", "",TRUE,UNIQUE(FILTER('Data Master'!$B$2:$B1887,'Data Master'!$C$2:$C1887=A1061)))"),"petani")</f>
        <v>petani</v>
      </c>
      <c r="D1061" s="40" t="str">
        <f>IFERROR(__xludf.DUMMYFUNCTION("TEXTJOIN("", "",TRUE,UNIQUE(FILTER('Data Master'!$D$2:$D1887,'Data Master'!$C$2:$C1887=A1061)))"),"")</f>
        <v/>
      </c>
    </row>
    <row r="1062" hidden="1">
      <c r="C1062" s="40" t="str">
        <f>IFERROR(__xludf.DUMMYFUNCTION("TEXTJOIN("", "",TRUE,UNIQUE(FILTER('Data Master'!$B$2:$B1887,'Data Master'!$C$2:$C1887=A1062)))"),"petani")</f>
        <v>petani</v>
      </c>
      <c r="D1062" s="40" t="str">
        <f>IFERROR(__xludf.DUMMYFUNCTION("TEXTJOIN("", "",TRUE,UNIQUE(FILTER('Data Master'!$D$2:$D1887,'Data Master'!$C$2:$C1887=A1062)))"),"")</f>
        <v/>
      </c>
    </row>
    <row r="1063" hidden="1">
      <c r="C1063" s="40" t="str">
        <f>IFERROR(__xludf.DUMMYFUNCTION("TEXTJOIN("", "",TRUE,UNIQUE(FILTER('Data Master'!$B$2:$B1887,'Data Master'!$C$2:$C1887=A1063)))"),"petani")</f>
        <v>petani</v>
      </c>
      <c r="D1063" s="40" t="str">
        <f>IFERROR(__xludf.DUMMYFUNCTION("TEXTJOIN("", "",TRUE,UNIQUE(FILTER('Data Master'!$D$2:$D1887,'Data Master'!$C$2:$C1887=A1063)))"),"")</f>
        <v/>
      </c>
    </row>
    <row r="1064" hidden="1">
      <c r="C1064" s="40" t="str">
        <f>IFERROR(__xludf.DUMMYFUNCTION("TEXTJOIN("", "",TRUE,UNIQUE(FILTER('Data Master'!$B$2:$B1887,'Data Master'!$C$2:$C1887=A1064)))"),"petani")</f>
        <v>petani</v>
      </c>
      <c r="D1064" s="40" t="str">
        <f>IFERROR(__xludf.DUMMYFUNCTION("TEXTJOIN("", "",TRUE,UNIQUE(FILTER('Data Master'!$D$2:$D1887,'Data Master'!$C$2:$C1887=A1064)))"),"")</f>
        <v/>
      </c>
    </row>
    <row r="1065" hidden="1">
      <c r="C1065" s="40" t="str">
        <f>IFERROR(__xludf.DUMMYFUNCTION("TEXTJOIN("", "",TRUE,UNIQUE(FILTER('Data Master'!$B$2:$B1887,'Data Master'!$C$2:$C1887=A1065)))"),"petani")</f>
        <v>petani</v>
      </c>
      <c r="D1065" s="40" t="str">
        <f>IFERROR(__xludf.DUMMYFUNCTION("TEXTJOIN("", "",TRUE,UNIQUE(FILTER('Data Master'!$D$2:$D1887,'Data Master'!$C$2:$C1887=A1065)))"),"")</f>
        <v/>
      </c>
    </row>
    <row r="1066" hidden="1">
      <c r="C1066" s="40" t="str">
        <f>IFERROR(__xludf.DUMMYFUNCTION("TEXTJOIN("", "",TRUE,UNIQUE(FILTER('Data Master'!$B$2:$B1887,'Data Master'!$C$2:$C1887=A1066)))"),"petani")</f>
        <v>petani</v>
      </c>
      <c r="D1066" s="40" t="str">
        <f>IFERROR(__xludf.DUMMYFUNCTION("TEXTJOIN("", "",TRUE,UNIQUE(FILTER('Data Master'!$D$2:$D1887,'Data Master'!$C$2:$C1887=A1066)))"),"")</f>
        <v/>
      </c>
    </row>
    <row r="1067" hidden="1">
      <c r="C1067" s="40" t="str">
        <f>IFERROR(__xludf.DUMMYFUNCTION("TEXTJOIN("", "",TRUE,UNIQUE(FILTER('Data Master'!$B$2:$B1887,'Data Master'!$C$2:$C1887=A1067)))"),"petani")</f>
        <v>petani</v>
      </c>
      <c r="D1067" s="40" t="str">
        <f>IFERROR(__xludf.DUMMYFUNCTION("TEXTJOIN("", "",TRUE,UNIQUE(FILTER('Data Master'!$D$2:$D1887,'Data Master'!$C$2:$C1887=A1067)))"),"")</f>
        <v/>
      </c>
    </row>
    <row r="1068" hidden="1">
      <c r="C1068" s="40" t="str">
        <f>IFERROR(__xludf.DUMMYFUNCTION("TEXTJOIN("", "",TRUE,UNIQUE(FILTER('Data Master'!$B$2:$B1887,'Data Master'!$C$2:$C1887=A1068)))"),"petani")</f>
        <v>petani</v>
      </c>
      <c r="D1068" s="40" t="str">
        <f>IFERROR(__xludf.DUMMYFUNCTION("TEXTJOIN("", "",TRUE,UNIQUE(FILTER('Data Master'!$D$2:$D1887,'Data Master'!$C$2:$C1887=A1068)))"),"")</f>
        <v/>
      </c>
    </row>
    <row r="1069" hidden="1">
      <c r="C1069" s="40" t="str">
        <f>IFERROR(__xludf.DUMMYFUNCTION("TEXTJOIN("", "",TRUE,UNIQUE(FILTER('Data Master'!$B$2:$B1887,'Data Master'!$C$2:$C1887=A1069)))"),"petani")</f>
        <v>petani</v>
      </c>
      <c r="D1069" s="40" t="str">
        <f>IFERROR(__xludf.DUMMYFUNCTION("TEXTJOIN("", "",TRUE,UNIQUE(FILTER('Data Master'!$D$2:$D1887,'Data Master'!$C$2:$C1887=A1069)))"),"")</f>
        <v/>
      </c>
    </row>
    <row r="1070" hidden="1">
      <c r="C1070" s="40" t="str">
        <f>IFERROR(__xludf.DUMMYFUNCTION("TEXTJOIN("", "",TRUE,UNIQUE(FILTER('Data Master'!$B$2:$B1887,'Data Master'!$C$2:$C1887=A1070)))"),"petani")</f>
        <v>petani</v>
      </c>
      <c r="D1070" s="40" t="str">
        <f>IFERROR(__xludf.DUMMYFUNCTION("TEXTJOIN("", "",TRUE,UNIQUE(FILTER('Data Master'!$D$2:$D1887,'Data Master'!$C$2:$C1887=A1070)))"),"")</f>
        <v/>
      </c>
    </row>
    <row r="1071" hidden="1">
      <c r="C1071" s="40" t="str">
        <f>IFERROR(__xludf.DUMMYFUNCTION("TEXTJOIN("", "",TRUE,UNIQUE(FILTER('Data Master'!$B$2:$B1887,'Data Master'!$C$2:$C1887=A1071)))"),"petani")</f>
        <v>petani</v>
      </c>
      <c r="D1071" s="40" t="str">
        <f>IFERROR(__xludf.DUMMYFUNCTION("TEXTJOIN("", "",TRUE,UNIQUE(FILTER('Data Master'!$D$2:$D1887,'Data Master'!$C$2:$C1887=A1071)))"),"")</f>
        <v/>
      </c>
    </row>
    <row r="1072" hidden="1">
      <c r="C1072" s="40" t="str">
        <f>IFERROR(__xludf.DUMMYFUNCTION("TEXTJOIN("", "",TRUE,UNIQUE(FILTER('Data Master'!$B$2:$B1887,'Data Master'!$C$2:$C1887=A1072)))"),"petani")</f>
        <v>petani</v>
      </c>
      <c r="D1072" s="40" t="str">
        <f>IFERROR(__xludf.DUMMYFUNCTION("TEXTJOIN("", "",TRUE,UNIQUE(FILTER('Data Master'!$D$2:$D1887,'Data Master'!$C$2:$C1887=A1072)))"),"")</f>
        <v/>
      </c>
    </row>
    <row r="1073" hidden="1">
      <c r="C1073" s="40" t="str">
        <f>IFERROR(__xludf.DUMMYFUNCTION("TEXTJOIN("", "",TRUE,UNIQUE(FILTER('Data Master'!$B$2:$B1887,'Data Master'!$C$2:$C1887=A1073)))"),"penyuluh")</f>
        <v>penyuluh</v>
      </c>
      <c r="D1073" s="40" t="str">
        <f>IFERROR(__xludf.DUMMYFUNCTION("TEXTJOIN("", "",TRUE,UNIQUE(FILTER('Data Master'!$D$2:$D1887,'Data Master'!$C$2:$C1887=A1073)))"),"mamang@gmail.com")</f>
        <v>mamang@gmail.com</v>
      </c>
    </row>
    <row r="1074" hidden="1">
      <c r="C1074" s="40" t="str">
        <f>IFERROR(__xludf.DUMMYFUNCTION("TEXTJOIN("", "",TRUE,UNIQUE(FILTER('Data Master'!$B$2:$B1887,'Data Master'!$C$2:$C1887=A1074)))"),"petani")</f>
        <v>petani</v>
      </c>
      <c r="D1074" s="40" t="str">
        <f>IFERROR(__xludf.DUMMYFUNCTION("TEXTJOIN("", "",TRUE,UNIQUE(FILTER('Data Master'!$D$2:$D1887,'Data Master'!$C$2:$C1887=A1074)))"),"")</f>
        <v/>
      </c>
    </row>
    <row r="1075" hidden="1">
      <c r="C1075" s="40" t="str">
        <f>IFERROR(__xludf.DUMMYFUNCTION("TEXTJOIN("", "",TRUE,UNIQUE(FILTER('Data Master'!$B$2:$B1887,'Data Master'!$C$2:$C1887=A1075)))"),"petani")</f>
        <v>petani</v>
      </c>
      <c r="D1075" s="40" t="str">
        <f>IFERROR(__xludf.DUMMYFUNCTION("TEXTJOIN("", "",TRUE,UNIQUE(FILTER('Data Master'!$D$2:$D1887,'Data Master'!$C$2:$C1887=A1075)))"),"")</f>
        <v/>
      </c>
    </row>
    <row r="1076" hidden="1">
      <c r="C1076" s="40" t="str">
        <f>IFERROR(__xludf.DUMMYFUNCTION("TEXTJOIN("", "",TRUE,UNIQUE(FILTER('Data Master'!$B$2:$B1887,'Data Master'!$C$2:$C1887=A1076)))"),"petani")</f>
        <v>petani</v>
      </c>
      <c r="D1076" s="40" t="str">
        <f>IFERROR(__xludf.DUMMYFUNCTION("TEXTJOIN("", "",TRUE,UNIQUE(FILTER('Data Master'!$D$2:$D1887,'Data Master'!$C$2:$C1887=A1076)))"),"")</f>
        <v/>
      </c>
    </row>
    <row r="1077" hidden="1">
      <c r="C1077" s="40" t="str">
        <f>IFERROR(__xludf.DUMMYFUNCTION("TEXTJOIN("", "",TRUE,UNIQUE(FILTER('Data Master'!$B$2:$B1887,'Data Master'!$C$2:$C1887=A1077)))"),"petani")</f>
        <v>petani</v>
      </c>
      <c r="D1077" s="40" t="str">
        <f>IFERROR(__xludf.DUMMYFUNCTION("TEXTJOIN("", "",TRUE,UNIQUE(FILTER('Data Master'!$D$2:$D1887,'Data Master'!$C$2:$C1887=A1077)))"),"")</f>
        <v/>
      </c>
    </row>
    <row r="1078" hidden="1">
      <c r="C1078" s="40" t="str">
        <f>IFERROR(__xludf.DUMMYFUNCTION("TEXTJOIN("", "",TRUE,UNIQUE(FILTER('Data Master'!$B$2:$B1887,'Data Master'!$C$2:$C1887=A1078)))"),"petani")</f>
        <v>petani</v>
      </c>
      <c r="D1078" s="40" t="str">
        <f>IFERROR(__xludf.DUMMYFUNCTION("TEXTJOIN("", "",TRUE,UNIQUE(FILTER('Data Master'!$D$2:$D1887,'Data Master'!$C$2:$C1887=A1078)))"),"")</f>
        <v/>
      </c>
    </row>
    <row r="1079" hidden="1">
      <c r="C1079" s="40" t="str">
        <f>IFERROR(__xludf.DUMMYFUNCTION("TEXTJOIN("", "",TRUE,UNIQUE(FILTER('Data Master'!$B$2:$B1887,'Data Master'!$C$2:$C1887=A1079)))"),"petani")</f>
        <v>petani</v>
      </c>
      <c r="D1079" s="40" t="str">
        <f>IFERROR(__xludf.DUMMYFUNCTION("TEXTJOIN("", "",TRUE,UNIQUE(FILTER('Data Master'!$D$2:$D1887,'Data Master'!$C$2:$C1887=A1079)))"),"dehapurwoko@gmail.com")</f>
        <v>dehapurwoko@gmail.com</v>
      </c>
    </row>
    <row r="1080" hidden="1">
      <c r="C1080" s="40" t="str">
        <f>IFERROR(__xludf.DUMMYFUNCTION("TEXTJOIN("", "",TRUE,UNIQUE(FILTER('Data Master'!$B$2:$B1887,'Data Master'!$C$2:$C1887=A1080)))"),"petani")</f>
        <v>petani</v>
      </c>
      <c r="D1080" s="40" t="str">
        <f>IFERROR(__xludf.DUMMYFUNCTION("TEXTJOIN("", "",TRUE,UNIQUE(FILTER('Data Master'!$D$2:$D1887,'Data Master'!$C$2:$C1887=A1080)))"),"")</f>
        <v/>
      </c>
    </row>
    <row r="1081" hidden="1">
      <c r="C1081" s="40" t="str">
        <f>IFERROR(__xludf.DUMMYFUNCTION("TEXTJOIN("", "",TRUE,UNIQUE(FILTER('Data Master'!$B$2:$B1887,'Data Master'!$C$2:$C1887=A1081)))"),"petani")</f>
        <v>petani</v>
      </c>
      <c r="D1081" s="40" t="str">
        <f>IFERROR(__xludf.DUMMYFUNCTION("TEXTJOIN("", "",TRUE,UNIQUE(FILTER('Data Master'!$D$2:$D1887,'Data Master'!$C$2:$C1887=A1081)))"),"")</f>
        <v/>
      </c>
    </row>
    <row r="1082" hidden="1">
      <c r="C1082" s="40" t="str">
        <f>IFERROR(__xludf.DUMMYFUNCTION("TEXTJOIN("", "",TRUE,UNIQUE(FILTER('Data Master'!$B$2:$B1887,'Data Master'!$C$2:$C1887=A1082)))"),"petani")</f>
        <v>petani</v>
      </c>
      <c r="D1082" s="40" t="str">
        <f>IFERROR(__xludf.DUMMYFUNCTION("TEXTJOIN("", "",TRUE,UNIQUE(FILTER('Data Master'!$D$2:$D1887,'Data Master'!$C$2:$C1887=A1082)))"),"")</f>
        <v/>
      </c>
    </row>
    <row r="1083" hidden="1">
      <c r="C1083" s="40" t="str">
        <f>IFERROR(__xludf.DUMMYFUNCTION("TEXTJOIN("", "",TRUE,UNIQUE(FILTER('Data Master'!$B$2:$B1887,'Data Master'!$C$2:$C1887=A1083)))"),"petani")</f>
        <v>petani</v>
      </c>
      <c r="D1083" s="40" t="str">
        <f>IFERROR(__xludf.DUMMYFUNCTION("TEXTJOIN("", "",TRUE,UNIQUE(FILTER('Data Master'!$D$2:$D1887,'Data Master'!$C$2:$C1887=A1083)))"),"")</f>
        <v/>
      </c>
    </row>
    <row r="1084" hidden="1">
      <c r="C1084" s="40" t="str">
        <f>IFERROR(__xludf.DUMMYFUNCTION("TEXTJOIN("", "",TRUE,UNIQUE(FILTER('Data Master'!$B$2:$B1887,'Data Master'!$C$2:$C1887=A1084)))"),"petani")</f>
        <v>petani</v>
      </c>
      <c r="D1084" s="40" t="str">
        <f>IFERROR(__xludf.DUMMYFUNCTION("TEXTJOIN("", "",TRUE,UNIQUE(FILTER('Data Master'!$D$2:$D1887,'Data Master'!$C$2:$C1887=A1084)))"),"")</f>
        <v/>
      </c>
    </row>
    <row r="1085" hidden="1">
      <c r="C1085" s="40" t="str">
        <f>IFERROR(__xludf.DUMMYFUNCTION("TEXTJOIN("", "",TRUE,UNIQUE(FILTER('Data Master'!$B$2:$B1887,'Data Master'!$C$2:$C1887=A1085)))"),"petani")</f>
        <v>petani</v>
      </c>
      <c r="D1085" s="40" t="str">
        <f>IFERROR(__xludf.DUMMYFUNCTION("TEXTJOIN("", "",TRUE,UNIQUE(FILTER('Data Master'!$D$2:$D1887,'Data Master'!$C$2:$C1887=A1085)))"),"")</f>
        <v/>
      </c>
    </row>
    <row r="1086" hidden="1">
      <c r="C1086" s="40" t="str">
        <f>IFERROR(__xludf.DUMMYFUNCTION("TEXTJOIN("", "",TRUE,UNIQUE(FILTER('Data Master'!$B$2:$B1887,'Data Master'!$C$2:$C1887=A1086)))"),"petani")</f>
        <v>petani</v>
      </c>
      <c r="D1086" s="40" t="str">
        <f>IFERROR(__xludf.DUMMYFUNCTION("TEXTJOIN("", "",TRUE,UNIQUE(FILTER('Data Master'!$D$2:$D1887,'Data Master'!$C$2:$C1887=A1086)))"),"")</f>
        <v/>
      </c>
    </row>
    <row r="1087" hidden="1">
      <c r="C1087" s="40" t="str">
        <f>IFERROR(__xludf.DUMMYFUNCTION("TEXTJOIN("", "",TRUE,UNIQUE(FILTER('Data Master'!$B$2:$B1887,'Data Master'!$C$2:$C1887=A1087)))"),"petani")</f>
        <v>petani</v>
      </c>
      <c r="D1087" s="40" t="str">
        <f>IFERROR(__xludf.DUMMYFUNCTION("TEXTJOIN("", "",TRUE,UNIQUE(FILTER('Data Master'!$D$2:$D1887,'Data Master'!$C$2:$C1887=A1087)))"),"")</f>
        <v/>
      </c>
    </row>
    <row r="1088" hidden="1">
      <c r="C1088" s="40" t="str">
        <f>IFERROR(__xludf.DUMMYFUNCTION("TEXTJOIN("", "",TRUE,UNIQUE(FILTER('Data Master'!$B$2:$B1887,'Data Master'!$C$2:$C1887=A1088)))"),"petani")</f>
        <v>petani</v>
      </c>
      <c r="D1088" s="40" t="str">
        <f>IFERROR(__xludf.DUMMYFUNCTION("TEXTJOIN("", "",TRUE,UNIQUE(FILTER('Data Master'!$D$2:$D1887,'Data Master'!$C$2:$C1887=A1088)))"),"")</f>
        <v/>
      </c>
    </row>
    <row r="1089">
      <c r="C1089" s="43" t="str">
        <f>IFERROR(__xludf.DUMMYFUNCTION("TEXTJOIN("", "",TRUE,UNIQUE(FILTER('Data Master'!$B$2:$B1887,'Data Master'!$C$2:$C1887=A1089)))"),"operator admin, penyuluh")</f>
        <v>operator admin, penyuluh</v>
      </c>
      <c r="D1089" s="43" t="str">
        <f>IFERROR(__xludf.DUMMYFUNCTION("TEXTJOIN("", "",TRUE,UNIQUE(FILTER('Data Master'!$D$2:$D1887,'Data Master'!$C$2:$C1887=A1089)))"),"markhabanngale@gmail.com, bppmantingan@gmail.com, markhabanngale1@gmail.com")</f>
        <v>markhabanngale@gmail.com, bppmantingan@gmail.com, markhabanngale1@gmail.com</v>
      </c>
    </row>
    <row r="1090" hidden="1">
      <c r="C1090" s="40" t="str">
        <f>IFERROR(__xludf.DUMMYFUNCTION("TEXTJOIN("", "",TRUE,UNIQUE(FILTER('Data Master'!$B$2:$B1887,'Data Master'!$C$2:$C1887=A1090)))"),"petani")</f>
        <v>petani</v>
      </c>
      <c r="D1090" s="40" t="str">
        <f>IFERROR(__xludf.DUMMYFUNCTION("TEXTJOIN("", "",TRUE,UNIQUE(FILTER('Data Master'!$D$2:$D1887,'Data Master'!$C$2:$C1887=A1090)))"),"")</f>
        <v/>
      </c>
    </row>
    <row r="1091" hidden="1">
      <c r="C1091" s="40" t="str">
        <f>IFERROR(__xludf.DUMMYFUNCTION("TEXTJOIN("", "",TRUE,UNIQUE(FILTER('Data Master'!$B$2:$B1887,'Data Master'!$C$2:$C1887=A1091)))"),"penyuluh")</f>
        <v>penyuluh</v>
      </c>
      <c r="D1091" s="40" t="str">
        <f>IFERROR(__xludf.DUMMYFUNCTION("TEXTJOIN("", "",TRUE,UNIQUE(FILTER('Data Master'!$D$2:$D1887,'Data Master'!$C$2:$C1887=A1091)))"),"silambimarkus17@gmail.com")</f>
        <v>silambimarkus17@gmail.com</v>
      </c>
    </row>
    <row r="1092" hidden="1">
      <c r="C1092" s="40" t="str">
        <f>IFERROR(__xludf.DUMMYFUNCTION("TEXTJOIN("", "",TRUE,UNIQUE(FILTER('Data Master'!$B$2:$B1887,'Data Master'!$C$2:$C1887=A1092)))"),"petani")</f>
        <v>petani</v>
      </c>
      <c r="D1092" s="40" t="str">
        <f>IFERROR(__xludf.DUMMYFUNCTION("TEXTJOIN("", "",TRUE,UNIQUE(FILTER('Data Master'!$D$2:$D1887,'Data Master'!$C$2:$C1887=A1092)))"),"")</f>
        <v/>
      </c>
    </row>
    <row r="1093" hidden="1">
      <c r="C1093" s="40" t="str">
        <f>IFERROR(__xludf.DUMMYFUNCTION("TEXTJOIN("", "",TRUE,UNIQUE(FILTER('Data Master'!$B$2:$B1887,'Data Master'!$C$2:$C1887=A1093)))"),"petani")</f>
        <v>petani</v>
      </c>
      <c r="D1093" s="40" t="str">
        <f>IFERROR(__xludf.DUMMYFUNCTION("TEXTJOIN("", "",TRUE,UNIQUE(FILTER('Data Master'!$D$2:$D1887,'Data Master'!$C$2:$C1887=A1093)))"),"")</f>
        <v/>
      </c>
    </row>
    <row r="1094" hidden="1">
      <c r="C1094" s="40" t="str">
        <f>IFERROR(__xludf.DUMMYFUNCTION("TEXTJOIN("", "",TRUE,UNIQUE(FILTER('Data Master'!$B$2:$B1887,'Data Master'!$C$2:$C1887=A1094)))"),"petani")</f>
        <v>petani</v>
      </c>
      <c r="D1094" s="40" t="str">
        <f>IFERROR(__xludf.DUMMYFUNCTION("TEXTJOIN("", "",TRUE,UNIQUE(FILTER('Data Master'!$D$2:$D1887,'Data Master'!$C$2:$C1887=A1094)))"),"")</f>
        <v/>
      </c>
    </row>
    <row r="1095" hidden="1">
      <c r="C1095" s="40" t="str">
        <f>IFERROR(__xludf.DUMMYFUNCTION("TEXTJOIN("", "",TRUE,UNIQUE(FILTER('Data Master'!$B$2:$B1887,'Data Master'!$C$2:$C1887=A1095)))"),"petani")</f>
        <v>petani</v>
      </c>
      <c r="D1095" s="40" t="str">
        <f>IFERROR(__xludf.DUMMYFUNCTION("TEXTJOIN("", "",TRUE,UNIQUE(FILTER('Data Master'!$D$2:$D1887,'Data Master'!$C$2:$C1887=A1095)))"),"")</f>
        <v/>
      </c>
    </row>
    <row r="1096" hidden="1">
      <c r="C1096" s="40" t="str">
        <f>IFERROR(__xludf.DUMMYFUNCTION("TEXTJOIN("", "",TRUE,UNIQUE(FILTER('Data Master'!$B$2:$B1887,'Data Master'!$C$2:$C1887=A1096)))"),"petani")</f>
        <v>petani</v>
      </c>
      <c r="D1096" s="40" t="str">
        <f>IFERROR(__xludf.DUMMYFUNCTION("TEXTJOIN("", "",TRUE,UNIQUE(FILTER('Data Master'!$D$2:$D1887,'Data Master'!$C$2:$C1887=A1096)))"),"")</f>
        <v/>
      </c>
    </row>
    <row r="1097" hidden="1">
      <c r="C1097" s="40" t="str">
        <f>IFERROR(__xludf.DUMMYFUNCTION("TEXTJOIN("", "",TRUE,UNIQUE(FILTER('Data Master'!$B$2:$B1887,'Data Master'!$C$2:$C1887=A1097)))"),"petani")</f>
        <v>petani</v>
      </c>
      <c r="D1097" s="40" t="str">
        <f>IFERROR(__xludf.DUMMYFUNCTION("TEXTJOIN("", "",TRUE,UNIQUE(FILTER('Data Master'!$D$2:$D1887,'Data Master'!$C$2:$C1887=A1097)))"),"")</f>
        <v/>
      </c>
    </row>
    <row r="1098" hidden="1">
      <c r="C1098" s="40" t="str">
        <f>IFERROR(__xludf.DUMMYFUNCTION("TEXTJOIN("", "",TRUE,UNIQUE(FILTER('Data Master'!$B$2:$B1887,'Data Master'!$C$2:$C1887=A1098)))"),"operator admin")</f>
        <v>operator admin</v>
      </c>
      <c r="D1098" s="40" t="str">
        <f>IFERROR(__xludf.DUMMYFUNCTION("TEXTJOIN("", "",TRUE,UNIQUE(FILTER('Data Master'!$D$2:$D1887,'Data Master'!$C$2:$C1887=A1098)))"),"rachmatsaksono467@gmail.com")</f>
        <v>rachmatsaksono467@gmail.com</v>
      </c>
    </row>
    <row r="1099" hidden="1">
      <c r="C1099" s="40" t="str">
        <f>IFERROR(__xludf.DUMMYFUNCTION("TEXTJOIN("", "",TRUE,UNIQUE(FILTER('Data Master'!$B$2:$B1887,'Data Master'!$C$2:$C1887=A1099)))"),"penyuluh")</f>
        <v>penyuluh</v>
      </c>
      <c r="D1099" s="40" t="str">
        <f>IFERROR(__xludf.DUMMYFUNCTION("TEXTJOIN("", "",TRUE,UNIQUE(FILTER('Data Master'!$D$2:$D1887,'Data Master'!$C$2:$C1887=A1099)))"),"marsudiyanto844@gmail.com")</f>
        <v>marsudiyanto844@gmail.com</v>
      </c>
    </row>
    <row r="1100" hidden="1">
      <c r="C1100" s="40" t="str">
        <f>IFERROR(__xludf.DUMMYFUNCTION("TEXTJOIN("", "",TRUE,UNIQUE(FILTER('Data Master'!$B$2:$B1887,'Data Master'!$C$2:$C1887=A1100)))"),"petani")</f>
        <v>petani</v>
      </c>
      <c r="D1100" s="40" t="str">
        <f>IFERROR(__xludf.DUMMYFUNCTION("TEXTJOIN("", "",TRUE,UNIQUE(FILTER('Data Master'!$D$2:$D1887,'Data Master'!$C$2:$C1887=A1100)))"),"")</f>
        <v/>
      </c>
    </row>
    <row r="1101" hidden="1">
      <c r="C1101" s="40" t="str">
        <f>IFERROR(__xludf.DUMMYFUNCTION("TEXTJOIN("", "",TRUE,UNIQUE(FILTER('Data Master'!$B$2:$B1887,'Data Master'!$C$2:$C1887=A1101)))"),"petani")</f>
        <v>petani</v>
      </c>
      <c r="D1101" s="40" t="str">
        <f>IFERROR(__xludf.DUMMYFUNCTION("TEXTJOIN("", "",TRUE,UNIQUE(FILTER('Data Master'!$D$2:$D1887,'Data Master'!$C$2:$C1887=A1101)))"),"")</f>
        <v/>
      </c>
    </row>
    <row r="1102" hidden="1">
      <c r="C1102" s="40" t="str">
        <f>IFERROR(__xludf.DUMMYFUNCTION("TEXTJOIN("", "",TRUE,UNIQUE(FILTER('Data Master'!$B$2:$B1887,'Data Master'!$C$2:$C1887=A1102)))"),"petani")</f>
        <v>petani</v>
      </c>
      <c r="D1102" s="40" t="str">
        <f>IFERROR(__xludf.DUMMYFUNCTION("TEXTJOIN("", "",TRUE,UNIQUE(FILTER('Data Master'!$D$2:$D1887,'Data Master'!$C$2:$C1887=A1102)))"),"")</f>
        <v/>
      </c>
    </row>
    <row r="1103" hidden="1">
      <c r="C1103" s="40" t="str">
        <f>IFERROR(__xludf.DUMMYFUNCTION("TEXTJOIN("", "",TRUE,UNIQUE(FILTER('Data Master'!$B$2:$B1887,'Data Master'!$C$2:$C1887=A1103)))"),"petani")</f>
        <v>petani</v>
      </c>
      <c r="D1103" s="40" t="str">
        <f>IFERROR(__xludf.DUMMYFUNCTION("TEXTJOIN("", "",TRUE,UNIQUE(FILTER('Data Master'!$D$2:$D1887,'Data Master'!$C$2:$C1887=A1103)))"),"")</f>
        <v/>
      </c>
    </row>
    <row r="1104" hidden="1">
      <c r="C1104" s="40" t="str">
        <f>IFERROR(__xludf.DUMMYFUNCTION("TEXTJOIN("", "",TRUE,UNIQUE(FILTER('Data Master'!$B$2:$B1887,'Data Master'!$C$2:$C1887=A1104)))"),"petani")</f>
        <v>petani</v>
      </c>
      <c r="D1104" s="40" t="str">
        <f>IFERROR(__xludf.DUMMYFUNCTION("TEXTJOIN("", "",TRUE,UNIQUE(FILTER('Data Master'!$D$2:$D1887,'Data Master'!$C$2:$C1887=A1104)))"),"")</f>
        <v/>
      </c>
    </row>
    <row r="1105" hidden="1">
      <c r="C1105" s="40" t="str">
        <f>IFERROR(__xludf.DUMMYFUNCTION("TEXTJOIN("", "",TRUE,UNIQUE(FILTER('Data Master'!$B$2:$B1887,'Data Master'!$C$2:$C1887=A1105)))"),"petani")</f>
        <v>petani</v>
      </c>
      <c r="D1105" s="40" t="str">
        <f>IFERROR(__xludf.DUMMYFUNCTION("TEXTJOIN("", "",TRUE,UNIQUE(FILTER('Data Master'!$D$2:$D1887,'Data Master'!$C$2:$C1887=A1105)))"),"")</f>
        <v/>
      </c>
    </row>
    <row r="1106" hidden="1">
      <c r="C1106" s="40" t="str">
        <f>IFERROR(__xludf.DUMMYFUNCTION("TEXTJOIN("", "",TRUE,UNIQUE(FILTER('Data Master'!$B$2:$B1887,'Data Master'!$C$2:$C1887=A1106)))"),"petani")</f>
        <v>petani</v>
      </c>
      <c r="D1106" s="40" t="str">
        <f>IFERROR(__xludf.DUMMYFUNCTION("TEXTJOIN("", "",TRUE,UNIQUE(FILTER('Data Master'!$D$2:$D1887,'Data Master'!$C$2:$C1887=A1106)))"),"")</f>
        <v/>
      </c>
    </row>
    <row r="1107" hidden="1">
      <c r="C1107" s="40" t="str">
        <f>IFERROR(__xludf.DUMMYFUNCTION("TEXTJOIN("", "",TRUE,UNIQUE(FILTER('Data Master'!$B$2:$B1887,'Data Master'!$C$2:$C1887=A1107)))"),"petani")</f>
        <v>petani</v>
      </c>
      <c r="D1107" s="40" t="str">
        <f>IFERROR(__xludf.DUMMYFUNCTION("TEXTJOIN("", "",TRUE,UNIQUE(FILTER('Data Master'!$D$2:$D1887,'Data Master'!$C$2:$C1887=A1107)))"),"")</f>
        <v/>
      </c>
    </row>
    <row r="1108" hidden="1">
      <c r="C1108" s="40" t="str">
        <f>IFERROR(__xludf.DUMMYFUNCTION("TEXTJOIN("", "",TRUE,UNIQUE(FILTER('Data Master'!$B$2:$B1887,'Data Master'!$C$2:$C1887=A1108)))"),"petani")</f>
        <v>petani</v>
      </c>
      <c r="D1108" s="40" t="str">
        <f>IFERROR(__xludf.DUMMYFUNCTION("TEXTJOIN("", "",TRUE,UNIQUE(FILTER('Data Master'!$D$2:$D1887,'Data Master'!$C$2:$C1887=A1108)))"),"")</f>
        <v/>
      </c>
    </row>
    <row r="1109" hidden="1">
      <c r="C1109" s="40" t="str">
        <f>IFERROR(__xludf.DUMMYFUNCTION("TEXTJOIN("", "",TRUE,UNIQUE(FILTER('Data Master'!$B$2:$B1887,'Data Master'!$C$2:$C1887=A1109)))"),"petani")</f>
        <v>petani</v>
      </c>
      <c r="D1109" s="40" t="str">
        <f>IFERROR(__xludf.DUMMYFUNCTION("TEXTJOIN("", "",TRUE,UNIQUE(FILTER('Data Master'!$D$2:$D1887,'Data Master'!$C$2:$C1887=A1109)))"),"")</f>
        <v/>
      </c>
    </row>
    <row r="1110" hidden="1">
      <c r="C1110" s="40" t="str">
        <f>IFERROR(__xludf.DUMMYFUNCTION("TEXTJOIN("", "",TRUE,UNIQUE(FILTER('Data Master'!$B$2:$B1887,'Data Master'!$C$2:$C1887=A1110)))"),"petani")</f>
        <v>petani</v>
      </c>
      <c r="D1110" s="40" t="str">
        <f>IFERROR(__xludf.DUMMYFUNCTION("TEXTJOIN("", "",TRUE,UNIQUE(FILTER('Data Master'!$D$2:$D1887,'Data Master'!$C$2:$C1887=A1110)))"),"")</f>
        <v/>
      </c>
    </row>
    <row r="1111" hidden="1">
      <c r="C1111" s="40" t="str">
        <f>IFERROR(__xludf.DUMMYFUNCTION("TEXTJOIN("", "",TRUE,UNIQUE(FILTER('Data Master'!$B$2:$B1887,'Data Master'!$C$2:$C1887=A1111)))"),"petani")</f>
        <v>petani</v>
      </c>
      <c r="D1111" s="40" t="str">
        <f>IFERROR(__xludf.DUMMYFUNCTION("TEXTJOIN("", "",TRUE,UNIQUE(FILTER('Data Master'!$D$2:$D1887,'Data Master'!$C$2:$C1887=A1111)))"),"")</f>
        <v/>
      </c>
    </row>
    <row r="1112" hidden="1">
      <c r="C1112" s="40" t="str">
        <f>IFERROR(__xludf.DUMMYFUNCTION("TEXTJOIN("", "",TRUE,UNIQUE(FILTER('Data Master'!$B$2:$B1887,'Data Master'!$C$2:$C1887=A1112)))"),"penyuluh")</f>
        <v>penyuluh</v>
      </c>
      <c r="D1112" s="40" t="str">
        <f>IFERROR(__xludf.DUMMYFUNCTION("TEXTJOIN("", "",TRUE,UNIQUE(FILTER('Data Master'!$D$2:$D1887,'Data Master'!$C$2:$C1887=A1112)))"),"")</f>
        <v/>
      </c>
    </row>
    <row r="1113" hidden="1">
      <c r="C1113" s="40" t="str">
        <f>IFERROR(__xludf.DUMMYFUNCTION("TEXTJOIN("", "",TRUE,UNIQUE(FILTER('Data Master'!$B$2:$B1887,'Data Master'!$C$2:$C1887=A1113)))"),"penyuluh")</f>
        <v>penyuluh</v>
      </c>
      <c r="D1113" s="40" t="str">
        <f>IFERROR(__xludf.DUMMYFUNCTION("TEXTJOIN("", "",TRUE,UNIQUE(FILTER('Data Master'!$D$2:$D1887,'Data Master'!$C$2:$C1887=A1113)))"),"")</f>
        <v/>
      </c>
    </row>
    <row r="1114" hidden="1">
      <c r="C1114" s="40" t="str">
        <f>IFERROR(__xludf.DUMMYFUNCTION("TEXTJOIN("", "",TRUE,UNIQUE(FILTER('Data Master'!$B$2:$B1887,'Data Master'!$C$2:$C1887=A1114)))"),"penyuluh")</f>
        <v>penyuluh</v>
      </c>
      <c r="D1114" s="40" t="str">
        <f>IFERROR(__xludf.DUMMYFUNCTION("TEXTJOIN("", "",TRUE,UNIQUE(FILTER('Data Master'!$D$2:$D1887,'Data Master'!$C$2:$C1887=A1114)))"),"lula.nendra81@gmail.com")</f>
        <v>lula.nendra81@gmail.com</v>
      </c>
    </row>
    <row r="1115" hidden="1">
      <c r="C1115" s="40" t="str">
        <f>IFERROR(__xludf.DUMMYFUNCTION("TEXTJOIN("", "",TRUE,UNIQUE(FILTER('Data Master'!$B$2:$B1887,'Data Master'!$C$2:$C1887=A1115)))"),"petani")</f>
        <v>petani</v>
      </c>
      <c r="D1115" s="40" t="str">
        <f>IFERROR(__xludf.DUMMYFUNCTION("TEXTJOIN("", "",TRUE,UNIQUE(FILTER('Data Master'!$D$2:$D1887,'Data Master'!$C$2:$C1887=A1115)))"),"")</f>
        <v/>
      </c>
    </row>
    <row r="1116" hidden="1">
      <c r="C1116" s="40" t="str">
        <f>IFERROR(__xludf.DUMMYFUNCTION("TEXTJOIN("", "",TRUE,UNIQUE(FILTER('Data Master'!$B$2:$B1887,'Data Master'!$C$2:$C1887=A1116)))"),"petani")</f>
        <v>petani</v>
      </c>
      <c r="D1116" s="40" t="str">
        <f>IFERROR(__xludf.DUMMYFUNCTION("TEXTJOIN("", "",TRUE,UNIQUE(FILTER('Data Master'!$D$2:$D1887,'Data Master'!$C$2:$C1887=A1116)))"),"")</f>
        <v/>
      </c>
    </row>
    <row r="1117" hidden="1">
      <c r="C1117" s="40" t="str">
        <f>IFERROR(__xludf.DUMMYFUNCTION("TEXTJOIN("", "",TRUE,UNIQUE(FILTER('Data Master'!$B$2:$B1887,'Data Master'!$C$2:$C1887=A1117)))"),"petani")</f>
        <v>petani</v>
      </c>
      <c r="D1117" s="40" t="str">
        <f>IFERROR(__xludf.DUMMYFUNCTION("TEXTJOIN("", "",TRUE,UNIQUE(FILTER('Data Master'!$D$2:$D1887,'Data Master'!$C$2:$C1887=A1117)))"),"")</f>
        <v/>
      </c>
    </row>
    <row r="1118" hidden="1">
      <c r="C1118" s="40" t="str">
        <f>IFERROR(__xludf.DUMMYFUNCTION("TEXTJOIN("", "",TRUE,UNIQUE(FILTER('Data Master'!$B$2:$B1887,'Data Master'!$C$2:$C1887=A1118)))"),"petani")</f>
        <v>petani</v>
      </c>
      <c r="D1118" s="40" t="str">
        <f>IFERROR(__xludf.DUMMYFUNCTION("TEXTJOIN("", "",TRUE,UNIQUE(FILTER('Data Master'!$D$2:$D1887,'Data Master'!$C$2:$C1887=A1118)))"),"")</f>
        <v/>
      </c>
    </row>
    <row r="1119" hidden="1">
      <c r="C1119" s="40" t="str">
        <f>IFERROR(__xludf.DUMMYFUNCTION("TEXTJOIN("", "",TRUE,UNIQUE(FILTER('Data Master'!$B$2:$B1887,'Data Master'!$C$2:$C1887=A1119)))"),"petani")</f>
        <v>petani</v>
      </c>
      <c r="D1119" s="40" t="str">
        <f>IFERROR(__xludf.DUMMYFUNCTION("TEXTJOIN("", "",TRUE,UNIQUE(FILTER('Data Master'!$D$2:$D1887,'Data Master'!$C$2:$C1887=A1119)))"),"")</f>
        <v/>
      </c>
    </row>
    <row r="1120" hidden="1">
      <c r="C1120" s="40" t="str">
        <f>IFERROR(__xludf.DUMMYFUNCTION("TEXTJOIN("", "",TRUE,UNIQUE(FILTER('Data Master'!$B$2:$B1887,'Data Master'!$C$2:$C1887=A1120)))"),"petani")</f>
        <v>petani</v>
      </c>
      <c r="D1120" s="40" t="str">
        <f>IFERROR(__xludf.DUMMYFUNCTION("TEXTJOIN("", "",TRUE,UNIQUE(FILTER('Data Master'!$D$2:$D1887,'Data Master'!$C$2:$C1887=A1120)))"),"")</f>
        <v/>
      </c>
    </row>
    <row r="1121" hidden="1">
      <c r="C1121" s="40" t="str">
        <f>IFERROR(__xludf.DUMMYFUNCTION("TEXTJOIN("", "",TRUE,UNIQUE(FILTER('Data Master'!$B$2:$B1887,'Data Master'!$C$2:$C1887=A1121)))"),"petani")</f>
        <v>petani</v>
      </c>
      <c r="D1121" s="40" t="str">
        <f>IFERROR(__xludf.DUMMYFUNCTION("TEXTJOIN("", "",TRUE,UNIQUE(FILTER('Data Master'!$D$2:$D1887,'Data Master'!$C$2:$C1887=A1121)))"),"")</f>
        <v/>
      </c>
    </row>
    <row r="1122" hidden="1">
      <c r="C1122" s="40" t="str">
        <f>IFERROR(__xludf.DUMMYFUNCTION("TEXTJOIN("", "",TRUE,UNIQUE(FILTER('Data Master'!$B$2:$B1887,'Data Master'!$C$2:$C1887=A1122)))"),"petani")</f>
        <v>petani</v>
      </c>
      <c r="D1122" s="40" t="str">
        <f>IFERROR(__xludf.DUMMYFUNCTION("TEXTJOIN("", "",TRUE,UNIQUE(FILTER('Data Master'!$D$2:$D1887,'Data Master'!$C$2:$C1887=A1122)))"),"")</f>
        <v/>
      </c>
    </row>
    <row r="1123" hidden="1">
      <c r="C1123" s="40" t="str">
        <f>IFERROR(__xludf.DUMMYFUNCTION("TEXTJOIN("", "",TRUE,UNIQUE(FILTER('Data Master'!$B$2:$B1887,'Data Master'!$C$2:$C1887=A1123)))"),"petani")</f>
        <v>petani</v>
      </c>
      <c r="D1123" s="40" t="str">
        <f>IFERROR(__xludf.DUMMYFUNCTION("TEXTJOIN("", "",TRUE,UNIQUE(FILTER('Data Master'!$D$2:$D1887,'Data Master'!$C$2:$C1887=A1123)))"),"")</f>
        <v/>
      </c>
    </row>
    <row r="1124" hidden="1">
      <c r="C1124" s="40" t="str">
        <f>IFERROR(__xludf.DUMMYFUNCTION("TEXTJOIN("", "",TRUE,UNIQUE(FILTER('Data Master'!$B$2:$B1887,'Data Master'!$C$2:$C1887=A1124)))"),"petani")</f>
        <v>petani</v>
      </c>
      <c r="D1124" s="40" t="str">
        <f>IFERROR(__xludf.DUMMYFUNCTION("TEXTJOIN("", "",TRUE,UNIQUE(FILTER('Data Master'!$D$2:$D1887,'Data Master'!$C$2:$C1887=A1124)))"),"")</f>
        <v/>
      </c>
    </row>
    <row r="1125" hidden="1">
      <c r="C1125" s="40" t="str">
        <f>IFERROR(__xludf.DUMMYFUNCTION("TEXTJOIN("", "",TRUE,UNIQUE(FILTER('Data Master'!$B$2:$B1887,'Data Master'!$C$2:$C1887=A1125)))"),"petani")</f>
        <v>petani</v>
      </c>
      <c r="D1125" s="40" t="str">
        <f>IFERROR(__xludf.DUMMYFUNCTION("TEXTJOIN("", "",TRUE,UNIQUE(FILTER('Data Master'!$D$2:$D1887,'Data Master'!$C$2:$C1887=A1125)))"),"")</f>
        <v/>
      </c>
    </row>
    <row r="1126" hidden="1">
      <c r="C1126" s="40" t="str">
        <f>IFERROR(__xludf.DUMMYFUNCTION("TEXTJOIN("", "",TRUE,UNIQUE(FILTER('Data Master'!$B$2:$B1887,'Data Master'!$C$2:$C1887=A1126)))"),"petani")</f>
        <v>petani</v>
      </c>
      <c r="D1126" s="40" t="str">
        <f>IFERROR(__xludf.DUMMYFUNCTION("TEXTJOIN("", "",TRUE,UNIQUE(FILTER('Data Master'!$D$2:$D1887,'Data Master'!$C$2:$C1887=A1126)))"),"")</f>
        <v/>
      </c>
    </row>
    <row r="1127" hidden="1">
      <c r="C1127" s="40" t="str">
        <f>IFERROR(__xludf.DUMMYFUNCTION("TEXTJOIN("", "",TRUE,UNIQUE(FILTER('Data Master'!$B$2:$B1887,'Data Master'!$C$2:$C1887=A1127)))"),"penyuluh")</f>
        <v>penyuluh</v>
      </c>
      <c r="D1127" s="40" t="str">
        <f>IFERROR(__xludf.DUMMYFUNCTION("TEXTJOIN("", "",TRUE,UNIQUE(FILTER('Data Master'!$D$2:$D1887,'Data Master'!$C$2:$C1887=A1127)))"),"")</f>
        <v/>
      </c>
    </row>
    <row r="1128" hidden="1">
      <c r="C1128" s="40" t="str">
        <f>IFERROR(__xludf.DUMMYFUNCTION("TEXTJOIN("", "",TRUE,UNIQUE(FILTER('Data Master'!$B$2:$B1887,'Data Master'!$C$2:$C1887=A1128)))"),"petani")</f>
        <v>petani</v>
      </c>
      <c r="D1128" s="40" t="str">
        <f>IFERROR(__xludf.DUMMYFUNCTION("TEXTJOIN("", "",TRUE,UNIQUE(FILTER('Data Master'!$D$2:$D1887,'Data Master'!$C$2:$C1887=A1128)))"),"")</f>
        <v/>
      </c>
    </row>
    <row r="1129" hidden="1">
      <c r="C1129" s="40" t="str">
        <f>IFERROR(__xludf.DUMMYFUNCTION("TEXTJOIN("", "",TRUE,UNIQUE(FILTER('Data Master'!$B$2:$B1887,'Data Master'!$C$2:$C1887=A1129)))"),"petani")</f>
        <v>petani</v>
      </c>
      <c r="D1129" s="40" t="str">
        <f>IFERROR(__xludf.DUMMYFUNCTION("TEXTJOIN("", "",TRUE,UNIQUE(FILTER('Data Master'!$D$2:$D1887,'Data Master'!$C$2:$C1887=A1129)))"),"")</f>
        <v/>
      </c>
    </row>
    <row r="1130" hidden="1">
      <c r="C1130" s="40" t="str">
        <f>IFERROR(__xludf.DUMMYFUNCTION("TEXTJOIN("", "",TRUE,UNIQUE(FILTER('Data Master'!$B$2:$B1887,'Data Master'!$C$2:$C1887=A1130)))"),"petani")</f>
        <v>petani</v>
      </c>
      <c r="D1130" s="40" t="str">
        <f>IFERROR(__xludf.DUMMYFUNCTION("TEXTJOIN("", "",TRUE,UNIQUE(FILTER('Data Master'!$D$2:$D1887,'Data Master'!$C$2:$C1887=A1130)))"),"")</f>
        <v/>
      </c>
    </row>
    <row r="1131" hidden="1">
      <c r="C1131" s="40" t="str">
        <f>IFERROR(__xludf.DUMMYFUNCTION("TEXTJOIN("", "",TRUE,UNIQUE(FILTER('Data Master'!$B$2:$B1887,'Data Master'!$C$2:$C1887=A1131)))"),"petani")</f>
        <v>petani</v>
      </c>
      <c r="D1131" s="40" t="str">
        <f>IFERROR(__xludf.DUMMYFUNCTION("TEXTJOIN("", "",TRUE,UNIQUE(FILTER('Data Master'!$D$2:$D1887,'Data Master'!$C$2:$C1887=A1131)))"),"")</f>
        <v/>
      </c>
    </row>
    <row r="1132" hidden="1">
      <c r="C1132" s="40" t="str">
        <f>IFERROR(__xludf.DUMMYFUNCTION("TEXTJOIN("", "",TRUE,UNIQUE(FILTER('Data Master'!$B$2:$B1887,'Data Master'!$C$2:$C1887=A1132)))"),"petani")</f>
        <v>petani</v>
      </c>
      <c r="D1132" s="40" t="str">
        <f>IFERROR(__xludf.DUMMYFUNCTION("TEXTJOIN("", "",TRUE,UNIQUE(FILTER('Data Master'!$D$2:$D1887,'Data Master'!$C$2:$C1887=A1132)))"),"")</f>
        <v/>
      </c>
    </row>
    <row r="1133" hidden="1">
      <c r="C1133" s="40" t="str">
        <f>IFERROR(__xludf.DUMMYFUNCTION("TEXTJOIN("", "",TRUE,UNIQUE(FILTER('Data Master'!$B$2:$B1887,'Data Master'!$C$2:$C1887=A1133)))"),"petani")</f>
        <v>petani</v>
      </c>
      <c r="D1133" s="40" t="str">
        <f>IFERROR(__xludf.DUMMYFUNCTION("TEXTJOIN("", "",TRUE,UNIQUE(FILTER('Data Master'!$D$2:$D1887,'Data Master'!$C$2:$C1887=A1133)))"),"")</f>
        <v/>
      </c>
    </row>
    <row r="1134" hidden="1">
      <c r="C1134" s="40" t="str">
        <f>IFERROR(__xludf.DUMMYFUNCTION("TEXTJOIN("", "",TRUE,UNIQUE(FILTER('Data Master'!$B$2:$B1887,'Data Master'!$C$2:$C1887=A1134)))"),"petani")</f>
        <v>petani</v>
      </c>
      <c r="D1134" s="40" t="str">
        <f>IFERROR(__xludf.DUMMYFUNCTION("TEXTJOIN("", "",TRUE,UNIQUE(FILTER('Data Master'!$D$2:$D1887,'Data Master'!$C$2:$C1887=A1134)))"),"")</f>
        <v/>
      </c>
    </row>
    <row r="1135" hidden="1">
      <c r="C1135" s="40" t="str">
        <f>IFERROR(__xludf.DUMMYFUNCTION("TEXTJOIN("", "",TRUE,UNIQUE(FILTER('Data Master'!$B$2:$B1887,'Data Master'!$C$2:$C1887=A1135)))"),"petani")</f>
        <v>petani</v>
      </c>
      <c r="D1135" s="40" t="str">
        <f>IFERROR(__xludf.DUMMYFUNCTION("TEXTJOIN("", "",TRUE,UNIQUE(FILTER('Data Master'!$D$2:$D1887,'Data Master'!$C$2:$C1887=A1135)))"),"")</f>
        <v/>
      </c>
    </row>
    <row r="1136" hidden="1">
      <c r="C1136" s="40" t="str">
        <f>IFERROR(__xludf.DUMMYFUNCTION("TEXTJOIN("", "",TRUE,UNIQUE(FILTER('Data Master'!$B$2:$B1887,'Data Master'!$C$2:$C1887=A1136)))"),"petani")</f>
        <v>petani</v>
      </c>
      <c r="D1136" s="40" t="str">
        <f>IFERROR(__xludf.DUMMYFUNCTION("TEXTJOIN("", "",TRUE,UNIQUE(FILTER('Data Master'!$D$2:$D1887,'Data Master'!$C$2:$C1887=A1136)))"),"")</f>
        <v/>
      </c>
    </row>
    <row r="1137" hidden="1">
      <c r="C1137" s="40" t="str">
        <f>IFERROR(__xludf.DUMMYFUNCTION("TEXTJOIN("", "",TRUE,UNIQUE(FILTER('Data Master'!$B$2:$B1887,'Data Master'!$C$2:$C1887=A1137)))"),"petani")</f>
        <v>petani</v>
      </c>
      <c r="D1137" s="40" t="str">
        <f>IFERROR(__xludf.DUMMYFUNCTION("TEXTJOIN("", "",TRUE,UNIQUE(FILTER('Data Master'!$D$2:$D1887,'Data Master'!$C$2:$C1887=A1137)))"),"")</f>
        <v/>
      </c>
    </row>
    <row r="1138" hidden="1">
      <c r="C1138" s="40" t="str">
        <f>IFERROR(__xludf.DUMMYFUNCTION("TEXTJOIN("", "",TRUE,UNIQUE(FILTER('Data Master'!$B$2:$B1887,'Data Master'!$C$2:$C1887=A1138)))"),"petani")</f>
        <v>petani</v>
      </c>
      <c r="D1138" s="40" t="str">
        <f>IFERROR(__xludf.DUMMYFUNCTION("TEXTJOIN("", "",TRUE,UNIQUE(FILTER('Data Master'!$D$2:$D1887,'Data Master'!$C$2:$C1887=A1138)))"),"")</f>
        <v/>
      </c>
    </row>
    <row r="1139" hidden="1">
      <c r="C1139" s="40" t="str">
        <f>IFERROR(__xludf.DUMMYFUNCTION("TEXTJOIN("", "",TRUE,UNIQUE(FILTER('Data Master'!$B$2:$B1887,'Data Master'!$C$2:$C1887=A1139)))"),"petani")</f>
        <v>petani</v>
      </c>
      <c r="D1139" s="40" t="str">
        <f>IFERROR(__xludf.DUMMYFUNCTION("TEXTJOIN("", "",TRUE,UNIQUE(FILTER('Data Master'!$D$2:$D1887,'Data Master'!$C$2:$C1887=A1139)))"),"")</f>
        <v/>
      </c>
    </row>
    <row r="1140" hidden="1">
      <c r="C1140" s="40" t="str">
        <f>IFERROR(__xludf.DUMMYFUNCTION("TEXTJOIN("", "",TRUE,UNIQUE(FILTER('Data Master'!$B$2:$B1887,'Data Master'!$C$2:$C1887=A1140)))"),"petani")</f>
        <v>petani</v>
      </c>
      <c r="D1140" s="40" t="str">
        <f>IFERROR(__xludf.DUMMYFUNCTION("TEXTJOIN("", "",TRUE,UNIQUE(FILTER('Data Master'!$D$2:$D1887,'Data Master'!$C$2:$C1887=A1140)))"),"")</f>
        <v/>
      </c>
    </row>
    <row r="1141" hidden="1">
      <c r="C1141" s="40" t="str">
        <f>IFERROR(__xludf.DUMMYFUNCTION("TEXTJOIN("", "",TRUE,UNIQUE(FILTER('Data Master'!$B$2:$B1887,'Data Master'!$C$2:$C1887=A1141)))"),"petani")</f>
        <v>petani</v>
      </c>
      <c r="D1141" s="40" t="str">
        <f>IFERROR(__xludf.DUMMYFUNCTION("TEXTJOIN("", "",TRUE,UNIQUE(FILTER('Data Master'!$D$2:$D1887,'Data Master'!$C$2:$C1887=A1141)))"),"")</f>
        <v/>
      </c>
    </row>
    <row r="1142" hidden="1">
      <c r="C1142" s="40" t="str">
        <f>IFERROR(__xludf.DUMMYFUNCTION("TEXTJOIN("", "",TRUE,UNIQUE(FILTER('Data Master'!$B$2:$B1887,'Data Master'!$C$2:$C1887=A1142)))"),"petani")</f>
        <v>petani</v>
      </c>
      <c r="D1142" s="40" t="str">
        <f>IFERROR(__xludf.DUMMYFUNCTION("TEXTJOIN("", "",TRUE,UNIQUE(FILTER('Data Master'!$D$2:$D1887,'Data Master'!$C$2:$C1887=A1142)))"),"")</f>
        <v/>
      </c>
    </row>
    <row r="1143" hidden="1">
      <c r="C1143" s="40" t="str">
        <f>IFERROR(__xludf.DUMMYFUNCTION("TEXTJOIN("", "",TRUE,UNIQUE(FILTER('Data Master'!$B$2:$B1887,'Data Master'!$C$2:$C1887=A1143)))"),"petani")</f>
        <v>petani</v>
      </c>
      <c r="D1143" s="40" t="str">
        <f>IFERROR(__xludf.DUMMYFUNCTION("TEXTJOIN("", "",TRUE,UNIQUE(FILTER('Data Master'!$D$2:$D1887,'Data Master'!$C$2:$C1887=A1143)))"),"")</f>
        <v/>
      </c>
    </row>
    <row r="1144" hidden="1">
      <c r="C1144" s="40" t="str">
        <f>IFERROR(__xludf.DUMMYFUNCTION("TEXTJOIN("", "",TRUE,UNIQUE(FILTER('Data Master'!$B$2:$B1887,'Data Master'!$C$2:$C1887=A1144)))"),"petani")</f>
        <v>petani</v>
      </c>
      <c r="D1144" s="40" t="str">
        <f>IFERROR(__xludf.DUMMYFUNCTION("TEXTJOIN("", "",TRUE,UNIQUE(FILTER('Data Master'!$D$2:$D1887,'Data Master'!$C$2:$C1887=A1144)))"),"")</f>
        <v/>
      </c>
    </row>
    <row r="1145" hidden="1">
      <c r="C1145" s="40" t="str">
        <f>IFERROR(__xludf.DUMMYFUNCTION("TEXTJOIN("", "",TRUE,UNIQUE(FILTER('Data Master'!$B$2:$B1887,'Data Master'!$C$2:$C1887=A1145)))"),"petani")</f>
        <v>petani</v>
      </c>
      <c r="D1145" s="40" t="str">
        <f>IFERROR(__xludf.DUMMYFUNCTION("TEXTJOIN("", "",TRUE,UNIQUE(FILTER('Data Master'!$D$2:$D1887,'Data Master'!$C$2:$C1887=A1145)))"),"")</f>
        <v/>
      </c>
    </row>
    <row r="1146" hidden="1">
      <c r="C1146" s="40" t="str">
        <f>IFERROR(__xludf.DUMMYFUNCTION("TEXTJOIN("", "",TRUE,UNIQUE(FILTER('Data Master'!$B$2:$B1887,'Data Master'!$C$2:$C1887=A1146)))"),"petani")</f>
        <v>petani</v>
      </c>
      <c r="D1146" s="40" t="str">
        <f>IFERROR(__xludf.DUMMYFUNCTION("TEXTJOIN("", "",TRUE,UNIQUE(FILTER('Data Master'!$D$2:$D1887,'Data Master'!$C$2:$C1887=A1146)))"),"")</f>
        <v/>
      </c>
    </row>
    <row r="1147" hidden="1">
      <c r="C1147" s="40" t="str">
        <f>IFERROR(__xludf.DUMMYFUNCTION("TEXTJOIN("", "",TRUE,UNIQUE(FILTER('Data Master'!$B$2:$B1887,'Data Master'!$C$2:$C1887=A1147)))"),"petani")</f>
        <v>petani</v>
      </c>
      <c r="D1147" s="40" t="str">
        <f>IFERROR(__xludf.DUMMYFUNCTION("TEXTJOIN("", "",TRUE,UNIQUE(FILTER('Data Master'!$D$2:$D1887,'Data Master'!$C$2:$C1887=A1147)))"),"")</f>
        <v/>
      </c>
    </row>
    <row r="1148" hidden="1">
      <c r="C1148" s="40" t="str">
        <f>IFERROR(__xludf.DUMMYFUNCTION("TEXTJOIN("", "",TRUE,UNIQUE(FILTER('Data Master'!$B$2:$B1887,'Data Master'!$C$2:$C1887=A1148)))"),"petani")</f>
        <v>petani</v>
      </c>
      <c r="D1148" s="40" t="str">
        <f>IFERROR(__xludf.DUMMYFUNCTION("TEXTJOIN("", "",TRUE,UNIQUE(FILTER('Data Master'!$D$2:$D1887,'Data Master'!$C$2:$C1887=A1148)))"),"")</f>
        <v/>
      </c>
    </row>
    <row r="1149" hidden="1">
      <c r="C1149" s="40" t="str">
        <f>IFERROR(__xludf.DUMMYFUNCTION("TEXTJOIN("", "",TRUE,UNIQUE(FILTER('Data Master'!$B$2:$B1887,'Data Master'!$C$2:$C1887=A1149)))"),"petani")</f>
        <v>petani</v>
      </c>
      <c r="D1149" s="40" t="str">
        <f>IFERROR(__xludf.DUMMYFUNCTION("TEXTJOIN("", "",TRUE,UNIQUE(FILTER('Data Master'!$D$2:$D1887,'Data Master'!$C$2:$C1887=A1149)))"),"")</f>
        <v/>
      </c>
    </row>
    <row r="1150" hidden="1">
      <c r="C1150" s="40" t="str">
        <f>IFERROR(__xludf.DUMMYFUNCTION("TEXTJOIN("", "",TRUE,UNIQUE(FILTER('Data Master'!$B$2:$B1887,'Data Master'!$C$2:$C1887=A1150)))"),"petani")</f>
        <v>petani</v>
      </c>
      <c r="D1150" s="40" t="str">
        <f>IFERROR(__xludf.DUMMYFUNCTION("TEXTJOIN("", "",TRUE,UNIQUE(FILTER('Data Master'!$D$2:$D1887,'Data Master'!$C$2:$C1887=A1150)))"),"")</f>
        <v/>
      </c>
    </row>
    <row r="1151" hidden="1">
      <c r="C1151" s="40" t="str">
        <f>IFERROR(__xludf.DUMMYFUNCTION("TEXTJOIN("", "",TRUE,UNIQUE(FILTER('Data Master'!$B$2:$B1887,'Data Master'!$C$2:$C1887=A1151)))"),"petani")</f>
        <v>petani</v>
      </c>
      <c r="D1151" s="40" t="str">
        <f>IFERROR(__xludf.DUMMYFUNCTION("TEXTJOIN("", "",TRUE,UNIQUE(FILTER('Data Master'!$D$2:$D1887,'Data Master'!$C$2:$C1887=A1151)))"),"")</f>
        <v/>
      </c>
    </row>
    <row r="1152" hidden="1">
      <c r="C1152" s="40" t="str">
        <f>IFERROR(__xludf.DUMMYFUNCTION("TEXTJOIN("", "",TRUE,UNIQUE(FILTER('Data Master'!$B$2:$B1887,'Data Master'!$C$2:$C1887=A1152)))"),"petani")</f>
        <v>petani</v>
      </c>
      <c r="D1152" s="40" t="str">
        <f>IFERROR(__xludf.DUMMYFUNCTION("TEXTJOIN("", "",TRUE,UNIQUE(FILTER('Data Master'!$D$2:$D1887,'Data Master'!$C$2:$C1887=A1152)))"),"")</f>
        <v/>
      </c>
    </row>
    <row r="1153" hidden="1">
      <c r="C1153" s="40" t="str">
        <f>IFERROR(__xludf.DUMMYFUNCTION("TEXTJOIN("", "",TRUE,UNIQUE(FILTER('Data Master'!$B$2:$B1887,'Data Master'!$C$2:$C1887=A1153)))"),"petani")</f>
        <v>petani</v>
      </c>
      <c r="D1153" s="40" t="str">
        <f>IFERROR(__xludf.DUMMYFUNCTION("TEXTJOIN("", "",TRUE,UNIQUE(FILTER('Data Master'!$D$2:$D1887,'Data Master'!$C$2:$C1887=A1153)))"),"")</f>
        <v/>
      </c>
    </row>
    <row r="1154" hidden="1">
      <c r="C1154" s="40" t="str">
        <f>IFERROR(__xludf.DUMMYFUNCTION("TEXTJOIN("", "",TRUE,UNIQUE(FILTER('Data Master'!$B$2:$B1887,'Data Master'!$C$2:$C1887=A1154)))"),"petani")</f>
        <v>petani</v>
      </c>
      <c r="D1154" s="40" t="str">
        <f>IFERROR(__xludf.DUMMYFUNCTION("TEXTJOIN("", "",TRUE,UNIQUE(FILTER('Data Master'!$D$2:$D1887,'Data Master'!$C$2:$C1887=A1154)))"),"")</f>
        <v/>
      </c>
    </row>
    <row r="1155" hidden="1">
      <c r="C1155" s="40" t="str">
        <f>IFERROR(__xludf.DUMMYFUNCTION("TEXTJOIN("", "",TRUE,UNIQUE(FILTER('Data Master'!$B$2:$B1887,'Data Master'!$C$2:$C1887=A1155)))"),"petani")</f>
        <v>petani</v>
      </c>
      <c r="D1155" s="40" t="str">
        <f>IFERROR(__xludf.DUMMYFUNCTION("TEXTJOIN("", "",TRUE,UNIQUE(FILTER('Data Master'!$D$2:$D1887,'Data Master'!$C$2:$C1887=A1155)))"),"")</f>
        <v/>
      </c>
    </row>
    <row r="1156" hidden="1">
      <c r="C1156" s="40" t="str">
        <f>IFERROR(__xludf.DUMMYFUNCTION("TEXTJOIN("", "",TRUE,UNIQUE(FILTER('Data Master'!$B$2:$B1887,'Data Master'!$C$2:$C1887=A1156)))"),"petani")</f>
        <v>petani</v>
      </c>
      <c r="D1156" s="40" t="str">
        <f>IFERROR(__xludf.DUMMYFUNCTION("TEXTJOIN("", "",TRUE,UNIQUE(FILTER('Data Master'!$D$2:$D1887,'Data Master'!$C$2:$C1887=A1156)))"),"")</f>
        <v/>
      </c>
    </row>
    <row r="1157" hidden="1">
      <c r="C1157" s="40" t="str">
        <f>IFERROR(__xludf.DUMMYFUNCTION("TEXTJOIN("", "",TRUE,UNIQUE(FILTER('Data Master'!$B$2:$B1887,'Data Master'!$C$2:$C1887=A1157)))"),"petani")</f>
        <v>petani</v>
      </c>
      <c r="D1157" s="40" t="str">
        <f>IFERROR(__xludf.DUMMYFUNCTION("TEXTJOIN("", "",TRUE,UNIQUE(FILTER('Data Master'!$D$2:$D1887,'Data Master'!$C$2:$C1887=A1157)))"),"")</f>
        <v/>
      </c>
    </row>
    <row r="1158" hidden="1">
      <c r="C1158" s="40" t="str">
        <f>IFERROR(__xludf.DUMMYFUNCTION("TEXTJOIN("", "",TRUE,UNIQUE(FILTER('Data Master'!$B$2:$B1887,'Data Master'!$C$2:$C1887=A1158)))"),"petani")</f>
        <v>petani</v>
      </c>
      <c r="D1158" s="40" t="str">
        <f>IFERROR(__xludf.DUMMYFUNCTION("TEXTJOIN("", "",TRUE,UNIQUE(FILTER('Data Master'!$D$2:$D1887,'Data Master'!$C$2:$C1887=A1158)))"),"")</f>
        <v/>
      </c>
    </row>
    <row r="1159" hidden="1">
      <c r="C1159" s="40" t="str">
        <f>IFERROR(__xludf.DUMMYFUNCTION("TEXTJOIN("", "",TRUE,UNIQUE(FILTER('Data Master'!$B$2:$B1887,'Data Master'!$C$2:$C1887=A1159)))"),"penyuluh")</f>
        <v>penyuluh</v>
      </c>
      <c r="D1159" s="40" t="str">
        <f>IFERROR(__xludf.DUMMYFUNCTION("TEXTJOIN("", "",TRUE,UNIQUE(FILTER('Data Master'!$D$2:$D1887,'Data Master'!$C$2:$C1887=A1159)))"),"")</f>
        <v/>
      </c>
    </row>
    <row r="1160" hidden="1">
      <c r="C1160" s="40" t="str">
        <f>IFERROR(__xludf.DUMMYFUNCTION("TEXTJOIN("", "",TRUE,UNIQUE(FILTER('Data Master'!$B$2:$B1887,'Data Master'!$C$2:$C1887=A1160)))"),"petani")</f>
        <v>petani</v>
      </c>
      <c r="D1160" s="40" t="str">
        <f>IFERROR(__xludf.DUMMYFUNCTION("TEXTJOIN("", "",TRUE,UNIQUE(FILTER('Data Master'!$D$2:$D1887,'Data Master'!$C$2:$C1887=A1160)))"),"")</f>
        <v/>
      </c>
    </row>
    <row r="1161" hidden="1">
      <c r="C1161" s="40" t="str">
        <f>IFERROR(__xludf.DUMMYFUNCTION("TEXTJOIN("", "",TRUE,UNIQUE(FILTER('Data Master'!$B$2:$B1887,'Data Master'!$C$2:$C1887=A1161)))"),"petani")</f>
        <v>petani</v>
      </c>
      <c r="D1161" s="40" t="str">
        <f>IFERROR(__xludf.DUMMYFUNCTION("TEXTJOIN("", "",TRUE,UNIQUE(FILTER('Data Master'!$D$2:$D1887,'Data Master'!$C$2:$C1887=A1161)))"),"")</f>
        <v/>
      </c>
    </row>
    <row r="1162" hidden="1">
      <c r="C1162" s="40" t="str">
        <f>IFERROR(__xludf.DUMMYFUNCTION("TEXTJOIN("", "",TRUE,UNIQUE(FILTER('Data Master'!$B$2:$B1887,'Data Master'!$C$2:$C1887=A1162)))"),"petani")</f>
        <v>petani</v>
      </c>
      <c r="D1162" s="40" t="str">
        <f>IFERROR(__xludf.DUMMYFUNCTION("TEXTJOIN("", "",TRUE,UNIQUE(FILTER('Data Master'!$D$2:$D1887,'Data Master'!$C$2:$C1887=A1162)))"),"")</f>
        <v/>
      </c>
    </row>
    <row r="1163" hidden="1">
      <c r="C1163" s="40" t="str">
        <f>IFERROR(__xludf.DUMMYFUNCTION("TEXTJOIN("", "",TRUE,UNIQUE(FILTER('Data Master'!$B$2:$B1887,'Data Master'!$C$2:$C1887=A1163)))"),"petani")</f>
        <v>petani</v>
      </c>
      <c r="D1163" s="40" t="str">
        <f>IFERROR(__xludf.DUMMYFUNCTION("TEXTJOIN("", "",TRUE,UNIQUE(FILTER('Data Master'!$D$2:$D1887,'Data Master'!$C$2:$C1887=A1163)))"),"")</f>
        <v/>
      </c>
    </row>
    <row r="1164" hidden="1">
      <c r="C1164" s="40" t="str">
        <f>IFERROR(__xludf.DUMMYFUNCTION("TEXTJOIN("", "",TRUE,UNIQUE(FILTER('Data Master'!$B$2:$B1887,'Data Master'!$C$2:$C1887=A1164)))"),"petani")</f>
        <v>petani</v>
      </c>
      <c r="D1164" s="40" t="str">
        <f>IFERROR(__xludf.DUMMYFUNCTION("TEXTJOIN("", "",TRUE,UNIQUE(FILTER('Data Master'!$D$2:$D1887,'Data Master'!$C$2:$C1887=A1164)))"),"")</f>
        <v/>
      </c>
    </row>
    <row r="1165" hidden="1">
      <c r="C1165" s="40" t="str">
        <f>IFERROR(__xludf.DUMMYFUNCTION("TEXTJOIN("", "",TRUE,UNIQUE(FILTER('Data Master'!$B$2:$B1887,'Data Master'!$C$2:$C1887=A1165)))"),"petani")</f>
        <v>petani</v>
      </c>
      <c r="D1165" s="40" t="str">
        <f>IFERROR(__xludf.DUMMYFUNCTION("TEXTJOIN("", "",TRUE,UNIQUE(FILTER('Data Master'!$D$2:$D1887,'Data Master'!$C$2:$C1887=A1165)))"),"")</f>
        <v/>
      </c>
    </row>
    <row r="1166" hidden="1">
      <c r="C1166" s="40" t="str">
        <f>IFERROR(__xludf.DUMMYFUNCTION("TEXTJOIN("", "",TRUE,UNIQUE(FILTER('Data Master'!$B$2:$B1887,'Data Master'!$C$2:$C1887=A1166)))"),"petani")</f>
        <v>petani</v>
      </c>
      <c r="D1166" s="40" t="str">
        <f>IFERROR(__xludf.DUMMYFUNCTION("TEXTJOIN("", "",TRUE,UNIQUE(FILTER('Data Master'!$D$2:$D1887,'Data Master'!$C$2:$C1887=A1166)))"),"munir@gmail.com")</f>
        <v>munir@gmail.com</v>
      </c>
    </row>
    <row r="1167" hidden="1">
      <c r="C1167" s="40" t="str">
        <f>IFERROR(__xludf.DUMMYFUNCTION("TEXTJOIN("", "",TRUE,UNIQUE(FILTER('Data Master'!$B$2:$B1887,'Data Master'!$C$2:$C1887=A1167)))"),"petani")</f>
        <v>petani</v>
      </c>
      <c r="D1167" s="40" t="str">
        <f>IFERROR(__xludf.DUMMYFUNCTION("TEXTJOIN("", "",TRUE,UNIQUE(FILTER('Data Master'!$D$2:$D1887,'Data Master'!$C$2:$C1887=A1167)))"),"munir@gmail.com")</f>
        <v>munir@gmail.com</v>
      </c>
    </row>
    <row r="1168" hidden="1">
      <c r="C1168" s="40" t="str">
        <f>IFERROR(__xludf.DUMMYFUNCTION("TEXTJOIN("", "",TRUE,UNIQUE(FILTER('Data Master'!$B$2:$B1887,'Data Master'!$C$2:$C1887=A1168)))"),"petani")</f>
        <v>petani</v>
      </c>
      <c r="D1168" s="40" t="str">
        <f>IFERROR(__xludf.DUMMYFUNCTION("TEXTJOIN("", "",TRUE,UNIQUE(FILTER('Data Master'!$D$2:$D1887,'Data Master'!$C$2:$C1887=A1168)))"),"")</f>
        <v/>
      </c>
    </row>
    <row r="1169" hidden="1">
      <c r="C1169" s="40" t="str">
        <f>IFERROR(__xludf.DUMMYFUNCTION("TEXTJOIN("", "",TRUE,UNIQUE(FILTER('Data Master'!$B$2:$B1887,'Data Master'!$C$2:$C1887=A1169)))"),"petani")</f>
        <v>petani</v>
      </c>
      <c r="D1169" s="40" t="str">
        <f>IFERROR(__xludf.DUMMYFUNCTION("TEXTJOIN("", "",TRUE,UNIQUE(FILTER('Data Master'!$D$2:$D1887,'Data Master'!$C$2:$C1887=A1169)))"),"")</f>
        <v/>
      </c>
    </row>
    <row r="1170" hidden="1">
      <c r="C1170" s="40" t="str">
        <f>IFERROR(__xludf.DUMMYFUNCTION("TEXTJOIN("", "",TRUE,UNIQUE(FILTER('Data Master'!$B$2:$B1887,'Data Master'!$C$2:$C1887=A1170)))"),"petani")</f>
        <v>petani</v>
      </c>
      <c r="D1170" s="40" t="str">
        <f>IFERROR(__xludf.DUMMYFUNCTION("TEXTJOIN("", "",TRUE,UNIQUE(FILTER('Data Master'!$D$2:$D1887,'Data Master'!$C$2:$C1887=A1170)))"),"")</f>
        <v/>
      </c>
    </row>
    <row r="1171" hidden="1">
      <c r="C1171" s="40" t="str">
        <f>IFERROR(__xludf.DUMMYFUNCTION("TEXTJOIN("", "",TRUE,UNIQUE(FILTER('Data Master'!$B$2:$B1887,'Data Master'!$C$2:$C1887=A1171)))"),"petani")</f>
        <v>petani</v>
      </c>
      <c r="D1171" s="40" t="str">
        <f>IFERROR(__xludf.DUMMYFUNCTION("TEXTJOIN("", "",TRUE,UNIQUE(FILTER('Data Master'!$D$2:$D1887,'Data Master'!$C$2:$C1887=A1171)))"),"")</f>
        <v/>
      </c>
    </row>
    <row r="1172" hidden="1">
      <c r="C1172" s="40" t="str">
        <f>IFERROR(__xludf.DUMMYFUNCTION("TEXTJOIN("", "",TRUE,UNIQUE(FILTER('Data Master'!$B$2:$B1887,'Data Master'!$C$2:$C1887=A1172)))"),"petani")</f>
        <v>petani</v>
      </c>
      <c r="D1172" s="40" t="str">
        <f>IFERROR(__xludf.DUMMYFUNCTION("TEXTJOIN("", "",TRUE,UNIQUE(FILTER('Data Master'!$D$2:$D1887,'Data Master'!$C$2:$C1887=A1172)))"),"")</f>
        <v/>
      </c>
    </row>
    <row r="1173" hidden="1">
      <c r="C1173" s="40" t="str">
        <f>IFERROR(__xludf.DUMMYFUNCTION("TEXTJOIN("", "",TRUE,UNIQUE(FILTER('Data Master'!$B$2:$B1887,'Data Master'!$C$2:$C1887=A1173)))"),"petani")</f>
        <v>petani</v>
      </c>
      <c r="D1173" s="40" t="str">
        <f>IFERROR(__xludf.DUMMYFUNCTION("TEXTJOIN("", "",TRUE,UNIQUE(FILTER('Data Master'!$D$2:$D1887,'Data Master'!$C$2:$C1887=A1173)))"),"")</f>
        <v/>
      </c>
    </row>
    <row r="1174" hidden="1">
      <c r="C1174" s="40" t="str">
        <f>IFERROR(__xludf.DUMMYFUNCTION("TEXTJOIN("", "",TRUE,UNIQUE(FILTER('Data Master'!$B$2:$B1887,'Data Master'!$C$2:$C1887=A1174)))"),"petani")</f>
        <v>petani</v>
      </c>
      <c r="D1174" s="40" t="str">
        <f>IFERROR(__xludf.DUMMYFUNCTION("TEXTJOIN("", "",TRUE,UNIQUE(FILTER('Data Master'!$D$2:$D1887,'Data Master'!$C$2:$C1887=A1174)))"),"")</f>
        <v/>
      </c>
    </row>
    <row r="1175" hidden="1">
      <c r="C1175" s="40" t="str">
        <f>IFERROR(__xludf.DUMMYFUNCTION("TEXTJOIN("", "",TRUE,UNIQUE(FILTER('Data Master'!$B$2:$B1887,'Data Master'!$C$2:$C1887=A1175)))"),"petani")</f>
        <v>petani</v>
      </c>
      <c r="D1175" s="40" t="str">
        <f>IFERROR(__xludf.DUMMYFUNCTION("TEXTJOIN("", "",TRUE,UNIQUE(FILTER('Data Master'!$D$2:$D1887,'Data Master'!$C$2:$C1887=A1175)))"),"")</f>
        <v/>
      </c>
    </row>
    <row r="1176" hidden="1">
      <c r="C1176" s="40" t="str">
        <f>IFERROR(__xludf.DUMMYFUNCTION("TEXTJOIN("", "",TRUE,UNIQUE(FILTER('Data Master'!$B$2:$B1887,'Data Master'!$C$2:$C1887=A1176)))"),"petani")</f>
        <v>petani</v>
      </c>
      <c r="D1176" s="40" t="str">
        <f>IFERROR(__xludf.DUMMYFUNCTION("TEXTJOIN("", "",TRUE,UNIQUE(FILTER('Data Master'!$D$2:$D1887,'Data Master'!$C$2:$C1887=A1176)))"),"")</f>
        <v/>
      </c>
    </row>
    <row r="1177" hidden="1">
      <c r="C1177" s="40" t="str">
        <f>IFERROR(__xludf.DUMMYFUNCTION("TEXTJOIN("", "",TRUE,UNIQUE(FILTER('Data Master'!$B$2:$B1887,'Data Master'!$C$2:$C1887=A1177)))"),"petani")</f>
        <v>petani</v>
      </c>
      <c r="D1177" s="40" t="str">
        <f>IFERROR(__xludf.DUMMYFUNCTION("TEXTJOIN("", "",TRUE,UNIQUE(FILTER('Data Master'!$D$2:$D1887,'Data Master'!$C$2:$C1887=A1177)))"),"")</f>
        <v/>
      </c>
    </row>
    <row r="1178" hidden="1">
      <c r="C1178" s="40" t="str">
        <f>IFERROR(__xludf.DUMMYFUNCTION("TEXTJOIN("", "",TRUE,UNIQUE(FILTER('Data Master'!$B$2:$B1887,'Data Master'!$C$2:$C1887=A1178)))"),"petani")</f>
        <v>petani</v>
      </c>
      <c r="D1178" s="40" t="str">
        <f>IFERROR(__xludf.DUMMYFUNCTION("TEXTJOIN("", "",TRUE,UNIQUE(FILTER('Data Master'!$D$2:$D1887,'Data Master'!$C$2:$C1887=A1178)))"),"")</f>
        <v/>
      </c>
    </row>
    <row r="1179" hidden="1">
      <c r="C1179" s="40" t="str">
        <f>IFERROR(__xludf.DUMMYFUNCTION("TEXTJOIN("", "",TRUE,UNIQUE(FILTER('Data Master'!$B$2:$B1887,'Data Master'!$C$2:$C1887=A1179)))"),"petani")</f>
        <v>petani</v>
      </c>
      <c r="D1179" s="40" t="str">
        <f>IFERROR(__xludf.DUMMYFUNCTION("TEXTJOIN("", "",TRUE,UNIQUE(FILTER('Data Master'!$D$2:$D1887,'Data Master'!$C$2:$C1887=A1179)))"),"")</f>
        <v/>
      </c>
    </row>
    <row r="1180" hidden="1">
      <c r="C1180" s="40" t="str">
        <f>IFERROR(__xludf.DUMMYFUNCTION("TEXTJOIN("", "",TRUE,UNIQUE(FILTER('Data Master'!$B$2:$B1887,'Data Master'!$C$2:$C1887=A1180)))"),"petani")</f>
        <v>petani</v>
      </c>
      <c r="D1180" s="40" t="str">
        <f>IFERROR(__xludf.DUMMYFUNCTION("TEXTJOIN("", "",TRUE,UNIQUE(FILTER('Data Master'!$D$2:$D1887,'Data Master'!$C$2:$C1887=A1180)))"),"")</f>
        <v/>
      </c>
    </row>
    <row r="1181" hidden="1">
      <c r="C1181" s="40" t="str">
        <f>IFERROR(__xludf.DUMMYFUNCTION("TEXTJOIN("", "",TRUE,UNIQUE(FILTER('Data Master'!$B$2:$B1887,'Data Master'!$C$2:$C1887=A1181)))"),"petani")</f>
        <v>petani</v>
      </c>
      <c r="D1181" s="40" t="str">
        <f>IFERROR(__xludf.DUMMYFUNCTION("TEXTJOIN("", "",TRUE,UNIQUE(FILTER('Data Master'!$D$2:$D1887,'Data Master'!$C$2:$C1887=A1181)))"),"")</f>
        <v/>
      </c>
    </row>
    <row r="1182" hidden="1">
      <c r="C1182" s="40" t="str">
        <f>IFERROR(__xludf.DUMMYFUNCTION("TEXTJOIN("", "",TRUE,UNIQUE(FILTER('Data Master'!$B$2:$B1887,'Data Master'!$C$2:$C1887=A1182)))"),"petani")</f>
        <v>petani</v>
      </c>
      <c r="D1182" s="40" t="str">
        <f>IFERROR(__xludf.DUMMYFUNCTION("TEXTJOIN("", "",TRUE,UNIQUE(FILTER('Data Master'!$D$2:$D1887,'Data Master'!$C$2:$C1887=A1182)))"),"")</f>
        <v/>
      </c>
    </row>
    <row r="1183" hidden="1">
      <c r="C1183" s="40" t="str">
        <f>IFERROR(__xludf.DUMMYFUNCTION("TEXTJOIN("", "",TRUE,UNIQUE(FILTER('Data Master'!$B$2:$B1887,'Data Master'!$C$2:$C1887=A1183)))"),"petani")</f>
        <v>petani</v>
      </c>
      <c r="D1183" s="40" t="str">
        <f>IFERROR(__xludf.DUMMYFUNCTION("TEXTJOIN("", "",TRUE,UNIQUE(FILTER('Data Master'!$D$2:$D1887,'Data Master'!$C$2:$C1887=A1183)))"),"")</f>
        <v/>
      </c>
    </row>
    <row r="1184" hidden="1">
      <c r="C1184" s="40" t="str">
        <f>IFERROR(__xludf.DUMMYFUNCTION("TEXTJOIN("", "",TRUE,UNIQUE(FILTER('Data Master'!$B$2:$B1887,'Data Master'!$C$2:$C1887=A1184)))"),"petani")</f>
        <v>petani</v>
      </c>
      <c r="D1184" s="40" t="str">
        <f>IFERROR(__xludf.DUMMYFUNCTION("TEXTJOIN("", "",TRUE,UNIQUE(FILTER('Data Master'!$D$2:$D1887,'Data Master'!$C$2:$C1887=A1184)))"),"")</f>
        <v/>
      </c>
    </row>
    <row r="1185" hidden="1">
      <c r="C1185" s="40" t="str">
        <f>IFERROR(__xludf.DUMMYFUNCTION("TEXTJOIN("", "",TRUE,UNIQUE(FILTER('Data Master'!$B$2:$B1887,'Data Master'!$C$2:$C1887=A1185)))"),"petani")</f>
        <v>petani</v>
      </c>
      <c r="D1185" s="40" t="str">
        <f>IFERROR(__xludf.DUMMYFUNCTION("TEXTJOIN("", "",TRUE,UNIQUE(FILTER('Data Master'!$D$2:$D1887,'Data Master'!$C$2:$C1887=A1185)))"),"")</f>
        <v/>
      </c>
    </row>
    <row r="1186" hidden="1">
      <c r="C1186" s="40" t="str">
        <f>IFERROR(__xludf.DUMMYFUNCTION("TEXTJOIN("", "",TRUE,UNIQUE(FILTER('Data Master'!$B$2:$B1887,'Data Master'!$C$2:$C1887=A1186)))"),"petani")</f>
        <v>petani</v>
      </c>
      <c r="D1186" s="40" t="str">
        <f>IFERROR(__xludf.DUMMYFUNCTION("TEXTJOIN("", "",TRUE,UNIQUE(FILTER('Data Master'!$D$2:$D1887,'Data Master'!$C$2:$C1887=A1186)))"),"")</f>
        <v/>
      </c>
    </row>
    <row r="1187" hidden="1">
      <c r="C1187" s="40" t="str">
        <f>IFERROR(__xludf.DUMMYFUNCTION("TEXTJOIN("", "",TRUE,UNIQUE(FILTER('Data Master'!$B$2:$B1887,'Data Master'!$C$2:$C1887=A1187)))"),"petani")</f>
        <v>petani</v>
      </c>
      <c r="D1187" s="40" t="str">
        <f>IFERROR(__xludf.DUMMYFUNCTION("TEXTJOIN("", "",TRUE,UNIQUE(FILTER('Data Master'!$D$2:$D1887,'Data Master'!$C$2:$C1887=A1187)))"),"")</f>
        <v/>
      </c>
    </row>
    <row r="1188" hidden="1">
      <c r="C1188" s="40" t="str">
        <f>IFERROR(__xludf.DUMMYFUNCTION("TEXTJOIN("", "",TRUE,UNIQUE(FILTER('Data Master'!$B$2:$B1887,'Data Master'!$C$2:$C1887=A1188)))"),"petani")</f>
        <v>petani</v>
      </c>
      <c r="D1188" s="40" t="str">
        <f>IFERROR(__xludf.DUMMYFUNCTION("TEXTJOIN("", "",TRUE,UNIQUE(FILTER('Data Master'!$D$2:$D1887,'Data Master'!$C$2:$C1887=A1188)))"),"")</f>
        <v/>
      </c>
    </row>
    <row r="1189" hidden="1">
      <c r="C1189" s="40" t="str">
        <f>IFERROR(__xludf.DUMMYFUNCTION("TEXTJOIN("", "",TRUE,UNIQUE(FILTER('Data Master'!$B$2:$B1887,'Data Master'!$C$2:$C1887=A1189)))"),"petani")</f>
        <v>petani</v>
      </c>
      <c r="D1189" s="40" t="str">
        <f>IFERROR(__xludf.DUMMYFUNCTION("TEXTJOIN("", "",TRUE,UNIQUE(FILTER('Data Master'!$D$2:$D1887,'Data Master'!$C$2:$C1887=A1189)))"),"")</f>
        <v/>
      </c>
    </row>
    <row r="1190" hidden="1">
      <c r="C1190" s="40" t="str">
        <f>IFERROR(__xludf.DUMMYFUNCTION("TEXTJOIN("", "",TRUE,UNIQUE(FILTER('Data Master'!$B$2:$B1887,'Data Master'!$C$2:$C1887=A1190)))"),"penyuluh")</f>
        <v>penyuluh</v>
      </c>
      <c r="D1190" s="40" t="str">
        <f>IFERROR(__xludf.DUMMYFUNCTION("TEXTJOIN("", "",TRUE,UNIQUE(FILTER('Data Master'!$D$2:$D1887,'Data Master'!$C$2:$C1887=A1190)))"),"")</f>
        <v/>
      </c>
    </row>
    <row r="1191" hidden="1">
      <c r="C1191" s="40" t="str">
        <f>IFERROR(__xludf.DUMMYFUNCTION("TEXTJOIN("", "",TRUE,UNIQUE(FILTER('Data Master'!$B$2:$B1887,'Data Master'!$C$2:$C1887=A1191)))"),"penyuluh")</f>
        <v>penyuluh</v>
      </c>
      <c r="D1191" s="40" t="str">
        <f>IFERROR(__xludf.DUMMYFUNCTION("TEXTJOIN("", "",TRUE,UNIQUE(FILTER('Data Master'!$D$2:$D1887,'Data Master'!$C$2:$C1887=A1191)))"),"")</f>
        <v/>
      </c>
    </row>
    <row r="1192" hidden="1">
      <c r="C1192" s="40" t="str">
        <f>IFERROR(__xludf.DUMMYFUNCTION("TEXTJOIN("", "",TRUE,UNIQUE(FILTER('Data Master'!$B$2:$B1887,'Data Master'!$C$2:$C1887=A1192)))"),"petani")</f>
        <v>petani</v>
      </c>
      <c r="D1192" s="40" t="str">
        <f>IFERROR(__xludf.DUMMYFUNCTION("TEXTJOIN("", "",TRUE,UNIQUE(FILTER('Data Master'!$D$2:$D1887,'Data Master'!$C$2:$C1887=A1192)))"),"")</f>
        <v/>
      </c>
    </row>
    <row r="1193" hidden="1">
      <c r="C1193" s="40" t="str">
        <f>IFERROR(__xludf.DUMMYFUNCTION("TEXTJOIN("", "",TRUE,UNIQUE(FILTER('Data Master'!$B$2:$B1887,'Data Master'!$C$2:$C1887=A1193)))"),"petani")</f>
        <v>petani</v>
      </c>
      <c r="D1193" s="40" t="str">
        <f>IFERROR(__xludf.DUMMYFUNCTION("TEXTJOIN("", "",TRUE,UNIQUE(FILTER('Data Master'!$D$2:$D1887,'Data Master'!$C$2:$C1887=A1193)))"),"")</f>
        <v/>
      </c>
    </row>
    <row r="1194" hidden="1">
      <c r="C1194" s="40" t="str">
        <f>IFERROR(__xludf.DUMMYFUNCTION("TEXTJOIN("", "",TRUE,UNIQUE(FILTER('Data Master'!$B$2:$B1887,'Data Master'!$C$2:$C1887=A1194)))"),"penyuluh")</f>
        <v>penyuluh</v>
      </c>
      <c r="D1194" s="40" t="str">
        <f>IFERROR(__xludf.DUMMYFUNCTION("TEXTJOIN("", "",TRUE,UNIQUE(FILTER('Data Master'!$D$2:$D1887,'Data Master'!$C$2:$C1887=A1194)))"),"")</f>
        <v/>
      </c>
    </row>
    <row r="1195" hidden="1">
      <c r="C1195" s="40" t="str">
        <f>IFERROR(__xludf.DUMMYFUNCTION("TEXTJOIN("", "",TRUE,UNIQUE(FILTER('Data Master'!$B$2:$B1887,'Data Master'!$C$2:$C1887=A1195)))"),"petani")</f>
        <v>petani</v>
      </c>
      <c r="D1195" s="40" t="str">
        <f>IFERROR(__xludf.DUMMYFUNCTION("TEXTJOIN("", "",TRUE,UNIQUE(FILTER('Data Master'!$D$2:$D1887,'Data Master'!$C$2:$C1887=A1195)))"),"")</f>
        <v/>
      </c>
    </row>
    <row r="1196" hidden="1">
      <c r="C1196" s="40" t="str">
        <f>IFERROR(__xludf.DUMMYFUNCTION("TEXTJOIN("", "",TRUE,UNIQUE(FILTER('Data Master'!$B$2:$B1887,'Data Master'!$C$2:$C1887=A1196)))"),"petani")</f>
        <v>petani</v>
      </c>
      <c r="D1196" s="40" t="str">
        <f>IFERROR(__xludf.DUMMYFUNCTION("TEXTJOIN("", "",TRUE,UNIQUE(FILTER('Data Master'!$D$2:$D1887,'Data Master'!$C$2:$C1887=A1196)))"),"")</f>
        <v/>
      </c>
    </row>
    <row r="1197" hidden="1">
      <c r="C1197" s="40" t="str">
        <f>IFERROR(__xludf.DUMMYFUNCTION("TEXTJOIN("", "",TRUE,UNIQUE(FILTER('Data Master'!$B$2:$B1887,'Data Master'!$C$2:$C1887=A1197)))"),"petani")</f>
        <v>petani</v>
      </c>
      <c r="D1197" s="40" t="str">
        <f>IFERROR(__xludf.DUMMYFUNCTION("TEXTJOIN("", "",TRUE,UNIQUE(FILTER('Data Master'!$D$2:$D1887,'Data Master'!$C$2:$C1887=A1197)))"),"")</f>
        <v/>
      </c>
    </row>
    <row r="1198" hidden="1">
      <c r="C1198" s="40" t="str">
        <f>IFERROR(__xludf.DUMMYFUNCTION("TEXTJOIN("", "",TRUE,UNIQUE(FILTER('Data Master'!$B$2:$B1887,'Data Master'!$C$2:$C1887=A1198)))"),"petani")</f>
        <v>petani</v>
      </c>
      <c r="D1198" s="40" t="str">
        <f>IFERROR(__xludf.DUMMYFUNCTION("TEXTJOIN("", "",TRUE,UNIQUE(FILTER('Data Master'!$D$2:$D1887,'Data Master'!$C$2:$C1887=A1198)))"),"")</f>
        <v/>
      </c>
    </row>
    <row r="1199" hidden="1">
      <c r="C1199" s="40" t="str">
        <f>IFERROR(__xludf.DUMMYFUNCTION("TEXTJOIN("", "",TRUE,UNIQUE(FILTER('Data Master'!$B$2:$B1887,'Data Master'!$C$2:$C1887=A1199)))"),"petani")</f>
        <v>petani</v>
      </c>
      <c r="D1199" s="40" t="str">
        <f>IFERROR(__xludf.DUMMYFUNCTION("TEXTJOIN("", "",TRUE,UNIQUE(FILTER('Data Master'!$D$2:$D1887,'Data Master'!$C$2:$C1887=A1199)))"),"")</f>
        <v/>
      </c>
    </row>
    <row r="1200" hidden="1">
      <c r="C1200" s="40" t="str">
        <f>IFERROR(__xludf.DUMMYFUNCTION("TEXTJOIN("", "",TRUE,UNIQUE(FILTER('Data Master'!$B$2:$B1887,'Data Master'!$C$2:$C1887=A1200)))"),"petani")</f>
        <v>petani</v>
      </c>
      <c r="D1200" s="40" t="str">
        <f>IFERROR(__xludf.DUMMYFUNCTION("TEXTJOIN("", "",TRUE,UNIQUE(FILTER('Data Master'!$D$2:$D1887,'Data Master'!$C$2:$C1887=A1200)))"),"")</f>
        <v/>
      </c>
    </row>
    <row r="1201" hidden="1">
      <c r="C1201" s="40" t="str">
        <f>IFERROR(__xludf.DUMMYFUNCTION("TEXTJOIN("", "",TRUE,UNIQUE(FILTER('Data Master'!$B$2:$B1887,'Data Master'!$C$2:$C1887=A1201)))"),"petani")</f>
        <v>petani</v>
      </c>
      <c r="D1201" s="40" t="str">
        <f>IFERROR(__xludf.DUMMYFUNCTION("TEXTJOIN("", "",TRUE,UNIQUE(FILTER('Data Master'!$D$2:$D1887,'Data Master'!$C$2:$C1887=A1201)))"),"nurrohman@gmail.com")</f>
        <v>nurrohman@gmail.com</v>
      </c>
    </row>
    <row r="1202" hidden="1">
      <c r="C1202" s="40" t="str">
        <f>IFERROR(__xludf.DUMMYFUNCTION("TEXTJOIN("", "",TRUE,UNIQUE(FILTER('Data Master'!$B$2:$B1887,'Data Master'!$C$2:$C1887=A1202)))"),"petani")</f>
        <v>petani</v>
      </c>
      <c r="D1202" s="40" t="str">
        <f>IFERROR(__xludf.DUMMYFUNCTION("TEXTJOIN("", "",TRUE,UNIQUE(FILTER('Data Master'!$D$2:$D1887,'Data Master'!$C$2:$C1887=A1202)))"),"")</f>
        <v/>
      </c>
    </row>
    <row r="1203" hidden="1">
      <c r="C1203" s="40" t="str">
        <f>IFERROR(__xludf.DUMMYFUNCTION("TEXTJOIN("", "",TRUE,UNIQUE(FILTER('Data Master'!$B$2:$B1887,'Data Master'!$C$2:$C1887=A1203)))"),"petani")</f>
        <v>petani</v>
      </c>
      <c r="D1203" s="40" t="str">
        <f>IFERROR(__xludf.DUMMYFUNCTION("TEXTJOIN("", "",TRUE,UNIQUE(FILTER('Data Master'!$D$2:$D1887,'Data Master'!$C$2:$C1887=A1203)))"),"")</f>
        <v/>
      </c>
    </row>
    <row r="1204" hidden="1">
      <c r="C1204" s="40" t="str">
        <f>IFERROR(__xludf.DUMMYFUNCTION("TEXTJOIN("", "",TRUE,UNIQUE(FILTER('Data Master'!$B$2:$B1887,'Data Master'!$C$2:$C1887=A1204)))"),"petani")</f>
        <v>petani</v>
      </c>
      <c r="D1204" s="40" t="str">
        <f>IFERROR(__xludf.DUMMYFUNCTION("TEXTJOIN("", "",TRUE,UNIQUE(FILTER('Data Master'!$D$2:$D1887,'Data Master'!$C$2:$C1887=A1204)))"),"")</f>
        <v/>
      </c>
    </row>
    <row r="1205" hidden="1">
      <c r="C1205" s="40" t="str">
        <f>IFERROR(__xludf.DUMMYFUNCTION("TEXTJOIN("", "",TRUE,UNIQUE(FILTER('Data Master'!$B$2:$B1887,'Data Master'!$C$2:$C1887=A1205)))"),"petani")</f>
        <v>petani</v>
      </c>
      <c r="D1205" s="40" t="str">
        <f>IFERROR(__xludf.DUMMYFUNCTION("TEXTJOIN("", "",TRUE,UNIQUE(FILTER('Data Master'!$D$2:$D1887,'Data Master'!$C$2:$C1887=A1205)))"),"")</f>
        <v/>
      </c>
    </row>
    <row r="1206" hidden="1">
      <c r="C1206" s="40" t="str">
        <f>IFERROR(__xludf.DUMMYFUNCTION("TEXTJOIN("", "",TRUE,UNIQUE(FILTER('Data Master'!$B$2:$B1887,'Data Master'!$C$2:$C1887=A1206)))"),"petani")</f>
        <v>petani</v>
      </c>
      <c r="D1206" s="40" t="str">
        <f>IFERROR(__xludf.DUMMYFUNCTION("TEXTJOIN("", "",TRUE,UNIQUE(FILTER('Data Master'!$D$2:$D1887,'Data Master'!$C$2:$C1887=A1206)))"),"")</f>
        <v/>
      </c>
    </row>
    <row r="1207" hidden="1">
      <c r="C1207" s="40" t="str">
        <f>IFERROR(__xludf.DUMMYFUNCTION("TEXTJOIN("", "",TRUE,UNIQUE(FILTER('Data Master'!$B$2:$B1887,'Data Master'!$C$2:$C1887=A1207)))"),"petani")</f>
        <v>petani</v>
      </c>
      <c r="D1207" s="40" t="str">
        <f>IFERROR(__xludf.DUMMYFUNCTION("TEXTJOIN("", "",TRUE,UNIQUE(FILTER('Data Master'!$D$2:$D1887,'Data Master'!$C$2:$C1887=A1207)))"),"")</f>
        <v/>
      </c>
    </row>
    <row r="1208" hidden="1">
      <c r="C1208" s="40" t="str">
        <f>IFERROR(__xludf.DUMMYFUNCTION("TEXTJOIN("", "",TRUE,UNIQUE(FILTER('Data Master'!$B$2:$B1887,'Data Master'!$C$2:$C1887=A1208)))"),"petani")</f>
        <v>petani</v>
      </c>
      <c r="D1208" s="40" t="str">
        <f>IFERROR(__xludf.DUMMYFUNCTION("TEXTJOIN("", "",TRUE,UNIQUE(FILTER('Data Master'!$D$2:$D1887,'Data Master'!$C$2:$C1887=A1208)))"),"")</f>
        <v/>
      </c>
    </row>
    <row r="1209" hidden="1">
      <c r="C1209" s="40" t="str">
        <f>IFERROR(__xludf.DUMMYFUNCTION("TEXTJOIN("", "",TRUE,UNIQUE(FILTER('Data Master'!$B$2:$B1887,'Data Master'!$C$2:$C1887=A1209)))"),"petani")</f>
        <v>petani</v>
      </c>
      <c r="D1209" s="40" t="str">
        <f>IFERROR(__xludf.DUMMYFUNCTION("TEXTJOIN("", "",TRUE,UNIQUE(FILTER('Data Master'!$D$2:$D1887,'Data Master'!$C$2:$C1887=A1209)))"),"")</f>
        <v/>
      </c>
    </row>
    <row r="1210" hidden="1">
      <c r="C1210" s="40" t="str">
        <f>IFERROR(__xludf.DUMMYFUNCTION("TEXTJOIN("", "",TRUE,UNIQUE(FILTER('Data Master'!$B$2:$B1887,'Data Master'!$C$2:$C1887=A1210)))"),"petani")</f>
        <v>petani</v>
      </c>
      <c r="D1210" s="40" t="str">
        <f>IFERROR(__xludf.DUMMYFUNCTION("TEXTJOIN("", "",TRUE,UNIQUE(FILTER('Data Master'!$D$2:$D1887,'Data Master'!$C$2:$C1887=A1210)))"),"")</f>
        <v/>
      </c>
    </row>
    <row r="1211" hidden="1">
      <c r="C1211" s="40" t="str">
        <f>IFERROR(__xludf.DUMMYFUNCTION("TEXTJOIN("", "",TRUE,UNIQUE(FILTER('Data Master'!$B$2:$B1887,'Data Master'!$C$2:$C1887=A1211)))"),"petani")</f>
        <v>petani</v>
      </c>
      <c r="D1211" s="40" t="str">
        <f>IFERROR(__xludf.DUMMYFUNCTION("TEXTJOIN("", "",TRUE,UNIQUE(FILTER('Data Master'!$D$2:$D1887,'Data Master'!$C$2:$C1887=A1211)))"),"")</f>
        <v/>
      </c>
    </row>
    <row r="1212" hidden="1">
      <c r="C1212" s="40" t="str">
        <f>IFERROR(__xludf.DUMMYFUNCTION("TEXTJOIN("", "",TRUE,UNIQUE(FILTER('Data Master'!$B$2:$B1887,'Data Master'!$C$2:$C1887=A1212)))"),"penyuluh, petani")</f>
        <v>penyuluh, petani</v>
      </c>
      <c r="D1212" s="40" t="str">
        <f>IFERROR(__xludf.DUMMYFUNCTION("TEXTJOIN("", "",TRUE,UNIQUE(FILTER('Data Master'!$D$2:$D1887,'Data Master'!$C$2:$C1887=A1212)))"),"")</f>
        <v/>
      </c>
    </row>
    <row r="1213" hidden="1">
      <c r="C1213" s="40" t="str">
        <f>IFERROR(__xludf.DUMMYFUNCTION("TEXTJOIN("", "",TRUE,UNIQUE(FILTER('Data Master'!$B$2:$B1887,'Data Master'!$C$2:$C1887=A1213)))"),"petani")</f>
        <v>petani</v>
      </c>
      <c r="D1213" s="40" t="str">
        <f>IFERROR(__xludf.DUMMYFUNCTION("TEXTJOIN("", "",TRUE,UNIQUE(FILTER('Data Master'!$D$2:$D1887,'Data Master'!$C$2:$C1887=A1213)))"),"")</f>
        <v/>
      </c>
    </row>
    <row r="1214" hidden="1">
      <c r="C1214" s="40" t="str">
        <f>IFERROR(__xludf.DUMMYFUNCTION("TEXTJOIN("", "",TRUE,UNIQUE(FILTER('Data Master'!$B$2:$B1887,'Data Master'!$C$2:$C1887=A1214)))"),"petani")</f>
        <v>petani</v>
      </c>
      <c r="D1214" s="40" t="str">
        <f>IFERROR(__xludf.DUMMYFUNCTION("TEXTJOIN("", "",TRUE,UNIQUE(FILTER('Data Master'!$D$2:$D1887,'Data Master'!$C$2:$C1887=A1214)))"),"dehapurwoko@gmail.com")</f>
        <v>dehapurwoko@gmail.com</v>
      </c>
    </row>
    <row r="1215" hidden="1">
      <c r="C1215" s="40" t="str">
        <f>IFERROR(__xludf.DUMMYFUNCTION("TEXTJOIN("", "",TRUE,UNIQUE(FILTER('Data Master'!$B$2:$B1887,'Data Master'!$C$2:$C1887=A1215)))"),"petani")</f>
        <v>petani</v>
      </c>
      <c r="D1215" s="40" t="str">
        <f>IFERROR(__xludf.DUMMYFUNCTION("TEXTJOIN("", "",TRUE,UNIQUE(FILTER('Data Master'!$D$2:$D1887,'Data Master'!$C$2:$C1887=A1215)))"),"")</f>
        <v/>
      </c>
    </row>
    <row r="1216" hidden="1">
      <c r="C1216" s="40" t="str">
        <f>IFERROR(__xludf.DUMMYFUNCTION("TEXTJOIN("", "",TRUE,UNIQUE(FILTER('Data Master'!$B$2:$B1887,'Data Master'!$C$2:$C1887=A1216)))"),"penyuluh")</f>
        <v>penyuluh</v>
      </c>
      <c r="D1216" s="40" t="str">
        <f>IFERROR(__xludf.DUMMYFUNCTION("TEXTJOIN("", "",TRUE,UNIQUE(FILTER('Data Master'!$D$2:$D1887,'Data Master'!$C$2:$C1887=A1216)))"),"yaqinjq.muhammad@gmail.com")</f>
        <v>yaqinjq.muhammad@gmail.com</v>
      </c>
    </row>
    <row r="1217" hidden="1">
      <c r="C1217" s="40" t="str">
        <f>IFERROR(__xludf.DUMMYFUNCTION("TEXTJOIN("", "",TRUE,UNIQUE(FILTER('Data Master'!$B$2:$B1887,'Data Master'!$C$2:$C1887=A1217)))"),"penyuluh")</f>
        <v>penyuluh</v>
      </c>
      <c r="D1217" s="40" t="str">
        <f>IFERROR(__xludf.DUMMYFUNCTION("TEXTJOIN("", "",TRUE,UNIQUE(FILTER('Data Master'!$D$2:$D1887,'Data Master'!$C$2:$C1887=A1217)))"),"")</f>
        <v/>
      </c>
    </row>
    <row r="1218" hidden="1">
      <c r="C1218" s="40" t="str">
        <f>IFERROR(__xludf.DUMMYFUNCTION("TEXTJOIN("", "",TRUE,UNIQUE(FILTER('Data Master'!$B$2:$B1887,'Data Master'!$C$2:$C1887=A1218)))"),"petani")</f>
        <v>petani</v>
      </c>
      <c r="D1218" s="40" t="str">
        <f>IFERROR(__xludf.DUMMYFUNCTION("TEXTJOIN("", "",TRUE,UNIQUE(FILTER('Data Master'!$D$2:$D1887,'Data Master'!$C$2:$C1887=A1218)))"),"")</f>
        <v/>
      </c>
    </row>
    <row r="1219" hidden="1">
      <c r="C1219" s="40" t="str">
        <f>IFERROR(__xludf.DUMMYFUNCTION("TEXTJOIN("", "",TRUE,UNIQUE(FILTER('Data Master'!$B$2:$B1887,'Data Master'!$C$2:$C1887=A1219)))"),"penyuluh")</f>
        <v>penyuluh</v>
      </c>
      <c r="D1219" s="40" t="str">
        <f>IFERROR(__xludf.DUMMYFUNCTION("TEXTJOIN("", "",TRUE,UNIQUE(FILTER('Data Master'!$D$2:$D1887,'Data Master'!$C$2:$C1887=A1219)))"),"oki@gmail.com")</f>
        <v>oki@gmail.com</v>
      </c>
    </row>
    <row r="1220" hidden="1">
      <c r="C1220" s="40" t="str">
        <f>IFERROR(__xludf.DUMMYFUNCTION("TEXTJOIN("", "",TRUE,UNIQUE(FILTER('Data Master'!$B$2:$B1887,'Data Master'!$C$2:$C1887=A1220)))"),"petani")</f>
        <v>petani</v>
      </c>
      <c r="D1220" s="40" t="str">
        <f>IFERROR(__xludf.DUMMYFUNCTION("TEXTJOIN("", "",TRUE,UNIQUE(FILTER('Data Master'!$D$2:$D1887,'Data Master'!$C$2:$C1887=A1220)))"),"")</f>
        <v/>
      </c>
    </row>
    <row r="1221" hidden="1">
      <c r="C1221" s="40" t="str">
        <f>IFERROR(__xludf.DUMMYFUNCTION("TEXTJOIN("", "",TRUE,UNIQUE(FILTER('Data Master'!$B$2:$B1887,'Data Master'!$C$2:$C1887=A1221)))"),"petani")</f>
        <v>petani</v>
      </c>
      <c r="D1221" s="40" t="str">
        <f>IFERROR(__xludf.DUMMYFUNCTION("TEXTJOIN("", "",TRUE,UNIQUE(FILTER('Data Master'!$D$2:$D1887,'Data Master'!$C$2:$C1887=A1221)))"),"dehapurwoko@gmail.com")</f>
        <v>dehapurwoko@gmail.com</v>
      </c>
    </row>
    <row r="1222" hidden="1">
      <c r="C1222" s="40" t="str">
        <f>IFERROR(__xludf.DUMMYFUNCTION("TEXTJOIN("", "",TRUE,UNIQUE(FILTER('Data Master'!$B$2:$B1887,'Data Master'!$C$2:$C1887=A1222)))"),"petani")</f>
        <v>petani</v>
      </c>
      <c r="D1222" s="40" t="str">
        <f>IFERROR(__xludf.DUMMYFUNCTION("TEXTJOIN("", "",TRUE,UNIQUE(FILTER('Data Master'!$D$2:$D1887,'Data Master'!$C$2:$C1887=A1222)))"),"")</f>
        <v/>
      </c>
    </row>
    <row r="1223" hidden="1">
      <c r="C1223" s="40" t="str">
        <f>IFERROR(__xludf.DUMMYFUNCTION("TEXTJOIN("", "",TRUE,UNIQUE(FILTER('Data Master'!$B$2:$B1887,'Data Master'!$C$2:$C1887=A1223)))"),"petani")</f>
        <v>petani</v>
      </c>
      <c r="D1223" s="40" t="str">
        <f>IFERROR(__xludf.DUMMYFUNCTION("TEXTJOIN("", "",TRUE,UNIQUE(FILTER('Data Master'!$D$2:$D1887,'Data Master'!$C$2:$C1887=A1223)))"),"")</f>
        <v/>
      </c>
    </row>
    <row r="1224" hidden="1">
      <c r="C1224" s="40" t="str">
        <f>IFERROR(__xludf.DUMMYFUNCTION("TEXTJOIN("", "",TRUE,UNIQUE(FILTER('Data Master'!$B$2:$B1887,'Data Master'!$C$2:$C1887=A1224)))"),"petani")</f>
        <v>petani</v>
      </c>
      <c r="D1224" s="40" t="str">
        <f>IFERROR(__xludf.DUMMYFUNCTION("TEXTJOIN("", "",TRUE,UNIQUE(FILTER('Data Master'!$D$2:$D1887,'Data Master'!$C$2:$C1887=A1224)))"),"")</f>
        <v/>
      </c>
    </row>
    <row r="1225" hidden="1">
      <c r="C1225" s="40" t="str">
        <f>IFERROR(__xludf.DUMMYFUNCTION("TEXTJOIN("", "",TRUE,UNIQUE(FILTER('Data Master'!$B$2:$B1887,'Data Master'!$C$2:$C1887=A1225)))"),"petani")</f>
        <v>petani</v>
      </c>
      <c r="D1225" s="40" t="str">
        <f>IFERROR(__xludf.DUMMYFUNCTION("TEXTJOIN("", "",TRUE,UNIQUE(FILTER('Data Master'!$D$2:$D1887,'Data Master'!$C$2:$C1887=A1225)))"),"")</f>
        <v/>
      </c>
    </row>
    <row r="1226" hidden="1">
      <c r="C1226" s="40" t="str">
        <f>IFERROR(__xludf.DUMMYFUNCTION("TEXTJOIN("", "",TRUE,UNIQUE(FILTER('Data Master'!$B$2:$B1887,'Data Master'!$C$2:$C1887=A1226)))"),"petani")</f>
        <v>petani</v>
      </c>
      <c r="D1226" s="40" t="str">
        <f>IFERROR(__xludf.DUMMYFUNCTION("TEXTJOIN("", "",TRUE,UNIQUE(FILTER('Data Master'!$D$2:$D1887,'Data Master'!$C$2:$C1887=A1226)))"),"")</f>
        <v/>
      </c>
    </row>
    <row r="1227" hidden="1">
      <c r="C1227" s="40" t="str">
        <f>IFERROR(__xludf.DUMMYFUNCTION("TEXTJOIN("", "",TRUE,UNIQUE(FILTER('Data Master'!$B$2:$B1887,'Data Master'!$C$2:$C1887=A1227)))"),"petani")</f>
        <v>petani</v>
      </c>
      <c r="D1227" s="40" t="str">
        <f>IFERROR(__xludf.DUMMYFUNCTION("TEXTJOIN("", "",TRUE,UNIQUE(FILTER('Data Master'!$D$2:$D1887,'Data Master'!$C$2:$C1887=A1227)))"),"")</f>
        <v/>
      </c>
    </row>
    <row r="1228" hidden="1">
      <c r="C1228" s="40" t="str">
        <f>IFERROR(__xludf.DUMMYFUNCTION("TEXTJOIN("", "",TRUE,UNIQUE(FILTER('Data Master'!$B$2:$B1887,'Data Master'!$C$2:$C1887=A1228)))"),"petani")</f>
        <v>petani</v>
      </c>
      <c r="D1228" s="40" t="str">
        <f>IFERROR(__xludf.DUMMYFUNCTION("TEXTJOIN("", "",TRUE,UNIQUE(FILTER('Data Master'!$D$2:$D1887,'Data Master'!$C$2:$C1887=A1228)))"),"")</f>
        <v/>
      </c>
    </row>
    <row r="1229" hidden="1">
      <c r="C1229" s="40" t="str">
        <f>IFERROR(__xludf.DUMMYFUNCTION("TEXTJOIN("", "",TRUE,UNIQUE(FILTER('Data Master'!$B$2:$B1887,'Data Master'!$C$2:$C1887=A1229)))"),"petani")</f>
        <v>petani</v>
      </c>
      <c r="D1229" s="40" t="str">
        <f>IFERROR(__xludf.DUMMYFUNCTION("TEXTJOIN("", "",TRUE,UNIQUE(FILTER('Data Master'!$D$2:$D1887,'Data Master'!$C$2:$C1887=A1229)))"),"")</f>
        <v/>
      </c>
    </row>
    <row r="1230" hidden="1">
      <c r="C1230" s="40" t="str">
        <f>IFERROR(__xludf.DUMMYFUNCTION("TEXTJOIN("", "",TRUE,UNIQUE(FILTER('Data Master'!$B$2:$B1887,'Data Master'!$C$2:$C1887=A1230)))"),"petani")</f>
        <v>petani</v>
      </c>
      <c r="D1230" s="40" t="str">
        <f>IFERROR(__xludf.DUMMYFUNCTION("TEXTJOIN("", "",TRUE,UNIQUE(FILTER('Data Master'!$D$2:$D1887,'Data Master'!$C$2:$C1887=A1230)))"),"")</f>
        <v/>
      </c>
    </row>
    <row r="1231" hidden="1">
      <c r="C1231" s="40" t="str">
        <f>IFERROR(__xludf.DUMMYFUNCTION("TEXTJOIN("", "",TRUE,UNIQUE(FILTER('Data Master'!$B$2:$B1887,'Data Master'!$C$2:$C1887=A1231)))"),"petani")</f>
        <v>petani</v>
      </c>
      <c r="D1231" s="40" t="str">
        <f>IFERROR(__xludf.DUMMYFUNCTION("TEXTJOIN("", "",TRUE,UNIQUE(FILTER('Data Master'!$D$2:$D1887,'Data Master'!$C$2:$C1887=A1231)))"),"")</f>
        <v/>
      </c>
    </row>
    <row r="1232" hidden="1">
      <c r="C1232" s="40" t="str">
        <f>IFERROR(__xludf.DUMMYFUNCTION("TEXTJOIN("", "",TRUE,UNIQUE(FILTER('Data Master'!$B$2:$B1887,'Data Master'!$C$2:$C1887=A1232)))"),"petani")</f>
        <v>petani</v>
      </c>
      <c r="D1232" s="40" t="str">
        <f>IFERROR(__xludf.DUMMYFUNCTION("TEXTJOIN("", "",TRUE,UNIQUE(FILTER('Data Master'!$D$2:$D1887,'Data Master'!$C$2:$C1887=A1232)))"),"")</f>
        <v/>
      </c>
    </row>
    <row r="1233" hidden="1">
      <c r="C1233" s="40" t="str">
        <f>IFERROR(__xludf.DUMMYFUNCTION("TEXTJOIN("", "",TRUE,UNIQUE(FILTER('Data Master'!$B$2:$B1887,'Data Master'!$C$2:$C1887=A1233)))"),"petani")</f>
        <v>petani</v>
      </c>
      <c r="D1233" s="40" t="str">
        <f>IFERROR(__xludf.DUMMYFUNCTION("TEXTJOIN("", "",TRUE,UNIQUE(FILTER('Data Master'!$D$2:$D1887,'Data Master'!$C$2:$C1887=A1233)))"),"")</f>
        <v/>
      </c>
    </row>
    <row r="1234" hidden="1">
      <c r="C1234" s="40" t="str">
        <f>IFERROR(__xludf.DUMMYFUNCTION("TEXTJOIN("", "",TRUE,UNIQUE(FILTER('Data Master'!$B$2:$B1887,'Data Master'!$C$2:$C1887=A1234)))"),"petani")</f>
        <v>petani</v>
      </c>
      <c r="D1234" s="40" t="str">
        <f>IFERROR(__xludf.DUMMYFUNCTION("TEXTJOIN("", "",TRUE,UNIQUE(FILTER('Data Master'!$D$2:$D1887,'Data Master'!$C$2:$C1887=A1234)))"),"")</f>
        <v/>
      </c>
    </row>
    <row r="1235" hidden="1">
      <c r="C1235" s="40" t="str">
        <f>IFERROR(__xludf.DUMMYFUNCTION("TEXTJOIN("", "",TRUE,UNIQUE(FILTER('Data Master'!$B$2:$B1887,'Data Master'!$C$2:$C1887=A1235)))"),"petani")</f>
        <v>petani</v>
      </c>
      <c r="D1235" s="40" t="str">
        <f>IFERROR(__xludf.DUMMYFUNCTION("TEXTJOIN("", "",TRUE,UNIQUE(FILTER('Data Master'!$D$2:$D1887,'Data Master'!$C$2:$C1887=A1235)))"),"")</f>
        <v/>
      </c>
    </row>
    <row r="1236" hidden="1">
      <c r="C1236" s="40" t="str">
        <f>IFERROR(__xludf.DUMMYFUNCTION("TEXTJOIN("", "",TRUE,UNIQUE(FILTER('Data Master'!$B$2:$B1887,'Data Master'!$C$2:$C1887=A1236)))"),"petani")</f>
        <v>petani</v>
      </c>
      <c r="D1236" s="40" t="str">
        <f>IFERROR(__xludf.DUMMYFUNCTION("TEXTJOIN("", "",TRUE,UNIQUE(FILTER('Data Master'!$D$2:$D1887,'Data Master'!$C$2:$C1887=A1236)))"),"")</f>
        <v/>
      </c>
    </row>
    <row r="1237" hidden="1">
      <c r="C1237" s="40" t="str">
        <f>IFERROR(__xludf.DUMMYFUNCTION("TEXTJOIN("", "",TRUE,UNIQUE(FILTER('Data Master'!$B$2:$B1887,'Data Master'!$C$2:$C1887=A1237)))"),"petani")</f>
        <v>petani</v>
      </c>
      <c r="D1237" s="40" t="str">
        <f>IFERROR(__xludf.DUMMYFUNCTION("TEXTJOIN("", "",TRUE,UNIQUE(FILTER('Data Master'!$D$2:$D1887,'Data Master'!$C$2:$C1887=A1237)))"),"")</f>
        <v/>
      </c>
    </row>
    <row r="1238" hidden="1">
      <c r="C1238" s="40" t="str">
        <f>IFERROR(__xludf.DUMMYFUNCTION("TEXTJOIN("", "",TRUE,UNIQUE(FILTER('Data Master'!$B$2:$B1887,'Data Master'!$C$2:$C1887=A1238)))"),"petani")</f>
        <v>petani</v>
      </c>
      <c r="D1238" s="40" t="str">
        <f>IFERROR(__xludf.DUMMYFUNCTION("TEXTJOIN("", "",TRUE,UNIQUE(FILTER('Data Master'!$D$2:$D1887,'Data Master'!$C$2:$C1887=A1238)))"),"")</f>
        <v/>
      </c>
    </row>
    <row r="1239" hidden="1">
      <c r="C1239" s="40" t="str">
        <f>IFERROR(__xludf.DUMMYFUNCTION("TEXTJOIN("", "",TRUE,UNIQUE(FILTER('Data Master'!$B$2:$B1887,'Data Master'!$C$2:$C1887=A1239)))"),"petani")</f>
        <v>petani</v>
      </c>
      <c r="D1239" s="40" t="str">
        <f>IFERROR(__xludf.DUMMYFUNCTION("TEXTJOIN("", "",TRUE,UNIQUE(FILTER('Data Master'!$D$2:$D1887,'Data Master'!$C$2:$C1887=A1239)))"),"")</f>
        <v/>
      </c>
    </row>
    <row r="1240" hidden="1">
      <c r="C1240" s="40" t="str">
        <f>IFERROR(__xludf.DUMMYFUNCTION("TEXTJOIN("", "",TRUE,UNIQUE(FILTER('Data Master'!$B$2:$B1887,'Data Master'!$C$2:$C1887=A1240)))"),"petani")</f>
        <v>petani</v>
      </c>
      <c r="D1240" s="40" t="str">
        <f>IFERROR(__xludf.DUMMYFUNCTION("TEXTJOIN("", "",TRUE,UNIQUE(FILTER('Data Master'!$D$2:$D1887,'Data Master'!$C$2:$C1887=A1240)))"),"")</f>
        <v/>
      </c>
    </row>
    <row r="1241" hidden="1">
      <c r="C1241" s="40" t="str">
        <f>IFERROR(__xludf.DUMMYFUNCTION("TEXTJOIN("", "",TRUE,UNIQUE(FILTER('Data Master'!$B$2:$B1887,'Data Master'!$C$2:$C1887=A1241)))"),"petani")</f>
        <v>petani</v>
      </c>
      <c r="D1241" s="40" t="str">
        <f>IFERROR(__xludf.DUMMYFUNCTION("TEXTJOIN("", "",TRUE,UNIQUE(FILTER('Data Master'!$D$2:$D1887,'Data Master'!$C$2:$C1887=A1241)))"),"")</f>
        <v/>
      </c>
    </row>
    <row r="1242" hidden="1">
      <c r="C1242" s="40" t="str">
        <f>IFERROR(__xludf.DUMMYFUNCTION("TEXTJOIN("", "",TRUE,UNIQUE(FILTER('Data Master'!$B$2:$B1887,'Data Master'!$C$2:$C1887=A1242)))"),"petani")</f>
        <v>petani</v>
      </c>
      <c r="D1242" s="40" t="str">
        <f>IFERROR(__xludf.DUMMYFUNCTION("TEXTJOIN("", "",TRUE,UNIQUE(FILTER('Data Master'!$D$2:$D1887,'Data Master'!$C$2:$C1887=A1242)))"),"")</f>
        <v/>
      </c>
    </row>
    <row r="1243" hidden="1">
      <c r="C1243" s="40" t="str">
        <f>IFERROR(__xludf.DUMMYFUNCTION("TEXTJOIN("", "",TRUE,UNIQUE(FILTER('Data Master'!$B$2:$B1887,'Data Master'!$C$2:$C1887=A1243)))"),"petani")</f>
        <v>petani</v>
      </c>
      <c r="D1243" s="40" t="str">
        <f>IFERROR(__xludf.DUMMYFUNCTION("TEXTJOIN("", "",TRUE,UNIQUE(FILTER('Data Master'!$D$2:$D1887,'Data Master'!$C$2:$C1887=A1243)))"),"")</f>
        <v/>
      </c>
    </row>
    <row r="1244" hidden="1">
      <c r="C1244" s="40" t="str">
        <f>IFERROR(__xludf.DUMMYFUNCTION("TEXTJOIN("", "",TRUE,UNIQUE(FILTER('Data Master'!$B$2:$B1887,'Data Master'!$C$2:$C1887=A1244)))"),"petani")</f>
        <v>petani</v>
      </c>
      <c r="D1244" s="40" t="str">
        <f>IFERROR(__xludf.DUMMYFUNCTION("TEXTJOIN("", "",TRUE,UNIQUE(FILTER('Data Master'!$D$2:$D1887,'Data Master'!$C$2:$C1887=A1244)))"),"")</f>
        <v/>
      </c>
    </row>
    <row r="1245" hidden="1">
      <c r="C1245" s="40" t="str">
        <f>IFERROR(__xludf.DUMMYFUNCTION("TEXTJOIN("", "",TRUE,UNIQUE(FILTER('Data Master'!$B$2:$B1887,'Data Master'!$C$2:$C1887=A1245)))"),"petani")</f>
        <v>petani</v>
      </c>
      <c r="D1245" s="40" t="str">
        <f>IFERROR(__xludf.DUMMYFUNCTION("TEXTJOIN("", "",TRUE,UNIQUE(FILTER('Data Master'!$D$2:$D1887,'Data Master'!$C$2:$C1887=A1245)))"),"")</f>
        <v/>
      </c>
    </row>
    <row r="1246" hidden="1">
      <c r="C1246" s="40" t="str">
        <f>IFERROR(__xludf.DUMMYFUNCTION("TEXTJOIN("", "",TRUE,UNIQUE(FILTER('Data Master'!$B$2:$B1887,'Data Master'!$C$2:$C1887=A1246)))"),"petani")</f>
        <v>petani</v>
      </c>
      <c r="D1246" s="40" t="str">
        <f>IFERROR(__xludf.DUMMYFUNCTION("TEXTJOIN("", "",TRUE,UNIQUE(FILTER('Data Master'!$D$2:$D1887,'Data Master'!$C$2:$C1887=A1246)))"),"")</f>
        <v/>
      </c>
    </row>
    <row r="1247" hidden="1">
      <c r="C1247" s="40" t="str">
        <f>IFERROR(__xludf.DUMMYFUNCTION("TEXTJOIN("", "",TRUE,UNIQUE(FILTER('Data Master'!$B$2:$B1887,'Data Master'!$C$2:$C1887=A1247)))"),"petani")</f>
        <v>petani</v>
      </c>
      <c r="D1247" s="40" t="str">
        <f>IFERROR(__xludf.DUMMYFUNCTION("TEXTJOIN("", "",TRUE,UNIQUE(FILTER('Data Master'!$D$2:$D1887,'Data Master'!$C$2:$C1887=A1247)))"),"")</f>
        <v/>
      </c>
    </row>
    <row r="1248" hidden="1">
      <c r="C1248" s="40" t="str">
        <f>IFERROR(__xludf.DUMMYFUNCTION("TEXTJOIN("", "",TRUE,UNIQUE(FILTER('Data Master'!$B$2:$B1887,'Data Master'!$C$2:$C1887=A1248)))"),"petani")</f>
        <v>petani</v>
      </c>
      <c r="D1248" s="40" t="str">
        <f>IFERROR(__xludf.DUMMYFUNCTION("TEXTJOIN("", "",TRUE,UNIQUE(FILTER('Data Master'!$D$2:$D1887,'Data Master'!$C$2:$C1887=A1248)))"),"")</f>
        <v/>
      </c>
    </row>
    <row r="1249" hidden="1">
      <c r="C1249" s="40" t="str">
        <f>IFERROR(__xludf.DUMMYFUNCTION("TEXTJOIN("", "",TRUE,UNIQUE(FILTER('Data Master'!$B$2:$B1887,'Data Master'!$C$2:$C1887=A1249)))"),"petani")</f>
        <v>petani</v>
      </c>
      <c r="D1249" s="40" t="str">
        <f>IFERROR(__xludf.DUMMYFUNCTION("TEXTJOIN("", "",TRUE,UNIQUE(FILTER('Data Master'!$D$2:$D1887,'Data Master'!$C$2:$C1887=A1249)))"),"")</f>
        <v/>
      </c>
    </row>
    <row r="1250" hidden="1">
      <c r="C1250" s="40" t="str">
        <f>IFERROR(__xludf.DUMMYFUNCTION("TEXTJOIN("", "",TRUE,UNIQUE(FILTER('Data Master'!$B$2:$B1887,'Data Master'!$C$2:$C1887=A1250)))"),"penyuluh")</f>
        <v>penyuluh</v>
      </c>
      <c r="D1250" s="40" t="str">
        <f>IFERROR(__xludf.DUMMYFUNCTION("TEXTJOIN("", "",TRUE,UNIQUE(FILTER('Data Master'!$D$2:$D1887,'Data Master'!$C$2:$C1887=A1250)))"),"hartoyosamsung360@gmail.com")</f>
        <v>hartoyosamsung360@gmail.com</v>
      </c>
    </row>
    <row r="1251" hidden="1">
      <c r="C1251" s="40" t="str">
        <f>IFERROR(__xludf.DUMMYFUNCTION("TEXTJOIN("", "",TRUE,UNIQUE(FILTER('Data Master'!$B$2:$B1887,'Data Master'!$C$2:$C1887=A1251)))"),"petani")</f>
        <v>petani</v>
      </c>
      <c r="D1251" s="40" t="str">
        <f>IFERROR(__xludf.DUMMYFUNCTION("TEXTJOIN("", "",TRUE,UNIQUE(FILTER('Data Master'!$D$2:$D1887,'Data Master'!$C$2:$C1887=A1251)))"),"")</f>
        <v/>
      </c>
    </row>
    <row r="1252" hidden="1">
      <c r="C1252" s="40" t="str">
        <f>IFERROR(__xludf.DUMMYFUNCTION("TEXTJOIN("", "",TRUE,UNIQUE(FILTER('Data Master'!$B$2:$B1887,'Data Master'!$C$2:$C1887=A1252)))"),"petani")</f>
        <v>petani</v>
      </c>
      <c r="D1252" s="40" t="str">
        <f>IFERROR(__xludf.DUMMYFUNCTION("TEXTJOIN("", "",TRUE,UNIQUE(FILTER('Data Master'!$D$2:$D1887,'Data Master'!$C$2:$C1887=A1252)))"),"")</f>
        <v/>
      </c>
    </row>
    <row r="1253" hidden="1">
      <c r="C1253" s="40" t="str">
        <f>IFERROR(__xludf.DUMMYFUNCTION("TEXTJOIN("", "",TRUE,UNIQUE(FILTER('Data Master'!$B$2:$B1887,'Data Master'!$C$2:$C1887=A1253)))"),"penyuluh")</f>
        <v>penyuluh</v>
      </c>
      <c r="D1253" s="40" t="str">
        <f>IFERROR(__xludf.DUMMYFUNCTION("TEXTJOIN("", "",TRUE,UNIQUE(FILTER('Data Master'!$D$2:$D1887,'Data Master'!$C$2:$C1887=A1253)))"),"pasriani71@gmail.com")</f>
        <v>pasriani71@gmail.com</v>
      </c>
    </row>
    <row r="1254" hidden="1">
      <c r="C1254" s="40" t="str">
        <f>IFERROR(__xludf.DUMMYFUNCTION("TEXTJOIN("", "",TRUE,UNIQUE(FILTER('Data Master'!$B$2:$B1887,'Data Master'!$C$2:$C1887=A1254)))"),"petani")</f>
        <v>petani</v>
      </c>
      <c r="D1254" s="40" t="str">
        <f>IFERROR(__xludf.DUMMYFUNCTION("TEXTJOIN("", "",TRUE,UNIQUE(FILTER('Data Master'!$D$2:$D1887,'Data Master'!$C$2:$C1887=A1254)))"),"")</f>
        <v/>
      </c>
    </row>
    <row r="1255">
      <c r="C1255" s="43" t="str">
        <f>IFERROR(__xludf.DUMMYFUNCTION("TEXTJOIN("", "",TRUE,UNIQUE(FILTER('Data Master'!$B$2:$B1887,'Data Master'!$C$2:$C1887=A1255)))"),"operator poktan, penyuluh")</f>
        <v>operator poktan, penyuluh</v>
      </c>
      <c r="D1255" s="43" t="str">
        <f>IFERROR(__xludf.DUMMYFUNCTION("TEXTJOIN("", "",TRUE,UNIQUE(FILTER('Data Master'!$D$2:$D1887,'Data Master'!$C$2:$C1887=A1255)))"),"frand@admin.com")</f>
        <v>frand@admin.com</v>
      </c>
    </row>
    <row r="1256" hidden="1">
      <c r="C1256" s="40" t="str">
        <f>IFERROR(__xludf.DUMMYFUNCTION("TEXTJOIN("", "",TRUE,UNIQUE(FILTER('Data Master'!$B$2:$B1887,'Data Master'!$C$2:$C1887=A1256)))"),"operator admin")</f>
        <v>operator admin</v>
      </c>
      <c r="D1256" s="40" t="str">
        <f>IFERROR(__xludf.DUMMYFUNCTION("TEXTJOIN("", "",TRUE,UNIQUE(FILTER('Data Master'!$D$2:$D1887,'Data Master'!$C$2:$C1887=A1256)))"),"shilvi@admin.com")</f>
        <v>shilvi@admin.com</v>
      </c>
    </row>
    <row r="1257" hidden="1">
      <c r="C1257" s="40" t="str">
        <f>IFERROR(__xludf.DUMMYFUNCTION("TEXTJOIN("", "",TRUE,UNIQUE(FILTER('Data Master'!$B$2:$B1887,'Data Master'!$C$2:$C1887=A1257)))"),"penyuluh")</f>
        <v>penyuluh</v>
      </c>
      <c r="D1257" s="40" t="str">
        <f>IFERROR(__xludf.DUMMYFUNCTION("TEXTJOIN("", "",TRUE,UNIQUE(FILTER('Data Master'!$D$2:$D1887,'Data Master'!$C$2:$C1887=A1257)))"),"penyuluhreguler@gmail.com")</f>
        <v>penyuluhreguler@gmail.com</v>
      </c>
    </row>
    <row r="1258" hidden="1">
      <c r="C1258" s="40" t="str">
        <f>IFERROR(__xludf.DUMMYFUNCTION("TEXTJOIN("", "",TRUE,UNIQUE(FILTER('Data Master'!$B$2:$B1887,'Data Master'!$C$2:$C1887=A1258)))"),"penyuluh_swadaya")</f>
        <v>penyuluh_swadaya</v>
      </c>
      <c r="D1258" s="40" t="str">
        <f>IFERROR(__xludf.DUMMYFUNCTION("TEXTJOIN("", "",TRUE,UNIQUE(FILTER('Data Master'!$D$2:$D1887,'Data Master'!$C$2:$C1887=A1258)))"),"penyuluhswadaya@gmail.com")</f>
        <v>penyuluhswadaya@gmail.com</v>
      </c>
    </row>
    <row r="1259" hidden="1">
      <c r="C1259" s="40" t="str">
        <f>IFERROR(__xludf.DUMMYFUNCTION("TEXTJOIN("", "",TRUE,UNIQUE(FILTER('Data Master'!$B$2:$B1887,'Data Master'!$C$2:$C1887=A1259)))"),"operator super admin")</f>
        <v>operator super admin</v>
      </c>
      <c r="D1259" s="40" t="str">
        <f>IFERROR(__xludf.DUMMYFUNCTION("TEXTJOIN("", "",TRUE,UNIQUE(FILTER('Data Master'!$D$2:$D1887,'Data Master'!$C$2:$C1887=A1259)))"),"penyuluhanngawi@gmail.com")</f>
        <v>penyuluhanngawi@gmail.com</v>
      </c>
    </row>
    <row r="1260" hidden="1">
      <c r="C1260" s="40" t="str">
        <f>IFERROR(__xludf.DUMMYFUNCTION("TEXTJOIN("", "",TRUE,UNIQUE(FILTER('Data Master'!$B$2:$B1887,'Data Master'!$C$2:$C1887=A1260)))"),"operator super admin")</f>
        <v>operator super admin</v>
      </c>
      <c r="D1260" s="40" t="str">
        <f>IFERROR(__xludf.DUMMYFUNCTION("TEXTJOIN("", "",TRUE,UNIQUE(FILTER('Data Master'!$D$2:$D1887,'Data Master'!$C$2:$C1887=A1260)))"),"petanijagoanlabs@gmail.com")</f>
        <v>petanijagoanlabs@gmail.com</v>
      </c>
    </row>
    <row r="1261" hidden="1">
      <c r="C1261" s="40" t="str">
        <f>IFERROR(__xludf.DUMMYFUNCTION("TEXTJOIN("", "",TRUE,UNIQUE(FILTER('Data Master'!$B$2:$B1887,'Data Master'!$C$2:$C1887=A1261)))"),"penyuluh")</f>
        <v>penyuluh</v>
      </c>
      <c r="D1261" s="40" t="str">
        <f>IFERROR(__xludf.DUMMYFUNCTION("TEXTJOIN("", "",TRUE,UNIQUE(FILTER('Data Master'!$D$2:$D1887,'Data Master'!$C$2:$C1887=A1261)))"),"wekspipiet@gmail.com")</f>
        <v>wekspipiet@gmail.com</v>
      </c>
    </row>
    <row r="1262" hidden="1">
      <c r="C1262" s="40" t="str">
        <f>IFERROR(__xludf.DUMMYFUNCTION("TEXTJOIN("", "",TRUE,UNIQUE(FILTER('Data Master'!$B$2:$B1887,'Data Master'!$C$2:$C1887=A1262)))"),"petani")</f>
        <v>petani</v>
      </c>
      <c r="D1262" s="40" t="str">
        <f>IFERROR(__xludf.DUMMYFUNCTION("TEXTJOIN("", "",TRUE,UNIQUE(FILTER('Data Master'!$D$2:$D1887,'Data Master'!$C$2:$C1887=A1262)))"),"")</f>
        <v/>
      </c>
    </row>
    <row r="1263" hidden="1">
      <c r="C1263" s="40" t="str">
        <f>IFERROR(__xludf.DUMMYFUNCTION("TEXTJOIN("", "",TRUE,UNIQUE(FILTER('Data Master'!$B$2:$B1887,'Data Master'!$C$2:$C1887=A1263)))"),"petani")</f>
        <v>petani</v>
      </c>
      <c r="D1263" s="40" t="str">
        <f>IFERROR(__xludf.DUMMYFUNCTION("TEXTJOIN("", "",TRUE,UNIQUE(FILTER('Data Master'!$D$2:$D1887,'Data Master'!$C$2:$C1887=A1263)))"),"")</f>
        <v/>
      </c>
    </row>
    <row r="1264" hidden="1">
      <c r="C1264" s="40" t="str">
        <f>IFERROR(__xludf.DUMMYFUNCTION("TEXTJOIN("", "",TRUE,UNIQUE(FILTER('Data Master'!$B$2:$B1887,'Data Master'!$C$2:$C1887=A1264)))"),"petani")</f>
        <v>petani</v>
      </c>
      <c r="D1264" s="40" t="str">
        <f>IFERROR(__xludf.DUMMYFUNCTION("TEXTJOIN("", "",TRUE,UNIQUE(FILTER('Data Master'!$D$2:$D1887,'Data Master'!$C$2:$C1887=A1264)))"),"")</f>
        <v/>
      </c>
    </row>
    <row r="1265" hidden="1">
      <c r="C1265" s="40" t="str">
        <f>IFERROR(__xludf.DUMMYFUNCTION("TEXTJOIN("", "",TRUE,UNIQUE(FILTER('Data Master'!$B$2:$B1887,'Data Master'!$C$2:$C1887=A1265)))"),"penyuluh")</f>
        <v>penyuluh</v>
      </c>
      <c r="D1265" s="40" t="str">
        <f>IFERROR(__xludf.DUMMYFUNCTION("TEXTJOIN("", "",TRUE,UNIQUE(FILTER('Data Master'!$D$2:$D1887,'Data Master'!$C$2:$C1887=A1265)))"),"")</f>
        <v/>
      </c>
    </row>
    <row r="1266" hidden="1">
      <c r="C1266" s="40" t="str">
        <f>IFERROR(__xludf.DUMMYFUNCTION("TEXTJOIN("", "",TRUE,UNIQUE(FILTER('Data Master'!$B$2:$B1887,'Data Master'!$C$2:$C1887=A1266)))"),"petani")</f>
        <v>petani</v>
      </c>
      <c r="D1266" s="40" t="str">
        <f>IFERROR(__xludf.DUMMYFUNCTION("TEXTJOIN("", "",TRUE,UNIQUE(FILTER('Data Master'!$D$2:$D1887,'Data Master'!$C$2:$C1887=A1266)))"),"")</f>
        <v/>
      </c>
    </row>
    <row r="1267" hidden="1">
      <c r="C1267" s="40" t="str">
        <f>IFERROR(__xludf.DUMMYFUNCTION("TEXTJOIN("", "",TRUE,UNIQUE(FILTER('Data Master'!$B$2:$B1887,'Data Master'!$C$2:$C1887=A1267)))"),"petani")</f>
        <v>petani</v>
      </c>
      <c r="D1267" s="40" t="str">
        <f>IFERROR(__xludf.DUMMYFUNCTION("TEXTJOIN("", "",TRUE,UNIQUE(FILTER('Data Master'!$D$2:$D1887,'Data Master'!$C$2:$C1887=A1267)))"),"")</f>
        <v/>
      </c>
    </row>
    <row r="1268" hidden="1">
      <c r="C1268" s="40" t="str">
        <f>IFERROR(__xludf.DUMMYFUNCTION("TEXTJOIN("", "",TRUE,UNIQUE(FILTER('Data Master'!$B$2:$B1887,'Data Master'!$C$2:$C1887=A1268)))"),"petani")</f>
        <v>petani</v>
      </c>
      <c r="D1268" s="40" t="str">
        <f>IFERROR(__xludf.DUMMYFUNCTION("TEXTJOIN("", "",TRUE,UNIQUE(FILTER('Data Master'!$D$2:$D1887,'Data Master'!$C$2:$C1887=A1268)))"),"")</f>
        <v/>
      </c>
    </row>
    <row r="1269" hidden="1">
      <c r="C1269" s="40" t="str">
        <f>IFERROR(__xludf.DUMMYFUNCTION("TEXTJOIN("", "",TRUE,UNIQUE(FILTER('Data Master'!$B$2:$B1887,'Data Master'!$C$2:$C1887=A1269)))"),"petani")</f>
        <v>petani</v>
      </c>
      <c r="D1269" s="40" t="str">
        <f>IFERROR(__xludf.DUMMYFUNCTION("TEXTJOIN("", "",TRUE,UNIQUE(FILTER('Data Master'!$D$2:$D1887,'Data Master'!$C$2:$C1887=A1269)))"),"")</f>
        <v/>
      </c>
    </row>
    <row r="1270" hidden="1">
      <c r="C1270" s="40" t="str">
        <f>IFERROR(__xludf.DUMMYFUNCTION("TEXTJOIN("", "",TRUE,UNIQUE(FILTER('Data Master'!$B$2:$B1887,'Data Master'!$C$2:$C1887=A1270)))"),"petani")</f>
        <v>petani</v>
      </c>
      <c r="D1270" s="40" t="str">
        <f>IFERROR(__xludf.DUMMYFUNCTION("TEXTJOIN("", "",TRUE,UNIQUE(FILTER('Data Master'!$D$2:$D1887,'Data Master'!$C$2:$C1887=A1270)))"),"")</f>
        <v/>
      </c>
    </row>
    <row r="1271" hidden="1">
      <c r="C1271" s="40" t="str">
        <f>IFERROR(__xludf.DUMMYFUNCTION("TEXTJOIN("", "",TRUE,UNIQUE(FILTER('Data Master'!$B$2:$B1887,'Data Master'!$C$2:$C1887=A1271)))"),"petani")</f>
        <v>petani</v>
      </c>
      <c r="D1271" s="40" t="str">
        <f>IFERROR(__xludf.DUMMYFUNCTION("TEXTJOIN("", "",TRUE,UNIQUE(FILTER('Data Master'!$D$2:$D1887,'Data Master'!$C$2:$C1887=A1271)))"),"")</f>
        <v/>
      </c>
    </row>
    <row r="1272" hidden="1">
      <c r="C1272" s="40" t="str">
        <f>IFERROR(__xludf.DUMMYFUNCTION("TEXTJOIN("", "",TRUE,UNIQUE(FILTER('Data Master'!$B$2:$B1887,'Data Master'!$C$2:$C1887=A1272)))"),"petani")</f>
        <v>petani</v>
      </c>
      <c r="D1272" s="40" t="str">
        <f>IFERROR(__xludf.DUMMYFUNCTION("TEXTJOIN("", "",TRUE,UNIQUE(FILTER('Data Master'!$D$2:$D1887,'Data Master'!$C$2:$C1887=A1272)))"),"")</f>
        <v/>
      </c>
    </row>
    <row r="1273" hidden="1">
      <c r="C1273" s="40" t="str">
        <f>IFERROR(__xludf.DUMMYFUNCTION("TEXTJOIN("", "",TRUE,UNIQUE(FILTER('Data Master'!$B$2:$B1887,'Data Master'!$C$2:$C1887=A1273)))"),"petani")</f>
        <v>petani</v>
      </c>
      <c r="D1273" s="40" t="str">
        <f>IFERROR(__xludf.DUMMYFUNCTION("TEXTJOIN("", "",TRUE,UNIQUE(FILTER('Data Master'!$D$2:$D1887,'Data Master'!$C$2:$C1887=A1273)))"),"")</f>
        <v/>
      </c>
    </row>
    <row r="1274" hidden="1">
      <c r="C1274" s="40" t="str">
        <f>IFERROR(__xludf.DUMMYFUNCTION("TEXTJOIN("", "",TRUE,UNIQUE(FILTER('Data Master'!$B$2:$B1887,'Data Master'!$C$2:$C1887=A1274)))"),"penyuluh")</f>
        <v>penyuluh</v>
      </c>
      <c r="D1274" s="40" t="str">
        <f>IFERROR(__xludf.DUMMYFUNCTION("TEXTJOIN("", "",TRUE,UNIQUE(FILTER('Data Master'!$D$2:$D1887,'Data Master'!$C$2:$C1887=A1274)))"),"")</f>
        <v/>
      </c>
    </row>
    <row r="1275" hidden="1">
      <c r="C1275" s="40" t="str">
        <f>IFERROR(__xludf.DUMMYFUNCTION("TEXTJOIN("", "",TRUE,UNIQUE(FILTER('Data Master'!$B$2:$B1887,'Data Master'!$C$2:$C1887=A1275)))"),"petani")</f>
        <v>petani</v>
      </c>
      <c r="D1275" s="40" t="str">
        <f>IFERROR(__xludf.DUMMYFUNCTION("TEXTJOIN("", "",TRUE,UNIQUE(FILTER('Data Master'!$D$2:$D1887,'Data Master'!$C$2:$C1887=A1275)))"),"")</f>
        <v/>
      </c>
    </row>
    <row r="1276" hidden="1">
      <c r="C1276" s="40" t="str">
        <f>IFERROR(__xludf.DUMMYFUNCTION("TEXTJOIN("", "",TRUE,UNIQUE(FILTER('Data Master'!$B$2:$B1887,'Data Master'!$C$2:$C1887=A1276)))"),"petani")</f>
        <v>petani</v>
      </c>
      <c r="D1276" s="40" t="str">
        <f>IFERROR(__xludf.DUMMYFUNCTION("TEXTJOIN("", "",TRUE,UNIQUE(FILTER('Data Master'!$D$2:$D1887,'Data Master'!$C$2:$C1887=A1276)))"),"")</f>
        <v/>
      </c>
    </row>
    <row r="1277" hidden="1">
      <c r="C1277" s="40" t="str">
        <f>IFERROR(__xludf.DUMMYFUNCTION("TEXTJOIN("", "",TRUE,UNIQUE(FILTER('Data Master'!$B$2:$B1887,'Data Master'!$C$2:$C1887=A1277)))"),"petani")</f>
        <v>petani</v>
      </c>
      <c r="D1277" s="40" t="str">
        <f>IFERROR(__xludf.DUMMYFUNCTION("TEXTJOIN("", "",TRUE,UNIQUE(FILTER('Data Master'!$D$2:$D1887,'Data Master'!$C$2:$C1887=A1277)))"),"")</f>
        <v/>
      </c>
    </row>
    <row r="1278" hidden="1">
      <c r="C1278" s="40" t="str">
        <f>IFERROR(__xludf.DUMMYFUNCTION("TEXTJOIN("", "",TRUE,UNIQUE(FILTER('Data Master'!$B$2:$B1887,'Data Master'!$C$2:$C1887=A1278)))"),"petani")</f>
        <v>petani</v>
      </c>
      <c r="D1278" s="40" t="str">
        <f>IFERROR(__xludf.DUMMYFUNCTION("TEXTJOIN("", "",TRUE,UNIQUE(FILTER('Data Master'!$D$2:$D1887,'Data Master'!$C$2:$C1887=A1278)))"),"")</f>
        <v/>
      </c>
    </row>
    <row r="1279" hidden="1">
      <c r="C1279" s="40" t="str">
        <f>IFERROR(__xludf.DUMMYFUNCTION("TEXTJOIN("", "",TRUE,UNIQUE(FILTER('Data Master'!$B$2:$B1887,'Data Master'!$C$2:$C1887=A1279)))"),"petani")</f>
        <v>petani</v>
      </c>
      <c r="D1279" s="40" t="str">
        <f>IFERROR(__xludf.DUMMYFUNCTION("TEXTJOIN("", "",TRUE,UNIQUE(FILTER('Data Master'!$D$2:$D1887,'Data Master'!$C$2:$C1887=A1279)))"),"")</f>
        <v/>
      </c>
    </row>
    <row r="1280" hidden="1">
      <c r="C1280" s="40" t="str">
        <f>IFERROR(__xludf.DUMMYFUNCTION("TEXTJOIN("", "",TRUE,UNIQUE(FILTER('Data Master'!$B$2:$B1887,'Data Master'!$C$2:$C1887=A1280)))"),"petani")</f>
        <v>petani</v>
      </c>
      <c r="D1280" s="40" t="str">
        <f>IFERROR(__xludf.DUMMYFUNCTION("TEXTJOIN("", "",TRUE,UNIQUE(FILTER('Data Master'!$D$2:$D1887,'Data Master'!$C$2:$C1887=A1280)))"),"")</f>
        <v/>
      </c>
    </row>
    <row r="1281" hidden="1">
      <c r="C1281" s="40" t="str">
        <f>IFERROR(__xludf.DUMMYFUNCTION("TEXTJOIN("", "",TRUE,UNIQUE(FILTER('Data Master'!$B$2:$B1887,'Data Master'!$C$2:$C1887=A1281)))"),"petani")</f>
        <v>petani</v>
      </c>
      <c r="D1281" s="40" t="str">
        <f>IFERROR(__xludf.DUMMYFUNCTION("TEXTJOIN("", "",TRUE,UNIQUE(FILTER('Data Master'!$D$2:$D1887,'Data Master'!$C$2:$C1887=A1281)))"),"")</f>
        <v/>
      </c>
    </row>
    <row r="1282" hidden="1">
      <c r="C1282" s="40" t="str">
        <f>IFERROR(__xludf.DUMMYFUNCTION("TEXTJOIN("", "",TRUE,UNIQUE(FILTER('Data Master'!$B$2:$B1887,'Data Master'!$C$2:$C1887=A1282)))"),"petani")</f>
        <v>petani</v>
      </c>
      <c r="D1282" s="40" t="str">
        <f>IFERROR(__xludf.DUMMYFUNCTION("TEXTJOIN("", "",TRUE,UNIQUE(FILTER('Data Master'!$D$2:$D1887,'Data Master'!$C$2:$C1887=A1282)))"),"")</f>
        <v/>
      </c>
    </row>
    <row r="1283" hidden="1">
      <c r="C1283" s="40" t="str">
        <f>IFERROR(__xludf.DUMMYFUNCTION("TEXTJOIN("", "",TRUE,UNIQUE(FILTER('Data Master'!$B$2:$B1887,'Data Master'!$C$2:$C1887=A1283)))"),"petani")</f>
        <v>petani</v>
      </c>
      <c r="D1283" s="40" t="str">
        <f>IFERROR(__xludf.DUMMYFUNCTION("TEXTJOIN("", "",TRUE,UNIQUE(FILTER('Data Master'!$D$2:$D1887,'Data Master'!$C$2:$C1887=A1283)))"),"")</f>
        <v/>
      </c>
    </row>
    <row r="1284" hidden="1">
      <c r="C1284" s="40" t="str">
        <f>IFERROR(__xludf.DUMMYFUNCTION("TEXTJOIN("", "",TRUE,UNIQUE(FILTER('Data Master'!$B$2:$B1887,'Data Master'!$C$2:$C1887=A1284)))"),"petani")</f>
        <v>petani</v>
      </c>
      <c r="D1284" s="40" t="str">
        <f>IFERROR(__xludf.DUMMYFUNCTION("TEXTJOIN("", "",TRUE,UNIQUE(FILTER('Data Master'!$D$2:$D1887,'Data Master'!$C$2:$C1887=A1284)))"),"")</f>
        <v/>
      </c>
    </row>
    <row r="1285" hidden="1">
      <c r="C1285" s="40" t="str">
        <f>IFERROR(__xludf.DUMMYFUNCTION("TEXTJOIN("", "",TRUE,UNIQUE(FILTER('Data Master'!$B$2:$B1887,'Data Master'!$C$2:$C1887=A1285)))"),"petani")</f>
        <v>petani</v>
      </c>
      <c r="D1285" s="40" t="str">
        <f>IFERROR(__xludf.DUMMYFUNCTION("TEXTJOIN("", "",TRUE,UNIQUE(FILTER('Data Master'!$D$2:$D1887,'Data Master'!$C$2:$C1887=A1285)))"),"")</f>
        <v/>
      </c>
    </row>
    <row r="1286" hidden="1">
      <c r="C1286" s="40" t="str">
        <f>IFERROR(__xludf.DUMMYFUNCTION("TEXTJOIN("", "",TRUE,UNIQUE(FILTER('Data Master'!$B$2:$B1887,'Data Master'!$C$2:$C1887=A1286)))"),"petani")</f>
        <v>petani</v>
      </c>
      <c r="D1286" s="40" t="str">
        <f>IFERROR(__xludf.DUMMYFUNCTION("TEXTJOIN("", "",TRUE,UNIQUE(FILTER('Data Master'!$D$2:$D1887,'Data Master'!$C$2:$C1887=A1286)))"),"")</f>
        <v/>
      </c>
    </row>
    <row r="1287" hidden="1">
      <c r="C1287" s="40" t="str">
        <f>IFERROR(__xludf.DUMMYFUNCTION("TEXTJOIN("", "",TRUE,UNIQUE(FILTER('Data Master'!$B$2:$B1887,'Data Master'!$C$2:$C1887=A1287)))"),"petani")</f>
        <v>petani</v>
      </c>
      <c r="D1287" s="40" t="str">
        <f>IFERROR(__xludf.DUMMYFUNCTION("TEXTJOIN("", "",TRUE,UNIQUE(FILTER('Data Master'!$D$2:$D1887,'Data Master'!$C$2:$C1887=A1287)))"),"")</f>
        <v/>
      </c>
    </row>
    <row r="1288" hidden="1">
      <c r="C1288" s="40" t="str">
        <f>IFERROR(__xludf.DUMMYFUNCTION("TEXTJOIN("", "",TRUE,UNIQUE(FILTER('Data Master'!$B$2:$B1887,'Data Master'!$C$2:$C1887=A1288)))"),"petani")</f>
        <v>petani</v>
      </c>
      <c r="D1288" s="40" t="str">
        <f>IFERROR(__xludf.DUMMYFUNCTION("TEXTJOIN("", "",TRUE,UNIQUE(FILTER('Data Master'!$D$2:$D1887,'Data Master'!$C$2:$C1887=A1288)))"),"dehapurwoko@gmail.com")</f>
        <v>dehapurwoko@gmail.com</v>
      </c>
    </row>
    <row r="1289" hidden="1">
      <c r="C1289" s="40" t="str">
        <f>IFERROR(__xludf.DUMMYFUNCTION("TEXTJOIN("", "",TRUE,UNIQUE(FILTER('Data Master'!$B$2:$B1887,'Data Master'!$C$2:$C1887=A1289)))"),"petani")</f>
        <v>petani</v>
      </c>
      <c r="D1289" s="40" t="str">
        <f>IFERROR(__xludf.DUMMYFUNCTION("TEXTJOIN("", "",TRUE,UNIQUE(FILTER('Data Master'!$D$2:$D1887,'Data Master'!$C$2:$C1887=A1289)))"),"")</f>
        <v/>
      </c>
    </row>
    <row r="1290" hidden="1">
      <c r="C1290" s="40" t="str">
        <f>IFERROR(__xludf.DUMMYFUNCTION("TEXTJOIN("", "",TRUE,UNIQUE(FILTER('Data Master'!$B$2:$B1887,'Data Master'!$C$2:$C1887=A1290)))"),"petani")</f>
        <v>petani</v>
      </c>
      <c r="D1290" s="40" t="str">
        <f>IFERROR(__xludf.DUMMYFUNCTION("TEXTJOIN("", "",TRUE,UNIQUE(FILTER('Data Master'!$D$2:$D1887,'Data Master'!$C$2:$C1887=A1290)))"),"")</f>
        <v/>
      </c>
    </row>
    <row r="1291" hidden="1">
      <c r="C1291" s="40" t="str">
        <f>IFERROR(__xludf.DUMMYFUNCTION("TEXTJOIN("", "",TRUE,UNIQUE(FILTER('Data Master'!$B$2:$B1887,'Data Master'!$C$2:$C1887=A1291)))"),"petani")</f>
        <v>petani</v>
      </c>
      <c r="D1291" s="40" t="str">
        <f>IFERROR(__xludf.DUMMYFUNCTION("TEXTJOIN("", "",TRUE,UNIQUE(FILTER('Data Master'!$D$2:$D1887,'Data Master'!$C$2:$C1887=A1291)))"),"")</f>
        <v/>
      </c>
    </row>
    <row r="1292" hidden="1">
      <c r="C1292" s="40" t="str">
        <f>IFERROR(__xludf.DUMMYFUNCTION("TEXTJOIN("", "",TRUE,UNIQUE(FILTER('Data Master'!$B$2:$B1887,'Data Master'!$C$2:$C1887=A1292)))"),"petani")</f>
        <v>petani</v>
      </c>
      <c r="D1292" s="40" t="str">
        <f>IFERROR(__xludf.DUMMYFUNCTION("TEXTJOIN("", "",TRUE,UNIQUE(FILTER('Data Master'!$D$2:$D1887,'Data Master'!$C$2:$C1887=A1292)))"),"")</f>
        <v/>
      </c>
    </row>
    <row r="1293" hidden="1">
      <c r="C1293" s="40" t="str">
        <f>IFERROR(__xludf.DUMMYFUNCTION("TEXTJOIN("", "",TRUE,UNIQUE(FILTER('Data Master'!$B$2:$B1887,'Data Master'!$C$2:$C1887=A1293)))"),"petani")</f>
        <v>petani</v>
      </c>
      <c r="D1293" s="40" t="str">
        <f>IFERROR(__xludf.DUMMYFUNCTION("TEXTJOIN("", "",TRUE,UNIQUE(FILTER('Data Master'!$D$2:$D1887,'Data Master'!$C$2:$C1887=A1293)))"),"")</f>
        <v/>
      </c>
    </row>
    <row r="1294" hidden="1">
      <c r="C1294" s="40" t="str">
        <f>IFERROR(__xludf.DUMMYFUNCTION("TEXTJOIN("", "",TRUE,UNIQUE(FILTER('Data Master'!$B$2:$B1887,'Data Master'!$C$2:$C1887=A1294)))"),"petani")</f>
        <v>petani</v>
      </c>
      <c r="D1294" s="40" t="str">
        <f>IFERROR(__xludf.DUMMYFUNCTION("TEXTJOIN("", "",TRUE,UNIQUE(FILTER('Data Master'!$D$2:$D1887,'Data Master'!$C$2:$C1887=A1294)))"),"")</f>
        <v/>
      </c>
    </row>
    <row r="1295" hidden="1">
      <c r="C1295" s="40" t="str">
        <f>IFERROR(__xludf.DUMMYFUNCTION("TEXTJOIN("", "",TRUE,UNIQUE(FILTER('Data Master'!$B$2:$B1887,'Data Master'!$C$2:$C1887=A1295)))"),"petani")</f>
        <v>petani</v>
      </c>
      <c r="D1295" s="40" t="str">
        <f>IFERROR(__xludf.DUMMYFUNCTION("TEXTJOIN("", "",TRUE,UNIQUE(FILTER('Data Master'!$D$2:$D1887,'Data Master'!$C$2:$C1887=A1295)))"),"")</f>
        <v/>
      </c>
    </row>
    <row r="1296" hidden="1">
      <c r="C1296" s="40" t="str">
        <f>IFERROR(__xludf.DUMMYFUNCTION("TEXTJOIN("", "",TRUE,UNIQUE(FILTER('Data Master'!$B$2:$B1887,'Data Master'!$C$2:$C1887=A1296)))"),"petani")</f>
        <v>petani</v>
      </c>
      <c r="D1296" s="40" t="str">
        <f>IFERROR(__xludf.DUMMYFUNCTION("TEXTJOIN("", "",TRUE,UNIQUE(FILTER('Data Master'!$D$2:$D1887,'Data Master'!$C$2:$C1887=A1296)))"),"")</f>
        <v/>
      </c>
    </row>
    <row r="1297" hidden="1">
      <c r="C1297" s="40" t="str">
        <f>IFERROR(__xludf.DUMMYFUNCTION("TEXTJOIN("", "",TRUE,UNIQUE(FILTER('Data Master'!$B$2:$B1887,'Data Master'!$C$2:$C1887=A1297)))"),"petani")</f>
        <v>petani</v>
      </c>
      <c r="D1297" s="40" t="str">
        <f>IFERROR(__xludf.DUMMYFUNCTION("TEXTJOIN("", "",TRUE,UNIQUE(FILTER('Data Master'!$D$2:$D1887,'Data Master'!$C$2:$C1887=A1297)))"),"")</f>
        <v/>
      </c>
    </row>
    <row r="1298" hidden="1">
      <c r="C1298" s="40" t="str">
        <f>IFERROR(__xludf.DUMMYFUNCTION("TEXTJOIN("", "",TRUE,UNIQUE(FILTER('Data Master'!$B$2:$B1887,'Data Master'!$C$2:$C1887=A1298)))"),"petani")</f>
        <v>petani</v>
      </c>
      <c r="D1298" s="40" t="str">
        <f>IFERROR(__xludf.DUMMYFUNCTION("TEXTJOIN("", "",TRUE,UNIQUE(FILTER('Data Master'!$D$2:$D1887,'Data Master'!$C$2:$C1887=A1298)))"),"")</f>
        <v/>
      </c>
    </row>
    <row r="1299">
      <c r="C1299" s="43" t="str">
        <f>IFERROR(__xludf.DUMMYFUNCTION("TEXTJOIN("", "",TRUE,UNIQUE(FILTER('Data Master'!$B$2:$B1887,'Data Master'!$C$2:$C1887=A1299)))"),"penyuluh, petani")</f>
        <v>penyuluh, petani</v>
      </c>
      <c r="D1299" s="43" t="str">
        <f>IFERROR(__xludf.DUMMYFUNCTION("TEXTJOIN("", "",TRUE,UNIQUE(FILTER('Data Master'!$D$2:$D1887,'Data Master'!$C$2:$C1887=A1299)))"),"puryantodikromo92@gmail.com")</f>
        <v>puryantodikromo92@gmail.com</v>
      </c>
    </row>
    <row r="1300" hidden="1">
      <c r="C1300" s="40" t="str">
        <f>IFERROR(__xludf.DUMMYFUNCTION("TEXTJOIN("", "",TRUE,UNIQUE(FILTER('Data Master'!$B$2:$B1887,'Data Master'!$C$2:$C1887=A1300)))"),"petani")</f>
        <v>petani</v>
      </c>
      <c r="D1300" s="40" t="str">
        <f>IFERROR(__xludf.DUMMYFUNCTION("TEXTJOIN("", "",TRUE,UNIQUE(FILTER('Data Master'!$D$2:$D1887,'Data Master'!$C$2:$C1887=A1300)))"),"")</f>
        <v/>
      </c>
    </row>
    <row r="1301" hidden="1">
      <c r="C1301" s="40" t="str">
        <f>IFERROR(__xludf.DUMMYFUNCTION("TEXTJOIN("", "",TRUE,UNIQUE(FILTER('Data Master'!$B$2:$B1887,'Data Master'!$C$2:$C1887=A1301)))"),"petani")</f>
        <v>petani</v>
      </c>
      <c r="D1301" s="40" t="str">
        <f>IFERROR(__xludf.DUMMYFUNCTION("TEXTJOIN("", "",TRUE,UNIQUE(FILTER('Data Master'!$D$2:$D1887,'Data Master'!$C$2:$C1887=A1301)))"),"")</f>
        <v/>
      </c>
    </row>
    <row r="1302" hidden="1">
      <c r="C1302" s="40" t="str">
        <f>IFERROR(__xludf.DUMMYFUNCTION("TEXTJOIN("", "",TRUE,UNIQUE(FILTER('Data Master'!$B$2:$B1887,'Data Master'!$C$2:$C1887=A1302)))"),"petani")</f>
        <v>petani</v>
      </c>
      <c r="D1302" s="40" t="str">
        <f>IFERROR(__xludf.DUMMYFUNCTION("TEXTJOIN("", "",TRUE,UNIQUE(FILTER('Data Master'!$D$2:$D1887,'Data Master'!$C$2:$C1887=A1302)))"),"")</f>
        <v/>
      </c>
    </row>
    <row r="1303" hidden="1">
      <c r="C1303" s="40" t="str">
        <f>IFERROR(__xludf.DUMMYFUNCTION("TEXTJOIN("", "",TRUE,UNIQUE(FILTER('Data Master'!$B$2:$B1887,'Data Master'!$C$2:$C1887=A1303)))"),"petani")</f>
        <v>petani</v>
      </c>
      <c r="D1303" s="40" t="str">
        <f>IFERROR(__xludf.DUMMYFUNCTION("TEXTJOIN("", "",TRUE,UNIQUE(FILTER('Data Master'!$D$2:$D1887,'Data Master'!$C$2:$C1887=A1303)))"),"")</f>
        <v/>
      </c>
    </row>
    <row r="1304" hidden="1">
      <c r="C1304" s="40" t="str">
        <f>IFERROR(__xludf.DUMMYFUNCTION("TEXTJOIN("", "",TRUE,UNIQUE(FILTER('Data Master'!$B$2:$B1887,'Data Master'!$C$2:$C1887=A1304)))"),"petani")</f>
        <v>petani</v>
      </c>
      <c r="D1304" s="40" t="str">
        <f>IFERROR(__xludf.DUMMYFUNCTION("TEXTJOIN("", "",TRUE,UNIQUE(FILTER('Data Master'!$D$2:$D1887,'Data Master'!$C$2:$C1887=A1304)))"),"")</f>
        <v/>
      </c>
    </row>
    <row r="1305" hidden="1">
      <c r="C1305" s="40" t="str">
        <f>IFERROR(__xludf.DUMMYFUNCTION("TEXTJOIN("", "",TRUE,UNIQUE(FILTER('Data Master'!$B$2:$B1887,'Data Master'!$C$2:$C1887=A1305)))"),"penyuluh")</f>
        <v>penyuluh</v>
      </c>
      <c r="D1305" s="40" t="str">
        <f>IFERROR(__xludf.DUMMYFUNCTION("TEXTJOIN("", "",TRUE,UNIQUE(FILTER('Data Master'!$D$2:$D1887,'Data Master'!$C$2:$C1887=A1305)))"),"")</f>
        <v/>
      </c>
    </row>
    <row r="1306" hidden="1">
      <c r="C1306" s="40" t="str">
        <f>IFERROR(__xludf.DUMMYFUNCTION("TEXTJOIN("", "",TRUE,UNIQUE(FILTER('Data Master'!$B$2:$B1887,'Data Master'!$C$2:$C1887=A1306)))"),"penyuluh")</f>
        <v>penyuluh</v>
      </c>
      <c r="D1306" s="40" t="str">
        <f>IFERROR(__xludf.DUMMYFUNCTION("TEXTJOIN("", "",TRUE,UNIQUE(FILTER('Data Master'!$D$2:$D1887,'Data Master'!$C$2:$C1887=A1306)))"),"kusumoagung21@gmail.com")</f>
        <v>kusumoagung21@gmail.com</v>
      </c>
    </row>
    <row r="1307" hidden="1">
      <c r="C1307" s="40" t="str">
        <f>IFERROR(__xludf.DUMMYFUNCTION("TEXTJOIN("", "",TRUE,UNIQUE(FILTER('Data Master'!$B$2:$B1887,'Data Master'!$C$2:$C1887=A1307)))"),"penyuluh")</f>
        <v>penyuluh</v>
      </c>
      <c r="D1307" s="40" t="str">
        <f>IFERROR(__xludf.DUMMYFUNCTION("TEXTJOIN("", "",TRUE,UNIQUE(FILTER('Data Master'!$D$2:$D1887,'Data Master'!$C$2:$C1887=A1307)))"),"")</f>
        <v/>
      </c>
    </row>
    <row r="1308" hidden="1">
      <c r="C1308" s="40" t="str">
        <f>IFERROR(__xludf.DUMMYFUNCTION("TEXTJOIN("", "",TRUE,UNIQUE(FILTER('Data Master'!$B$2:$B1887,'Data Master'!$C$2:$C1887=A1308)))"),"penyuluh")</f>
        <v>penyuluh</v>
      </c>
      <c r="D1308" s="40" t="str">
        <f>IFERROR(__xludf.DUMMYFUNCTION("TEXTJOIN("", "",TRUE,UNIQUE(FILTER('Data Master'!$D$2:$D1887,'Data Master'!$C$2:$C1887=A1308)))"),"")</f>
        <v/>
      </c>
    </row>
    <row r="1309" hidden="1">
      <c r="C1309" s="40" t="str">
        <f>IFERROR(__xludf.DUMMYFUNCTION("TEXTJOIN("", "",TRUE,UNIQUE(FILTER('Data Master'!$B$2:$B1887,'Data Master'!$C$2:$C1887=A1309)))"),"petani")</f>
        <v>petani</v>
      </c>
      <c r="D1309" s="40" t="str">
        <f>IFERROR(__xludf.DUMMYFUNCTION("TEXTJOIN("", "",TRUE,UNIQUE(FILTER('Data Master'!$D$2:$D1887,'Data Master'!$C$2:$C1887=A1309)))"),"")</f>
        <v/>
      </c>
    </row>
    <row r="1310" hidden="1">
      <c r="C1310" s="40" t="str">
        <f>IFERROR(__xludf.DUMMYFUNCTION("TEXTJOIN("", "",TRUE,UNIQUE(FILTER('Data Master'!$B$2:$B1887,'Data Master'!$C$2:$C1887=A1310)))"),"petani")</f>
        <v>petani</v>
      </c>
      <c r="D1310" s="40" t="str">
        <f>IFERROR(__xludf.DUMMYFUNCTION("TEXTJOIN("", "",TRUE,UNIQUE(FILTER('Data Master'!$D$2:$D1887,'Data Master'!$C$2:$C1887=A1310)))"),"")</f>
        <v/>
      </c>
    </row>
    <row r="1311" hidden="1">
      <c r="C1311" s="40" t="str">
        <f>IFERROR(__xludf.DUMMYFUNCTION("TEXTJOIN("", "",TRUE,UNIQUE(FILTER('Data Master'!$B$2:$B1887,'Data Master'!$C$2:$C1887=A1311)))"),"petani")</f>
        <v>petani</v>
      </c>
      <c r="D1311" s="40" t="str">
        <f>IFERROR(__xludf.DUMMYFUNCTION("TEXTJOIN("", "",TRUE,UNIQUE(FILTER('Data Master'!$D$2:$D1887,'Data Master'!$C$2:$C1887=A1311)))"),"")</f>
        <v/>
      </c>
    </row>
    <row r="1312" hidden="1">
      <c r="C1312" s="40" t="str">
        <f>IFERROR(__xludf.DUMMYFUNCTION("TEXTJOIN("", "",TRUE,UNIQUE(FILTER('Data Master'!$B$2:$B1887,'Data Master'!$C$2:$C1887=A1312)))"),"petani")</f>
        <v>petani</v>
      </c>
      <c r="D1312" s="40" t="str">
        <f>IFERROR(__xludf.DUMMYFUNCTION("TEXTJOIN("", "",TRUE,UNIQUE(FILTER('Data Master'!$D$2:$D1887,'Data Master'!$C$2:$C1887=A1312)))"),"")</f>
        <v/>
      </c>
    </row>
    <row r="1313" hidden="1">
      <c r="C1313" s="40" t="str">
        <f>IFERROR(__xludf.DUMMYFUNCTION("TEXTJOIN("", "",TRUE,UNIQUE(FILTER('Data Master'!$B$2:$B1887,'Data Master'!$C$2:$C1887=A1313)))"),"petani")</f>
        <v>petani</v>
      </c>
      <c r="D1313" s="40" t="str">
        <f>IFERROR(__xludf.DUMMYFUNCTION("TEXTJOIN("", "",TRUE,UNIQUE(FILTER('Data Master'!$D$2:$D1887,'Data Master'!$C$2:$C1887=A1313)))"),"")</f>
        <v/>
      </c>
    </row>
    <row r="1314" hidden="1">
      <c r="C1314" s="40" t="str">
        <f>IFERROR(__xludf.DUMMYFUNCTION("TEXTJOIN("", "",TRUE,UNIQUE(FILTER('Data Master'!$B$2:$B1887,'Data Master'!$C$2:$C1887=A1314)))"),"petani")</f>
        <v>petani</v>
      </c>
      <c r="D1314" s="40" t="str">
        <f>IFERROR(__xludf.DUMMYFUNCTION("TEXTJOIN("", "",TRUE,UNIQUE(FILTER('Data Master'!$D$2:$D1887,'Data Master'!$C$2:$C1887=A1314)))"),"")</f>
        <v/>
      </c>
    </row>
    <row r="1315" hidden="1">
      <c r="C1315" s="40" t="str">
        <f>IFERROR(__xludf.DUMMYFUNCTION("TEXTJOIN("", "",TRUE,UNIQUE(FILTER('Data Master'!$B$2:$B1887,'Data Master'!$C$2:$C1887=A1315)))"),"petani")</f>
        <v>petani</v>
      </c>
      <c r="D1315" s="40" t="str">
        <f>IFERROR(__xludf.DUMMYFUNCTION("TEXTJOIN("", "",TRUE,UNIQUE(FILTER('Data Master'!$D$2:$D1887,'Data Master'!$C$2:$C1887=A1315)))"),"")</f>
        <v/>
      </c>
    </row>
    <row r="1316" hidden="1">
      <c r="C1316" s="40" t="str">
        <f>IFERROR(__xludf.DUMMYFUNCTION("TEXTJOIN("", "",TRUE,UNIQUE(FILTER('Data Master'!$B$2:$B1887,'Data Master'!$C$2:$C1887=A1316)))"),"petani")</f>
        <v>petani</v>
      </c>
      <c r="D1316" s="40" t="str">
        <f>IFERROR(__xludf.DUMMYFUNCTION("TEXTJOIN("", "",TRUE,UNIQUE(FILTER('Data Master'!$D$2:$D1887,'Data Master'!$C$2:$C1887=A1316)))"),"")</f>
        <v/>
      </c>
    </row>
    <row r="1317" hidden="1">
      <c r="C1317" s="40" t="str">
        <f>IFERROR(__xludf.DUMMYFUNCTION("TEXTJOIN("", "",TRUE,UNIQUE(FILTER('Data Master'!$B$2:$B1887,'Data Master'!$C$2:$C1887=A1317)))"),"petani")</f>
        <v>petani</v>
      </c>
      <c r="D1317" s="40" t="str">
        <f>IFERROR(__xludf.DUMMYFUNCTION("TEXTJOIN("", "",TRUE,UNIQUE(FILTER('Data Master'!$D$2:$D1887,'Data Master'!$C$2:$C1887=A1317)))"),"")</f>
        <v/>
      </c>
    </row>
    <row r="1318" hidden="1">
      <c r="C1318" s="40" t="str">
        <f>IFERROR(__xludf.DUMMYFUNCTION("TEXTJOIN("", "",TRUE,UNIQUE(FILTER('Data Master'!$B$2:$B1887,'Data Master'!$C$2:$C1887=A1318)))"),"petani")</f>
        <v>petani</v>
      </c>
      <c r="D1318" s="40" t="str">
        <f>IFERROR(__xludf.DUMMYFUNCTION("TEXTJOIN("", "",TRUE,UNIQUE(FILTER('Data Master'!$D$2:$D1887,'Data Master'!$C$2:$C1887=A1318)))"),"")</f>
        <v/>
      </c>
    </row>
    <row r="1319" hidden="1">
      <c r="C1319" s="40" t="str">
        <f>IFERROR(__xludf.DUMMYFUNCTION("TEXTJOIN("", "",TRUE,UNIQUE(FILTER('Data Master'!$B$2:$B1887,'Data Master'!$C$2:$C1887=A1319)))"),"petani")</f>
        <v>petani</v>
      </c>
      <c r="D1319" s="40" t="str">
        <f>IFERROR(__xludf.DUMMYFUNCTION("TEXTJOIN("", "",TRUE,UNIQUE(FILTER('Data Master'!$D$2:$D1887,'Data Master'!$C$2:$C1887=A1319)))"),"")</f>
        <v/>
      </c>
    </row>
    <row r="1320" hidden="1">
      <c r="C1320" s="40" t="str">
        <f>IFERROR(__xludf.DUMMYFUNCTION("TEXTJOIN("", "",TRUE,UNIQUE(FILTER('Data Master'!$B$2:$B1887,'Data Master'!$C$2:$C1887=A1320)))"),"petani")</f>
        <v>petani</v>
      </c>
      <c r="D1320" s="40" t="str">
        <f>IFERROR(__xludf.DUMMYFUNCTION("TEXTJOIN("", "",TRUE,UNIQUE(FILTER('Data Master'!$D$2:$D1887,'Data Master'!$C$2:$C1887=A1320)))"),"")</f>
        <v/>
      </c>
    </row>
    <row r="1321" hidden="1">
      <c r="C1321" s="40" t="str">
        <f>IFERROR(__xludf.DUMMYFUNCTION("TEXTJOIN("", "",TRUE,UNIQUE(FILTER('Data Master'!$B$2:$B1887,'Data Master'!$C$2:$C1887=A1321)))"),"petani")</f>
        <v>petani</v>
      </c>
      <c r="D1321" s="40" t="str">
        <f>IFERROR(__xludf.DUMMYFUNCTION("TEXTJOIN("", "",TRUE,UNIQUE(FILTER('Data Master'!$D$2:$D1887,'Data Master'!$C$2:$C1887=A1321)))"),"")</f>
        <v/>
      </c>
    </row>
    <row r="1322" hidden="1">
      <c r="C1322" s="40" t="str">
        <f>IFERROR(__xludf.DUMMYFUNCTION("TEXTJOIN("", "",TRUE,UNIQUE(FILTER('Data Master'!$B$2:$B1887,'Data Master'!$C$2:$C1887=A1322)))"),"petani")</f>
        <v>petani</v>
      </c>
      <c r="D1322" s="40" t="str">
        <f>IFERROR(__xludf.DUMMYFUNCTION("TEXTJOIN("", "",TRUE,UNIQUE(FILTER('Data Master'!$D$2:$D1887,'Data Master'!$C$2:$C1887=A1322)))"),"")</f>
        <v/>
      </c>
    </row>
    <row r="1323" hidden="1">
      <c r="C1323" s="40" t="str">
        <f>IFERROR(__xludf.DUMMYFUNCTION("TEXTJOIN("", "",TRUE,UNIQUE(FILTER('Data Master'!$B$2:$B1887,'Data Master'!$C$2:$C1887=A1323)))"),"petani")</f>
        <v>petani</v>
      </c>
      <c r="D1323" s="40" t="str">
        <f>IFERROR(__xludf.DUMMYFUNCTION("TEXTJOIN("", "",TRUE,UNIQUE(FILTER('Data Master'!$D$2:$D1887,'Data Master'!$C$2:$C1887=A1323)))"),"")</f>
        <v/>
      </c>
    </row>
    <row r="1324" hidden="1">
      <c r="C1324" s="40" t="str">
        <f>IFERROR(__xludf.DUMMYFUNCTION("TEXTJOIN("", "",TRUE,UNIQUE(FILTER('Data Master'!$B$2:$B1887,'Data Master'!$C$2:$C1887=A1324)))"),"petani")</f>
        <v>petani</v>
      </c>
      <c r="D1324" s="40" t="str">
        <f>IFERROR(__xludf.DUMMYFUNCTION("TEXTJOIN("", "",TRUE,UNIQUE(FILTER('Data Master'!$D$2:$D1887,'Data Master'!$C$2:$C1887=A1324)))"),"")</f>
        <v/>
      </c>
    </row>
    <row r="1325" hidden="1">
      <c r="C1325" s="40" t="str">
        <f>IFERROR(__xludf.DUMMYFUNCTION("TEXTJOIN("", "",TRUE,UNIQUE(FILTER('Data Master'!$B$2:$B1887,'Data Master'!$C$2:$C1887=A1325)))"),"petani")</f>
        <v>petani</v>
      </c>
      <c r="D1325" s="40" t="str">
        <f>IFERROR(__xludf.DUMMYFUNCTION("TEXTJOIN("", "",TRUE,UNIQUE(FILTER('Data Master'!$D$2:$D1887,'Data Master'!$C$2:$C1887=A1325)))"),"")</f>
        <v/>
      </c>
    </row>
    <row r="1326" hidden="1">
      <c r="C1326" s="40" t="str">
        <f>IFERROR(__xludf.DUMMYFUNCTION("TEXTJOIN("", "",TRUE,UNIQUE(FILTER('Data Master'!$B$2:$B1887,'Data Master'!$C$2:$C1887=A1326)))"),"petani")</f>
        <v>petani</v>
      </c>
      <c r="D1326" s="40" t="str">
        <f>IFERROR(__xludf.DUMMYFUNCTION("TEXTJOIN("", "",TRUE,UNIQUE(FILTER('Data Master'!$D$2:$D1887,'Data Master'!$C$2:$C1887=A1326)))"),"")</f>
        <v/>
      </c>
    </row>
    <row r="1327" hidden="1">
      <c r="C1327" s="40" t="str">
        <f>IFERROR(__xludf.DUMMYFUNCTION("TEXTJOIN("", "",TRUE,UNIQUE(FILTER('Data Master'!$B$2:$B1887,'Data Master'!$C$2:$C1887=A1327)))"),"petani")</f>
        <v>petani</v>
      </c>
      <c r="D1327" s="40" t="str">
        <f>IFERROR(__xludf.DUMMYFUNCTION("TEXTJOIN("", "",TRUE,UNIQUE(FILTER('Data Master'!$D$2:$D1887,'Data Master'!$C$2:$C1887=A1327)))"),"")</f>
        <v/>
      </c>
    </row>
    <row r="1328" hidden="1">
      <c r="C1328" s="40" t="str">
        <f>IFERROR(__xludf.DUMMYFUNCTION("TEXTJOIN("", "",TRUE,UNIQUE(FILTER('Data Master'!$B$2:$B1887,'Data Master'!$C$2:$C1887=A1328)))"),"petani")</f>
        <v>petani</v>
      </c>
      <c r="D1328" s="40" t="str">
        <f>IFERROR(__xludf.DUMMYFUNCTION("TEXTJOIN("", "",TRUE,UNIQUE(FILTER('Data Master'!$D$2:$D1887,'Data Master'!$C$2:$C1887=A1328)))"),"")</f>
        <v/>
      </c>
    </row>
    <row r="1329" hidden="1">
      <c r="C1329" s="40" t="str">
        <f>IFERROR(__xludf.DUMMYFUNCTION("TEXTJOIN("", "",TRUE,UNIQUE(FILTER('Data Master'!$B$2:$B1887,'Data Master'!$C$2:$C1887=A1329)))"),"petani")</f>
        <v>petani</v>
      </c>
      <c r="D1329" s="40" t="str">
        <f>IFERROR(__xludf.DUMMYFUNCTION("TEXTJOIN("", "",TRUE,UNIQUE(FILTER('Data Master'!$D$2:$D1887,'Data Master'!$C$2:$C1887=A1329)))"),"reganyak@gmail.com")</f>
        <v>reganyak@gmail.com</v>
      </c>
    </row>
    <row r="1330" hidden="1">
      <c r="C1330" s="40" t="str">
        <f>IFERROR(__xludf.DUMMYFUNCTION("TEXTJOIN("", "",TRUE,UNIQUE(FILTER('Data Master'!$B$2:$B1887,'Data Master'!$C$2:$C1887=A1330)))"),"petani")</f>
        <v>petani</v>
      </c>
      <c r="D1330" s="40" t="str">
        <f>IFERROR(__xludf.DUMMYFUNCTION("TEXTJOIN("", "",TRUE,UNIQUE(FILTER('Data Master'!$D$2:$D1887,'Data Master'!$C$2:$C1887=A1330)))"),"")</f>
        <v/>
      </c>
    </row>
    <row r="1331" hidden="1">
      <c r="C1331" s="40" t="str">
        <f>IFERROR(__xludf.DUMMYFUNCTION("TEXTJOIN("", "",TRUE,UNIQUE(FILTER('Data Master'!$B$2:$B1887,'Data Master'!$C$2:$C1887=A1331)))"),"petani")</f>
        <v>petani</v>
      </c>
      <c r="D1331" s="40" t="str">
        <f>IFERROR(__xludf.DUMMYFUNCTION("TEXTJOIN("", "",TRUE,UNIQUE(FILTER('Data Master'!$D$2:$D1887,'Data Master'!$C$2:$C1887=A1331)))"),"")</f>
        <v/>
      </c>
    </row>
    <row r="1332" hidden="1">
      <c r="C1332" s="40" t="str">
        <f>IFERROR(__xludf.DUMMYFUNCTION("TEXTJOIN("", "",TRUE,UNIQUE(FILTER('Data Master'!$B$2:$B1887,'Data Master'!$C$2:$C1887=A1332)))"),"petani")</f>
        <v>petani</v>
      </c>
      <c r="D1332" s="40" t="str">
        <f>IFERROR(__xludf.DUMMYFUNCTION("TEXTJOIN("", "",TRUE,UNIQUE(FILTER('Data Master'!$D$2:$D1887,'Data Master'!$C$2:$C1887=A1332)))"),"")</f>
        <v/>
      </c>
    </row>
    <row r="1333" hidden="1">
      <c r="C1333" s="40" t="str">
        <f>IFERROR(__xludf.DUMMYFUNCTION("TEXTJOIN("", "",TRUE,UNIQUE(FILTER('Data Master'!$B$2:$B1887,'Data Master'!$C$2:$C1887=A1333)))"),"petani")</f>
        <v>petani</v>
      </c>
      <c r="D1333" s="40" t="str">
        <f>IFERROR(__xludf.DUMMYFUNCTION("TEXTJOIN("", "",TRUE,UNIQUE(FILTER('Data Master'!$D$2:$D1887,'Data Master'!$C$2:$C1887=A1333)))"),"")</f>
        <v/>
      </c>
    </row>
    <row r="1334" hidden="1">
      <c r="C1334" s="40" t="str">
        <f>IFERROR(__xludf.DUMMYFUNCTION("TEXTJOIN("", "",TRUE,UNIQUE(FILTER('Data Master'!$B$2:$B1887,'Data Master'!$C$2:$C1887=A1334)))"),"petani")</f>
        <v>petani</v>
      </c>
      <c r="D1334" s="40" t="str">
        <f>IFERROR(__xludf.DUMMYFUNCTION("TEXTJOIN("", "",TRUE,UNIQUE(FILTER('Data Master'!$D$2:$D1887,'Data Master'!$C$2:$C1887=A1334)))"),"")</f>
        <v/>
      </c>
    </row>
    <row r="1335" hidden="1">
      <c r="C1335" s="40" t="str">
        <f>IFERROR(__xludf.DUMMYFUNCTION("TEXTJOIN("", "",TRUE,UNIQUE(FILTER('Data Master'!$B$2:$B1887,'Data Master'!$C$2:$C1887=A1335)))"),"petani")</f>
        <v>petani</v>
      </c>
      <c r="D1335" s="40" t="str">
        <f>IFERROR(__xludf.DUMMYFUNCTION("TEXTJOIN("", "",TRUE,UNIQUE(FILTER('Data Master'!$D$2:$D1887,'Data Master'!$C$2:$C1887=A1335)))"),"")</f>
        <v/>
      </c>
    </row>
    <row r="1336" hidden="1">
      <c r="C1336" s="40" t="str">
        <f>IFERROR(__xludf.DUMMYFUNCTION("TEXTJOIN("", "",TRUE,UNIQUE(FILTER('Data Master'!$B$2:$B1887,'Data Master'!$C$2:$C1887=A1336)))"),"penyuluh")</f>
        <v>penyuluh</v>
      </c>
      <c r="D1336" s="40" t="str">
        <f>IFERROR(__xludf.DUMMYFUNCTION("TEXTJOIN("", "",TRUE,UNIQUE(FILTER('Data Master'!$D$2:$D1887,'Data Master'!$C$2:$C1887=A1336)))"),"putriwldr329@gmail.com")</f>
        <v>putriwldr329@gmail.com</v>
      </c>
    </row>
    <row r="1337" hidden="1">
      <c r="C1337" s="40" t="str">
        <f>IFERROR(__xludf.DUMMYFUNCTION("TEXTJOIN("", "",TRUE,UNIQUE(FILTER('Data Master'!$B$2:$B1887,'Data Master'!$C$2:$C1887=A1337)))"),"penyuluh")</f>
        <v>penyuluh</v>
      </c>
      <c r="D1337" s="40" t="str">
        <f>IFERROR(__xludf.DUMMYFUNCTION("TEXTJOIN("", "",TRUE,UNIQUE(FILTER('Data Master'!$D$2:$D1887,'Data Master'!$C$2:$C1887=A1337)))"),"test@gmail.com")</f>
        <v>test@gmail.com</v>
      </c>
    </row>
    <row r="1338" hidden="1">
      <c r="C1338" s="40" t="str">
        <f>IFERROR(__xludf.DUMMYFUNCTION("TEXTJOIN("", "",TRUE,UNIQUE(FILTER('Data Master'!$B$2:$B1887,'Data Master'!$C$2:$C1887=A1338)))"),"petani")</f>
        <v>petani</v>
      </c>
      <c r="D1338" s="40" t="str">
        <f>IFERROR(__xludf.DUMMYFUNCTION("TEXTJOIN("", "",TRUE,UNIQUE(FILTER('Data Master'!$D$2:$D1887,'Data Master'!$C$2:$C1887=A1338)))"),"")</f>
        <v/>
      </c>
    </row>
    <row r="1339" hidden="1">
      <c r="C1339" s="40" t="str">
        <f>IFERROR(__xludf.DUMMYFUNCTION("TEXTJOIN("", "",TRUE,UNIQUE(FILTER('Data Master'!$B$2:$B1887,'Data Master'!$C$2:$C1887=A1339)))"),"petani")</f>
        <v>petani</v>
      </c>
      <c r="D1339" s="40" t="str">
        <f>IFERROR(__xludf.DUMMYFUNCTION("TEXTJOIN("", "",TRUE,UNIQUE(FILTER('Data Master'!$D$2:$D1887,'Data Master'!$C$2:$C1887=A1339)))"),"")</f>
        <v/>
      </c>
    </row>
    <row r="1340" hidden="1">
      <c r="C1340" s="40" t="str">
        <f>IFERROR(__xludf.DUMMYFUNCTION("TEXTJOIN("", "",TRUE,UNIQUE(FILTER('Data Master'!$B$2:$B1887,'Data Master'!$C$2:$C1887=A1340)))"),"petani")</f>
        <v>petani</v>
      </c>
      <c r="D1340" s="40" t="str">
        <f>IFERROR(__xludf.DUMMYFUNCTION("TEXTJOIN("", "",TRUE,UNIQUE(FILTER('Data Master'!$D$2:$D1887,'Data Master'!$C$2:$C1887=A1340)))"),"")</f>
        <v/>
      </c>
    </row>
    <row r="1341" hidden="1">
      <c r="C1341" s="40" t="str">
        <f>IFERROR(__xludf.DUMMYFUNCTION("TEXTJOIN("", "",TRUE,UNIQUE(FILTER('Data Master'!$B$2:$B1887,'Data Master'!$C$2:$C1887=A1341)))"),"petani")</f>
        <v>petani</v>
      </c>
      <c r="D1341" s="40" t="str">
        <f>IFERROR(__xludf.DUMMYFUNCTION("TEXTJOIN("", "",TRUE,UNIQUE(FILTER('Data Master'!$D$2:$D1887,'Data Master'!$C$2:$C1887=A1341)))"),"")</f>
        <v/>
      </c>
    </row>
    <row r="1342" hidden="1">
      <c r="C1342" s="40" t="str">
        <f>IFERROR(__xludf.DUMMYFUNCTION("TEXTJOIN("", "",TRUE,UNIQUE(FILTER('Data Master'!$B$2:$B1887,'Data Master'!$C$2:$C1887=A1342)))"),"petani")</f>
        <v>petani</v>
      </c>
      <c r="D1342" s="40" t="str">
        <f>IFERROR(__xludf.DUMMYFUNCTION("TEXTJOIN("", "",TRUE,UNIQUE(FILTER('Data Master'!$D$2:$D1887,'Data Master'!$C$2:$C1887=A1342)))"),"")</f>
        <v/>
      </c>
    </row>
    <row r="1343" hidden="1">
      <c r="C1343" s="40" t="str">
        <f>IFERROR(__xludf.DUMMYFUNCTION("TEXTJOIN("", "",TRUE,UNIQUE(FILTER('Data Master'!$B$2:$B1887,'Data Master'!$C$2:$C1887=A1343)))"),"petani")</f>
        <v>petani</v>
      </c>
      <c r="D1343" s="40" t="str">
        <f>IFERROR(__xludf.DUMMYFUNCTION("TEXTJOIN("", "",TRUE,UNIQUE(FILTER('Data Master'!$D$2:$D1887,'Data Master'!$C$2:$C1887=A1343)))"),"")</f>
        <v/>
      </c>
    </row>
    <row r="1344" hidden="1">
      <c r="C1344" s="40" t="str">
        <f>IFERROR(__xludf.DUMMYFUNCTION("TEXTJOIN("", "",TRUE,UNIQUE(FILTER('Data Master'!$B$2:$B1887,'Data Master'!$C$2:$C1887=A1344)))"),"petani")</f>
        <v>petani</v>
      </c>
      <c r="D1344" s="40" t="str">
        <f>IFERROR(__xludf.DUMMYFUNCTION("TEXTJOIN("", "",TRUE,UNIQUE(FILTER('Data Master'!$D$2:$D1887,'Data Master'!$C$2:$C1887=A1344)))"),"")</f>
        <v/>
      </c>
    </row>
    <row r="1345" hidden="1">
      <c r="C1345" s="40" t="str">
        <f>IFERROR(__xludf.DUMMYFUNCTION("TEXTJOIN("", "",TRUE,UNIQUE(FILTER('Data Master'!$B$2:$B1887,'Data Master'!$C$2:$C1887=A1345)))"),"petani")</f>
        <v>petani</v>
      </c>
      <c r="D1345" s="40" t="str">
        <f>IFERROR(__xludf.DUMMYFUNCTION("TEXTJOIN("", "",TRUE,UNIQUE(FILTER('Data Master'!$D$2:$D1887,'Data Master'!$C$2:$C1887=A1345)))"),"")</f>
        <v/>
      </c>
    </row>
    <row r="1346" hidden="1">
      <c r="C1346" s="40" t="str">
        <f>IFERROR(__xludf.DUMMYFUNCTION("TEXTJOIN("", "",TRUE,UNIQUE(FILTER('Data Master'!$B$2:$B1887,'Data Master'!$C$2:$C1887=A1346)))"),"penyuluh")</f>
        <v>penyuluh</v>
      </c>
      <c r="D1346" s="40" t="str">
        <f>IFERROR(__xludf.DUMMYFUNCTION("TEXTJOIN("", "",TRUE,UNIQUE(FILTER('Data Master'!$D$2:$D1887,'Data Master'!$C$2:$C1887=A1346)))"),"rizkysb91@gmail.com")</f>
        <v>rizkysb91@gmail.com</v>
      </c>
    </row>
    <row r="1347" hidden="1">
      <c r="C1347" s="40" t="str">
        <f>IFERROR(__xludf.DUMMYFUNCTION("TEXTJOIN("", "",TRUE,UNIQUE(FILTER('Data Master'!$B$2:$B1887,'Data Master'!$C$2:$C1887=A1347)))"),"petani")</f>
        <v>petani</v>
      </c>
      <c r="D1347" s="40" t="str">
        <f>IFERROR(__xludf.DUMMYFUNCTION("TEXTJOIN("", "",TRUE,UNIQUE(FILTER('Data Master'!$D$2:$D1887,'Data Master'!$C$2:$C1887=A1347)))"),"")</f>
        <v/>
      </c>
    </row>
    <row r="1348" hidden="1">
      <c r="C1348" s="40" t="str">
        <f>IFERROR(__xludf.DUMMYFUNCTION("TEXTJOIN("", "",TRUE,UNIQUE(FILTER('Data Master'!$B$2:$B1887,'Data Master'!$C$2:$C1887=A1348)))"),"petani")</f>
        <v>petani</v>
      </c>
      <c r="D1348" s="40" t="str">
        <f>IFERROR(__xludf.DUMMYFUNCTION("TEXTJOIN("", "",TRUE,UNIQUE(FILTER('Data Master'!$D$2:$D1887,'Data Master'!$C$2:$C1887=A1348)))"),"")</f>
        <v/>
      </c>
    </row>
    <row r="1349" hidden="1">
      <c r="C1349" s="40" t="str">
        <f>IFERROR(__xludf.DUMMYFUNCTION("TEXTJOIN("", "",TRUE,UNIQUE(FILTER('Data Master'!$B$2:$B1887,'Data Master'!$C$2:$C1887=A1349)))"),"petani")</f>
        <v>petani</v>
      </c>
      <c r="D1349" s="40" t="str">
        <f>IFERROR(__xludf.DUMMYFUNCTION("TEXTJOIN("", "",TRUE,UNIQUE(FILTER('Data Master'!$D$2:$D1887,'Data Master'!$C$2:$C1887=A1349)))"),"")</f>
        <v/>
      </c>
    </row>
    <row r="1350" hidden="1">
      <c r="C1350" s="40" t="str">
        <f>IFERROR(__xludf.DUMMYFUNCTION("TEXTJOIN("", "",TRUE,UNIQUE(FILTER('Data Master'!$B$2:$B1887,'Data Master'!$C$2:$C1887=A1350)))"),"petani")</f>
        <v>petani</v>
      </c>
      <c r="D1350" s="40" t="str">
        <f>IFERROR(__xludf.DUMMYFUNCTION("TEXTJOIN("", "",TRUE,UNIQUE(FILTER('Data Master'!$D$2:$D1887,'Data Master'!$C$2:$C1887=A1350)))"),"")</f>
        <v/>
      </c>
    </row>
    <row r="1351" hidden="1">
      <c r="C1351" s="40" t="str">
        <f>IFERROR(__xludf.DUMMYFUNCTION("TEXTJOIN("", "",TRUE,UNIQUE(FILTER('Data Master'!$B$2:$B1887,'Data Master'!$C$2:$C1887=A1351)))"),"petani")</f>
        <v>petani</v>
      </c>
      <c r="D1351" s="40" t="str">
        <f>IFERROR(__xludf.DUMMYFUNCTION("TEXTJOIN("", "",TRUE,UNIQUE(FILTER('Data Master'!$D$2:$D1887,'Data Master'!$C$2:$C1887=A1351)))"),"")</f>
        <v/>
      </c>
    </row>
    <row r="1352" hidden="1">
      <c r="C1352" s="40" t="str">
        <f>IFERROR(__xludf.DUMMYFUNCTION("TEXTJOIN("", "",TRUE,UNIQUE(FILTER('Data Master'!$B$2:$B1887,'Data Master'!$C$2:$C1887=A1352)))"),"petani")</f>
        <v>petani</v>
      </c>
      <c r="D1352" s="40" t="str">
        <f>IFERROR(__xludf.DUMMYFUNCTION("TEXTJOIN("", "",TRUE,UNIQUE(FILTER('Data Master'!$D$2:$D1887,'Data Master'!$C$2:$C1887=A1352)))"),"")</f>
        <v/>
      </c>
    </row>
    <row r="1353" hidden="1">
      <c r="C1353" s="40" t="str">
        <f>IFERROR(__xludf.DUMMYFUNCTION("TEXTJOIN("", "",TRUE,UNIQUE(FILTER('Data Master'!$B$2:$B1887,'Data Master'!$C$2:$C1887=A1353)))"),"petani")</f>
        <v>petani</v>
      </c>
      <c r="D1353" s="40" t="str">
        <f>IFERROR(__xludf.DUMMYFUNCTION("TEXTJOIN("", "",TRUE,UNIQUE(FILTER('Data Master'!$D$2:$D1887,'Data Master'!$C$2:$C1887=A1353)))"),"")</f>
        <v/>
      </c>
    </row>
    <row r="1354" hidden="1">
      <c r="C1354" s="40" t="str">
        <f>IFERROR(__xludf.DUMMYFUNCTION("TEXTJOIN("", "",TRUE,UNIQUE(FILTER('Data Master'!$B$2:$B1887,'Data Master'!$C$2:$C1887=A1354)))"),"petani")</f>
        <v>petani</v>
      </c>
      <c r="D1354" s="40" t="str">
        <f>IFERROR(__xludf.DUMMYFUNCTION("TEXTJOIN("", "",TRUE,UNIQUE(FILTER('Data Master'!$D$2:$D1887,'Data Master'!$C$2:$C1887=A1354)))"),"")</f>
        <v/>
      </c>
    </row>
    <row r="1355" hidden="1">
      <c r="C1355" s="40" t="str">
        <f>IFERROR(__xludf.DUMMYFUNCTION("TEXTJOIN("", "",TRUE,UNIQUE(FILTER('Data Master'!$B$2:$B1887,'Data Master'!$C$2:$C1887=A1355)))"),"petani")</f>
        <v>petani</v>
      </c>
      <c r="D1355" s="40" t="str">
        <f>IFERROR(__xludf.DUMMYFUNCTION("TEXTJOIN("", "",TRUE,UNIQUE(FILTER('Data Master'!$D$2:$D1887,'Data Master'!$C$2:$C1887=A1355)))"),"")</f>
        <v/>
      </c>
    </row>
    <row r="1356" hidden="1">
      <c r="C1356" s="40" t="str">
        <f>IFERROR(__xludf.DUMMYFUNCTION("TEXTJOIN("", "",TRUE,UNIQUE(FILTER('Data Master'!$B$2:$B1887,'Data Master'!$C$2:$C1887=A1356)))"),"petani")</f>
        <v>petani</v>
      </c>
      <c r="D1356" s="40" t="str">
        <f>IFERROR(__xludf.DUMMYFUNCTION("TEXTJOIN("", "",TRUE,UNIQUE(FILTER('Data Master'!$D$2:$D1887,'Data Master'!$C$2:$C1887=A1356)))"),"")</f>
        <v/>
      </c>
    </row>
    <row r="1357" hidden="1">
      <c r="C1357" s="40" t="str">
        <f>IFERROR(__xludf.DUMMYFUNCTION("TEXTJOIN("", "",TRUE,UNIQUE(FILTER('Data Master'!$B$2:$B1887,'Data Master'!$C$2:$C1887=A1357)))"),"petani")</f>
        <v>petani</v>
      </c>
      <c r="D1357" s="40" t="str">
        <f>IFERROR(__xludf.DUMMYFUNCTION("TEXTJOIN("", "",TRUE,UNIQUE(FILTER('Data Master'!$D$2:$D1887,'Data Master'!$C$2:$C1887=A1357)))"),"")</f>
        <v/>
      </c>
    </row>
    <row r="1358" hidden="1">
      <c r="C1358" s="40" t="str">
        <f>IFERROR(__xludf.DUMMYFUNCTION("TEXTJOIN("", "",TRUE,UNIQUE(FILTER('Data Master'!$B$2:$B1887,'Data Master'!$C$2:$C1887=A1358)))"),"petani")</f>
        <v>petani</v>
      </c>
      <c r="D1358" s="40" t="str">
        <f>IFERROR(__xludf.DUMMYFUNCTION("TEXTJOIN("", "",TRUE,UNIQUE(FILTER('Data Master'!$D$2:$D1887,'Data Master'!$C$2:$C1887=A1358)))"),"")</f>
        <v/>
      </c>
    </row>
    <row r="1359" hidden="1">
      <c r="C1359" s="40" t="str">
        <f>IFERROR(__xludf.DUMMYFUNCTION("TEXTJOIN("", "",TRUE,UNIQUE(FILTER('Data Master'!$B$2:$B1887,'Data Master'!$C$2:$C1887=A1359)))"),"petani")</f>
        <v>petani</v>
      </c>
      <c r="D1359" s="40" t="str">
        <f>IFERROR(__xludf.DUMMYFUNCTION("TEXTJOIN("", "",TRUE,UNIQUE(FILTER('Data Master'!$D$2:$D1887,'Data Master'!$C$2:$C1887=A1359)))"),"")</f>
        <v/>
      </c>
    </row>
    <row r="1360" hidden="1">
      <c r="C1360" s="40" t="str">
        <f>IFERROR(__xludf.DUMMYFUNCTION("TEXTJOIN("", "",TRUE,UNIQUE(FILTER('Data Master'!$B$2:$B1887,'Data Master'!$C$2:$C1887=A1360)))"),"petani")</f>
        <v>petani</v>
      </c>
      <c r="D1360" s="40" t="str">
        <f>IFERROR(__xludf.DUMMYFUNCTION("TEXTJOIN("", "",TRUE,UNIQUE(FILTER('Data Master'!$D$2:$D1887,'Data Master'!$C$2:$C1887=A1360)))"),"")</f>
        <v/>
      </c>
    </row>
    <row r="1361" hidden="1">
      <c r="C1361" s="40" t="str">
        <f>IFERROR(__xludf.DUMMYFUNCTION("TEXTJOIN("", "",TRUE,UNIQUE(FILTER('Data Master'!$B$2:$B1887,'Data Master'!$C$2:$C1887=A1361)))"),"petani")</f>
        <v>petani</v>
      </c>
      <c r="D1361" s="40" t="str">
        <f>IFERROR(__xludf.DUMMYFUNCTION("TEXTJOIN("", "",TRUE,UNIQUE(FILTER('Data Master'!$D$2:$D1887,'Data Master'!$C$2:$C1887=A1361)))"),"")</f>
        <v/>
      </c>
    </row>
    <row r="1362" hidden="1">
      <c r="C1362" s="40" t="str">
        <f>IFERROR(__xludf.DUMMYFUNCTION("TEXTJOIN("", "",TRUE,UNIQUE(FILTER('Data Master'!$B$2:$B1887,'Data Master'!$C$2:$C1887=A1362)))"),"petani")</f>
        <v>petani</v>
      </c>
      <c r="D1362" s="40" t="str">
        <f>IFERROR(__xludf.DUMMYFUNCTION("TEXTJOIN("", "",TRUE,UNIQUE(FILTER('Data Master'!$D$2:$D1887,'Data Master'!$C$2:$C1887=A1362)))"),"")</f>
        <v/>
      </c>
    </row>
    <row r="1363" hidden="1">
      <c r="C1363" s="40" t="str">
        <f>IFERROR(__xludf.DUMMYFUNCTION("TEXTJOIN("", "",TRUE,UNIQUE(FILTER('Data Master'!$B$2:$B1887,'Data Master'!$C$2:$C1887=A1363)))"),"petani")</f>
        <v>petani</v>
      </c>
      <c r="D1363" s="40" t="str">
        <f>IFERROR(__xludf.DUMMYFUNCTION("TEXTJOIN("", "",TRUE,UNIQUE(FILTER('Data Master'!$D$2:$D1887,'Data Master'!$C$2:$C1887=A1363)))"),"")</f>
        <v/>
      </c>
    </row>
    <row r="1364" hidden="1">
      <c r="C1364" s="40" t="str">
        <f>IFERROR(__xludf.DUMMYFUNCTION("TEXTJOIN("", "",TRUE,UNIQUE(FILTER('Data Master'!$B$2:$B1887,'Data Master'!$C$2:$C1887=A1364)))"),"petani")</f>
        <v>petani</v>
      </c>
      <c r="D1364" s="40" t="str">
        <f>IFERROR(__xludf.DUMMYFUNCTION("TEXTJOIN("", "",TRUE,UNIQUE(FILTER('Data Master'!$D$2:$D1887,'Data Master'!$C$2:$C1887=A1364)))"),"")</f>
        <v/>
      </c>
    </row>
    <row r="1365" hidden="1">
      <c r="C1365" s="40" t="str">
        <f>IFERROR(__xludf.DUMMYFUNCTION("TEXTJOIN("", "",TRUE,UNIQUE(FILTER('Data Master'!$B$2:$B1887,'Data Master'!$C$2:$C1887=A1365)))"),"petani")</f>
        <v>petani</v>
      </c>
      <c r="D1365" s="40" t="str">
        <f>IFERROR(__xludf.DUMMYFUNCTION("TEXTJOIN("", "",TRUE,UNIQUE(FILTER('Data Master'!$D$2:$D1887,'Data Master'!$C$2:$C1887=A1365)))"),"")</f>
        <v/>
      </c>
    </row>
    <row r="1366" hidden="1">
      <c r="C1366" s="40" t="str">
        <f>IFERROR(__xludf.DUMMYFUNCTION("TEXTJOIN("", "",TRUE,UNIQUE(FILTER('Data Master'!$B$2:$B1887,'Data Master'!$C$2:$C1887=A1366)))"),"petani")</f>
        <v>petani</v>
      </c>
      <c r="D1366" s="40" t="str">
        <f>IFERROR(__xludf.DUMMYFUNCTION("TEXTJOIN("", "",TRUE,UNIQUE(FILTER('Data Master'!$D$2:$D1887,'Data Master'!$C$2:$C1887=A1366)))"),"")</f>
        <v/>
      </c>
    </row>
    <row r="1367" hidden="1">
      <c r="C1367" s="40" t="str">
        <f>IFERROR(__xludf.DUMMYFUNCTION("TEXTJOIN("", "",TRUE,UNIQUE(FILTER('Data Master'!$B$2:$B1887,'Data Master'!$C$2:$C1887=A1367)))"),"petani")</f>
        <v>petani</v>
      </c>
      <c r="D1367" s="40" t="str">
        <f>IFERROR(__xludf.DUMMYFUNCTION("TEXTJOIN("", "",TRUE,UNIQUE(FILTER('Data Master'!$D$2:$D1887,'Data Master'!$C$2:$C1887=A1367)))"),"")</f>
        <v/>
      </c>
    </row>
    <row r="1368" hidden="1">
      <c r="C1368" s="40" t="str">
        <f>IFERROR(__xludf.DUMMYFUNCTION("TEXTJOIN("", "",TRUE,UNIQUE(FILTER('Data Master'!$B$2:$B1887,'Data Master'!$C$2:$C1887=A1368)))"),"petani")</f>
        <v>petani</v>
      </c>
      <c r="D1368" s="40" t="str">
        <f>IFERROR(__xludf.DUMMYFUNCTION("TEXTJOIN("", "",TRUE,UNIQUE(FILTER('Data Master'!$D$2:$D1887,'Data Master'!$C$2:$C1887=A1368)))"),"")</f>
        <v/>
      </c>
    </row>
    <row r="1369" hidden="1">
      <c r="C1369" s="40" t="str">
        <f>IFERROR(__xludf.DUMMYFUNCTION("TEXTJOIN("", "",TRUE,UNIQUE(FILTER('Data Master'!$B$2:$B1887,'Data Master'!$C$2:$C1887=A1369)))"),"petani")</f>
        <v>petani</v>
      </c>
      <c r="D1369" s="40" t="str">
        <f>IFERROR(__xludf.DUMMYFUNCTION("TEXTJOIN("", "",TRUE,UNIQUE(FILTER('Data Master'!$D$2:$D1887,'Data Master'!$C$2:$C1887=A1369)))"),"")</f>
        <v/>
      </c>
    </row>
    <row r="1370" hidden="1">
      <c r="C1370" s="40" t="str">
        <f>IFERROR(__xludf.DUMMYFUNCTION("TEXTJOIN("", "",TRUE,UNIQUE(FILTER('Data Master'!$B$2:$B1887,'Data Master'!$C$2:$C1887=A1370)))"),"petani")</f>
        <v>petani</v>
      </c>
      <c r="D1370" s="40" t="str">
        <f>IFERROR(__xludf.DUMMYFUNCTION("TEXTJOIN("", "",TRUE,UNIQUE(FILTER('Data Master'!$D$2:$D1887,'Data Master'!$C$2:$C1887=A1370)))"),"")</f>
        <v/>
      </c>
    </row>
    <row r="1371" hidden="1">
      <c r="C1371" s="40" t="str">
        <f>IFERROR(__xludf.DUMMYFUNCTION("TEXTJOIN("", "",TRUE,UNIQUE(FILTER('Data Master'!$B$2:$B1887,'Data Master'!$C$2:$C1887=A1371)))"),"petani")</f>
        <v>petani</v>
      </c>
      <c r="D1371" s="40" t="str">
        <f>IFERROR(__xludf.DUMMYFUNCTION("TEXTJOIN("", "",TRUE,UNIQUE(FILTER('Data Master'!$D$2:$D1887,'Data Master'!$C$2:$C1887=A1371)))"),"")</f>
        <v/>
      </c>
    </row>
    <row r="1372" hidden="1">
      <c r="C1372" s="40" t="str">
        <f>IFERROR(__xludf.DUMMYFUNCTION("TEXTJOIN("", "",TRUE,UNIQUE(FILTER('Data Master'!$B$2:$B1887,'Data Master'!$C$2:$C1887=A1372)))"),"petani")</f>
        <v>petani</v>
      </c>
      <c r="D1372" s="40" t="str">
        <f>IFERROR(__xludf.DUMMYFUNCTION("TEXTJOIN("", "",TRUE,UNIQUE(FILTER('Data Master'!$D$2:$D1887,'Data Master'!$C$2:$C1887=A1372)))"),"")</f>
        <v/>
      </c>
    </row>
    <row r="1373" hidden="1">
      <c r="C1373" s="40" t="str">
        <f>IFERROR(__xludf.DUMMYFUNCTION("TEXTJOIN("", "",TRUE,UNIQUE(FILTER('Data Master'!$B$2:$B1887,'Data Master'!$C$2:$C1887=A1373)))"),"petani")</f>
        <v>petani</v>
      </c>
      <c r="D1373" s="40" t="str">
        <f>IFERROR(__xludf.DUMMYFUNCTION("TEXTJOIN("", "",TRUE,UNIQUE(FILTER('Data Master'!$D$2:$D1887,'Data Master'!$C$2:$C1887=A1373)))"),"")</f>
        <v/>
      </c>
    </row>
    <row r="1374" hidden="1">
      <c r="C1374" s="40" t="str">
        <f>IFERROR(__xludf.DUMMYFUNCTION("TEXTJOIN("", "",TRUE,UNIQUE(FILTER('Data Master'!$B$2:$B1887,'Data Master'!$C$2:$C1887=A1374)))"),"petani")</f>
        <v>petani</v>
      </c>
      <c r="D1374" s="40" t="str">
        <f>IFERROR(__xludf.DUMMYFUNCTION("TEXTJOIN("", "",TRUE,UNIQUE(FILTER('Data Master'!$D$2:$D1887,'Data Master'!$C$2:$C1887=A1374)))"),"")</f>
        <v/>
      </c>
    </row>
    <row r="1375" hidden="1">
      <c r="C1375" s="40" t="str">
        <f>IFERROR(__xludf.DUMMYFUNCTION("TEXTJOIN("", "",TRUE,UNIQUE(FILTER('Data Master'!$B$2:$B1887,'Data Master'!$C$2:$C1887=A1375)))"),"petani")</f>
        <v>petani</v>
      </c>
      <c r="D1375" s="40" t="str">
        <f>IFERROR(__xludf.DUMMYFUNCTION("TEXTJOIN("", "",TRUE,UNIQUE(FILTER('Data Master'!$D$2:$D1887,'Data Master'!$C$2:$C1887=A1375)))"),"")</f>
        <v/>
      </c>
    </row>
    <row r="1376" hidden="1">
      <c r="C1376" s="40" t="str">
        <f>IFERROR(__xludf.DUMMYFUNCTION("TEXTJOIN("", "",TRUE,UNIQUE(FILTER('Data Master'!$B$2:$B1887,'Data Master'!$C$2:$C1887=A1376)))"),"petani")</f>
        <v>petani</v>
      </c>
      <c r="D1376" s="40" t="str">
        <f>IFERROR(__xludf.DUMMYFUNCTION("TEXTJOIN("", "",TRUE,UNIQUE(FILTER('Data Master'!$D$2:$D1887,'Data Master'!$C$2:$C1887=A1376)))"),"")</f>
        <v/>
      </c>
    </row>
    <row r="1377" hidden="1">
      <c r="C1377" s="40" t="str">
        <f>IFERROR(__xludf.DUMMYFUNCTION("TEXTJOIN("", "",TRUE,UNIQUE(FILTER('Data Master'!$B$2:$B1887,'Data Master'!$C$2:$C1887=A1377)))"),"petani")</f>
        <v>petani</v>
      </c>
      <c r="D1377" s="40" t="str">
        <f>IFERROR(__xludf.DUMMYFUNCTION("TEXTJOIN("", "",TRUE,UNIQUE(FILTER('Data Master'!$D$2:$D1887,'Data Master'!$C$2:$C1887=A1377)))"),"")</f>
        <v/>
      </c>
    </row>
    <row r="1378" hidden="1">
      <c r="C1378" s="40" t="str">
        <f>IFERROR(__xludf.DUMMYFUNCTION("TEXTJOIN("", "",TRUE,UNIQUE(FILTER('Data Master'!$B$2:$B1887,'Data Master'!$C$2:$C1887=A1378)))"),"petani")</f>
        <v>petani</v>
      </c>
      <c r="D1378" s="40" t="str">
        <f>IFERROR(__xludf.DUMMYFUNCTION("TEXTJOIN("", "",TRUE,UNIQUE(FILTER('Data Master'!$D$2:$D1887,'Data Master'!$C$2:$C1887=A1378)))"),"")</f>
        <v/>
      </c>
    </row>
    <row r="1379" hidden="1">
      <c r="C1379" s="40" t="str">
        <f>IFERROR(__xludf.DUMMYFUNCTION("TEXTJOIN("", "",TRUE,UNIQUE(FILTER('Data Master'!$B$2:$B1887,'Data Master'!$C$2:$C1887=A1379)))"),"petani")</f>
        <v>petani</v>
      </c>
      <c r="D1379" s="40" t="str">
        <f>IFERROR(__xludf.DUMMYFUNCTION("TEXTJOIN("", "",TRUE,UNIQUE(FILTER('Data Master'!$D$2:$D1887,'Data Master'!$C$2:$C1887=A1379)))"),"")</f>
        <v/>
      </c>
    </row>
    <row r="1380" hidden="1">
      <c r="C1380" s="40" t="str">
        <f>IFERROR(__xludf.DUMMYFUNCTION("TEXTJOIN("", "",TRUE,UNIQUE(FILTER('Data Master'!$B$2:$B1887,'Data Master'!$C$2:$C1887=A1380)))"),"petani")</f>
        <v>petani</v>
      </c>
      <c r="D1380" s="40" t="str">
        <f>IFERROR(__xludf.DUMMYFUNCTION("TEXTJOIN("", "",TRUE,UNIQUE(FILTER('Data Master'!$D$2:$D1887,'Data Master'!$C$2:$C1887=A1380)))"),"")</f>
        <v/>
      </c>
    </row>
    <row r="1381" hidden="1">
      <c r="C1381" s="40" t="str">
        <f>IFERROR(__xludf.DUMMYFUNCTION("TEXTJOIN("", "",TRUE,UNIQUE(FILTER('Data Master'!$B$2:$B1887,'Data Master'!$C$2:$C1887=A1381)))"),"penyuluh")</f>
        <v>penyuluh</v>
      </c>
      <c r="D1381" s="40" t="str">
        <f>IFERROR(__xludf.DUMMYFUNCTION("TEXTJOIN("", "",TRUE,UNIQUE(FILTER('Data Master'!$D$2:$D1887,'Data Master'!$C$2:$C1887=A1381)))"),"ryosantoso15@gmail.com")</f>
        <v>ryosantoso15@gmail.com</v>
      </c>
    </row>
    <row r="1382" hidden="1">
      <c r="C1382" s="40" t="str">
        <f>IFERROR(__xludf.DUMMYFUNCTION("TEXTJOIN("", "",TRUE,UNIQUE(FILTER('Data Master'!$B$2:$B1887,'Data Master'!$C$2:$C1887=A1382)))"),"petani")</f>
        <v>petani</v>
      </c>
      <c r="D1382" s="40" t="str">
        <f>IFERROR(__xludf.DUMMYFUNCTION("TEXTJOIN("", "",TRUE,UNIQUE(FILTER('Data Master'!$D$2:$D1887,'Data Master'!$C$2:$C1887=A1382)))"),"")</f>
        <v/>
      </c>
    </row>
    <row r="1383" hidden="1">
      <c r="C1383" s="40" t="str">
        <f>IFERROR(__xludf.DUMMYFUNCTION("TEXTJOIN("", "",TRUE,UNIQUE(FILTER('Data Master'!$B$2:$B1887,'Data Master'!$C$2:$C1887=A1383)))"),"petani")</f>
        <v>petani</v>
      </c>
      <c r="D1383" s="40" t="str">
        <f>IFERROR(__xludf.DUMMYFUNCTION("TEXTJOIN("", "",TRUE,UNIQUE(FILTER('Data Master'!$D$2:$D1887,'Data Master'!$C$2:$C1887=A1383)))"),"")</f>
        <v/>
      </c>
    </row>
    <row r="1384" hidden="1">
      <c r="C1384" s="40" t="str">
        <f>IFERROR(__xludf.DUMMYFUNCTION("TEXTJOIN("", "",TRUE,UNIQUE(FILTER('Data Master'!$B$2:$B1887,'Data Master'!$C$2:$C1887=A1384)))"),"petani")</f>
        <v>petani</v>
      </c>
      <c r="D1384" s="40" t="str">
        <f>IFERROR(__xludf.DUMMYFUNCTION("TEXTJOIN("", "",TRUE,UNIQUE(FILTER('Data Master'!$D$2:$D1887,'Data Master'!$C$2:$C1887=A1384)))"),"")</f>
        <v/>
      </c>
    </row>
    <row r="1385" hidden="1">
      <c r="C1385" s="40" t="str">
        <f>IFERROR(__xludf.DUMMYFUNCTION("TEXTJOIN("", "",TRUE,UNIQUE(FILTER('Data Master'!$B$2:$B1887,'Data Master'!$C$2:$C1887=A1385)))"),"petani")</f>
        <v>petani</v>
      </c>
      <c r="D1385" s="40" t="str">
        <f>IFERROR(__xludf.DUMMYFUNCTION("TEXTJOIN("", "",TRUE,UNIQUE(FILTER('Data Master'!$D$2:$D1887,'Data Master'!$C$2:$C1887=A1385)))"),"")</f>
        <v/>
      </c>
    </row>
    <row r="1386" hidden="1">
      <c r="C1386" s="40" t="str">
        <f>IFERROR(__xludf.DUMMYFUNCTION("TEXTJOIN("", "",TRUE,UNIQUE(FILTER('Data Master'!$B$2:$B1887,'Data Master'!$C$2:$C1887=A1386)))"),"petani")</f>
        <v>petani</v>
      </c>
      <c r="D1386" s="40" t="str">
        <f>IFERROR(__xludf.DUMMYFUNCTION("TEXTJOIN("", "",TRUE,UNIQUE(FILTER('Data Master'!$D$2:$D1887,'Data Master'!$C$2:$C1887=A1386)))"),"")</f>
        <v/>
      </c>
    </row>
    <row r="1387" hidden="1">
      <c r="C1387" s="40" t="str">
        <f>IFERROR(__xludf.DUMMYFUNCTION("TEXTJOIN("", "",TRUE,UNIQUE(FILTER('Data Master'!$B$2:$B1887,'Data Master'!$C$2:$C1887=A1387)))"),"petani")</f>
        <v>petani</v>
      </c>
      <c r="D1387" s="40" t="str">
        <f>IFERROR(__xludf.DUMMYFUNCTION("TEXTJOIN("", "",TRUE,UNIQUE(FILTER('Data Master'!$D$2:$D1887,'Data Master'!$C$2:$C1887=A1387)))"),"")</f>
        <v/>
      </c>
    </row>
    <row r="1388" hidden="1">
      <c r="C1388" s="40" t="str">
        <f>IFERROR(__xludf.DUMMYFUNCTION("TEXTJOIN("", "",TRUE,UNIQUE(FILTER('Data Master'!$B$2:$B1887,'Data Master'!$C$2:$C1887=A1388)))"),"petani")</f>
        <v>petani</v>
      </c>
      <c r="D1388" s="40" t="str">
        <f>IFERROR(__xludf.DUMMYFUNCTION("TEXTJOIN("", "",TRUE,UNIQUE(FILTER('Data Master'!$D$2:$D1887,'Data Master'!$C$2:$C1887=A1388)))"),"")</f>
        <v/>
      </c>
    </row>
    <row r="1389" hidden="1">
      <c r="C1389" s="40" t="str">
        <f>IFERROR(__xludf.DUMMYFUNCTION("TEXTJOIN("", "",TRUE,UNIQUE(FILTER('Data Master'!$B$2:$B1887,'Data Master'!$C$2:$C1887=A1389)))"),"petani")</f>
        <v>petani</v>
      </c>
      <c r="D1389" s="40" t="str">
        <f>IFERROR(__xludf.DUMMYFUNCTION("TEXTJOIN("", "",TRUE,UNIQUE(FILTER('Data Master'!$D$2:$D1887,'Data Master'!$C$2:$C1887=A1389)))"),"")</f>
        <v/>
      </c>
    </row>
    <row r="1390" hidden="1">
      <c r="C1390" s="40" t="str">
        <f>IFERROR(__xludf.DUMMYFUNCTION("TEXTJOIN("", "",TRUE,UNIQUE(FILTER('Data Master'!$B$2:$B1887,'Data Master'!$C$2:$C1887=A1390)))"),"petani")</f>
        <v>petani</v>
      </c>
      <c r="D1390" s="40" t="str">
        <f>IFERROR(__xludf.DUMMYFUNCTION("TEXTJOIN("", "",TRUE,UNIQUE(FILTER('Data Master'!$D$2:$D1887,'Data Master'!$C$2:$C1887=A1390)))"),"")</f>
        <v/>
      </c>
    </row>
    <row r="1391" hidden="1">
      <c r="C1391" s="40" t="str">
        <f>IFERROR(__xludf.DUMMYFUNCTION("TEXTJOIN("", "",TRUE,UNIQUE(FILTER('Data Master'!$B$2:$B1887,'Data Master'!$C$2:$C1887=A1391)))"),"petani")</f>
        <v>petani</v>
      </c>
      <c r="D1391" s="40" t="str">
        <f>IFERROR(__xludf.DUMMYFUNCTION("TEXTJOIN("", "",TRUE,UNIQUE(FILTER('Data Master'!$D$2:$D1887,'Data Master'!$C$2:$C1887=A1391)))"),"")</f>
        <v/>
      </c>
    </row>
    <row r="1392" hidden="1">
      <c r="C1392" s="40" t="str">
        <f>IFERROR(__xludf.DUMMYFUNCTION("TEXTJOIN("", "",TRUE,UNIQUE(FILTER('Data Master'!$B$2:$B1887,'Data Master'!$C$2:$C1887=A1392)))"),"petani")</f>
        <v>petani</v>
      </c>
      <c r="D1392" s="40" t="str">
        <f>IFERROR(__xludf.DUMMYFUNCTION("TEXTJOIN("", "",TRUE,UNIQUE(FILTER('Data Master'!$D$2:$D1887,'Data Master'!$C$2:$C1887=A1392)))"),"")</f>
        <v/>
      </c>
    </row>
    <row r="1393" hidden="1">
      <c r="C1393" s="40" t="str">
        <f>IFERROR(__xludf.DUMMYFUNCTION("TEXTJOIN("", "",TRUE,UNIQUE(FILTER('Data Master'!$B$2:$B1887,'Data Master'!$C$2:$C1887=A1393)))"),"petani")</f>
        <v>petani</v>
      </c>
      <c r="D1393" s="40" t="str">
        <f>IFERROR(__xludf.DUMMYFUNCTION("TEXTJOIN("", "",TRUE,UNIQUE(FILTER('Data Master'!$D$2:$D1887,'Data Master'!$C$2:$C1887=A1393)))"),"")</f>
        <v/>
      </c>
    </row>
    <row r="1394" hidden="1">
      <c r="C1394" s="40" t="str">
        <f>IFERROR(__xludf.DUMMYFUNCTION("TEXTJOIN("", "",TRUE,UNIQUE(FILTER('Data Master'!$B$2:$B1887,'Data Master'!$C$2:$C1887=A1394)))"),"petani")</f>
        <v>petani</v>
      </c>
      <c r="D1394" s="40" t="str">
        <f>IFERROR(__xludf.DUMMYFUNCTION("TEXTJOIN("", "",TRUE,UNIQUE(FILTER('Data Master'!$D$2:$D1887,'Data Master'!$C$2:$C1887=A1394)))"),"")</f>
        <v/>
      </c>
    </row>
    <row r="1395" hidden="1">
      <c r="C1395" s="40" t="str">
        <f>IFERROR(__xludf.DUMMYFUNCTION("TEXTJOIN("", "",TRUE,UNIQUE(FILTER('Data Master'!$B$2:$B1887,'Data Master'!$C$2:$C1887=A1395)))"),"petani")</f>
        <v>petani</v>
      </c>
      <c r="D1395" s="40" t="str">
        <f>IFERROR(__xludf.DUMMYFUNCTION("TEXTJOIN("", "",TRUE,UNIQUE(FILTER('Data Master'!$D$2:$D1887,'Data Master'!$C$2:$C1887=A1395)))"),"")</f>
        <v/>
      </c>
    </row>
    <row r="1396" hidden="1">
      <c r="C1396" s="40" t="str">
        <f>IFERROR(__xludf.DUMMYFUNCTION("TEXTJOIN("", "",TRUE,UNIQUE(FILTER('Data Master'!$B$2:$B1887,'Data Master'!$C$2:$C1887=A1396)))"),"petani")</f>
        <v>petani</v>
      </c>
      <c r="D1396" s="40" t="str">
        <f>IFERROR(__xludf.DUMMYFUNCTION("TEXTJOIN("", "",TRUE,UNIQUE(FILTER('Data Master'!$D$2:$D1887,'Data Master'!$C$2:$C1887=A1396)))"),"saifudin@gmail.com")</f>
        <v>saifudin@gmail.com</v>
      </c>
    </row>
    <row r="1397" hidden="1">
      <c r="C1397" s="40" t="str">
        <f>IFERROR(__xludf.DUMMYFUNCTION("TEXTJOIN("", "",TRUE,UNIQUE(FILTER('Data Master'!$B$2:$B1887,'Data Master'!$C$2:$C1887=A1397)))"),"petani")</f>
        <v>petani</v>
      </c>
      <c r="D1397" s="40" t="str">
        <f>IFERROR(__xludf.DUMMYFUNCTION("TEXTJOIN("", "",TRUE,UNIQUE(FILTER('Data Master'!$D$2:$D1887,'Data Master'!$C$2:$C1887=A1397)))"),"")</f>
        <v/>
      </c>
    </row>
    <row r="1398" hidden="1">
      <c r="C1398" s="40" t="str">
        <f>IFERROR(__xludf.DUMMYFUNCTION("TEXTJOIN("", "",TRUE,UNIQUE(FILTER('Data Master'!$B$2:$B1887,'Data Master'!$C$2:$C1887=A1398)))"),"petani")</f>
        <v>petani</v>
      </c>
      <c r="D1398" s="40" t="str">
        <f>IFERROR(__xludf.DUMMYFUNCTION("TEXTJOIN("", "",TRUE,UNIQUE(FILTER('Data Master'!$D$2:$D1887,'Data Master'!$C$2:$C1887=A1398)))"),"")</f>
        <v/>
      </c>
    </row>
    <row r="1399" hidden="1">
      <c r="C1399" s="40" t="str">
        <f>IFERROR(__xludf.DUMMYFUNCTION("TEXTJOIN("", "",TRUE,UNIQUE(FILTER('Data Master'!$B$2:$B1887,'Data Master'!$C$2:$C1887=A1399)))"),"petani")</f>
        <v>petani</v>
      </c>
      <c r="D1399" s="40" t="str">
        <f>IFERROR(__xludf.DUMMYFUNCTION("TEXTJOIN("", "",TRUE,UNIQUE(FILTER('Data Master'!$D$2:$D1887,'Data Master'!$C$2:$C1887=A1399)))"),"")</f>
        <v/>
      </c>
    </row>
    <row r="1400" hidden="1">
      <c r="C1400" s="40" t="str">
        <f>IFERROR(__xludf.DUMMYFUNCTION("TEXTJOIN("", "",TRUE,UNIQUE(FILTER('Data Master'!$B$2:$B1887,'Data Master'!$C$2:$C1887=A1400)))"),"petani")</f>
        <v>petani</v>
      </c>
      <c r="D1400" s="40" t="str">
        <f>IFERROR(__xludf.DUMMYFUNCTION("TEXTJOIN("", "",TRUE,UNIQUE(FILTER('Data Master'!$D$2:$D1887,'Data Master'!$C$2:$C1887=A1400)))"),"")</f>
        <v/>
      </c>
    </row>
    <row r="1401" hidden="1">
      <c r="C1401" s="40" t="str">
        <f>IFERROR(__xludf.DUMMYFUNCTION("TEXTJOIN("", "",TRUE,UNIQUE(FILTER('Data Master'!$B$2:$B1887,'Data Master'!$C$2:$C1887=A1401)))"),"petani")</f>
        <v>petani</v>
      </c>
      <c r="D1401" s="40" t="str">
        <f>IFERROR(__xludf.DUMMYFUNCTION("TEXTJOIN("", "",TRUE,UNIQUE(FILTER('Data Master'!$D$2:$D1887,'Data Master'!$C$2:$C1887=A1401)))"),"")</f>
        <v/>
      </c>
    </row>
    <row r="1402" hidden="1">
      <c r="C1402" s="40" t="str">
        <f>IFERROR(__xludf.DUMMYFUNCTION("TEXTJOIN("", "",TRUE,UNIQUE(FILTER('Data Master'!$B$2:$B1887,'Data Master'!$C$2:$C1887=A1402)))"),"petani")</f>
        <v>petani</v>
      </c>
      <c r="D1402" s="40" t="str">
        <f>IFERROR(__xludf.DUMMYFUNCTION("TEXTJOIN("", "",TRUE,UNIQUE(FILTER('Data Master'!$D$2:$D1887,'Data Master'!$C$2:$C1887=A1402)))"),"")</f>
        <v/>
      </c>
    </row>
    <row r="1403" hidden="1">
      <c r="C1403" s="40" t="str">
        <f>IFERROR(__xludf.DUMMYFUNCTION("TEXTJOIN("", "",TRUE,UNIQUE(FILTER('Data Master'!$B$2:$B1887,'Data Master'!$C$2:$C1887=A1403)))"),"petani")</f>
        <v>petani</v>
      </c>
      <c r="D1403" s="40" t="str">
        <f>IFERROR(__xludf.DUMMYFUNCTION("TEXTJOIN("", "",TRUE,UNIQUE(FILTER('Data Master'!$D$2:$D1887,'Data Master'!$C$2:$C1887=A1403)))"),"")</f>
        <v/>
      </c>
    </row>
    <row r="1404" hidden="1">
      <c r="C1404" s="40" t="str">
        <f>IFERROR(__xludf.DUMMYFUNCTION("TEXTJOIN("", "",TRUE,UNIQUE(FILTER('Data Master'!$B$2:$B1887,'Data Master'!$C$2:$C1887=A1404)))"),"petani")</f>
        <v>petani</v>
      </c>
      <c r="D1404" s="40" t="str">
        <f>IFERROR(__xludf.DUMMYFUNCTION("TEXTJOIN("", "",TRUE,UNIQUE(FILTER('Data Master'!$D$2:$D1887,'Data Master'!$C$2:$C1887=A1404)))"),"")</f>
        <v/>
      </c>
    </row>
    <row r="1405" hidden="1">
      <c r="C1405" s="40" t="str">
        <f>IFERROR(__xludf.DUMMYFUNCTION("TEXTJOIN("", "",TRUE,UNIQUE(FILTER('Data Master'!$B$2:$B1887,'Data Master'!$C$2:$C1887=A1405)))"),"petani")</f>
        <v>petani</v>
      </c>
      <c r="D1405" s="40" t="str">
        <f>IFERROR(__xludf.DUMMYFUNCTION("TEXTJOIN("", "",TRUE,UNIQUE(FILTER('Data Master'!$D$2:$D1887,'Data Master'!$C$2:$C1887=A1405)))"),"")</f>
        <v/>
      </c>
    </row>
    <row r="1406" hidden="1">
      <c r="C1406" s="40" t="str">
        <f>IFERROR(__xludf.DUMMYFUNCTION("TEXTJOIN("", "",TRUE,UNIQUE(FILTER('Data Master'!$B$2:$B1887,'Data Master'!$C$2:$C1887=A1406)))"),"petani")</f>
        <v>petani</v>
      </c>
      <c r="D1406" s="40" t="str">
        <f>IFERROR(__xludf.DUMMYFUNCTION("TEXTJOIN("", "",TRUE,UNIQUE(FILTER('Data Master'!$D$2:$D1887,'Data Master'!$C$2:$C1887=A1406)))"),"")</f>
        <v/>
      </c>
    </row>
    <row r="1407" hidden="1">
      <c r="C1407" s="40" t="str">
        <f>IFERROR(__xludf.DUMMYFUNCTION("TEXTJOIN("", "",TRUE,UNIQUE(FILTER('Data Master'!$B$2:$B1887,'Data Master'!$C$2:$C1887=A1407)))"),"petani")</f>
        <v>petani</v>
      </c>
      <c r="D1407" s="40" t="str">
        <f>IFERROR(__xludf.DUMMYFUNCTION("TEXTJOIN("", "",TRUE,UNIQUE(FILTER('Data Master'!$D$2:$D1887,'Data Master'!$C$2:$C1887=A1407)))"),"")</f>
        <v/>
      </c>
    </row>
    <row r="1408" hidden="1">
      <c r="C1408" s="40" t="str">
        <f>IFERROR(__xludf.DUMMYFUNCTION("TEXTJOIN("", "",TRUE,UNIQUE(FILTER('Data Master'!$B$2:$B1887,'Data Master'!$C$2:$C1887=A1408)))"),"petani")</f>
        <v>petani</v>
      </c>
      <c r="D1408" s="40" t="str">
        <f>IFERROR(__xludf.DUMMYFUNCTION("TEXTJOIN("", "",TRUE,UNIQUE(FILTER('Data Master'!$D$2:$D1887,'Data Master'!$C$2:$C1887=A1408)))"),"")</f>
        <v/>
      </c>
    </row>
    <row r="1409" hidden="1">
      <c r="C1409" s="40" t="str">
        <f>IFERROR(__xludf.DUMMYFUNCTION("TEXTJOIN("", "",TRUE,UNIQUE(FILTER('Data Master'!$B$2:$B1887,'Data Master'!$C$2:$C1887=A1409)))"),"petani")</f>
        <v>petani</v>
      </c>
      <c r="D1409" s="40" t="str">
        <f>IFERROR(__xludf.DUMMYFUNCTION("TEXTJOIN("", "",TRUE,UNIQUE(FILTER('Data Master'!$D$2:$D1887,'Data Master'!$C$2:$C1887=A1409)))"),"")</f>
        <v/>
      </c>
    </row>
    <row r="1410" hidden="1">
      <c r="C1410" s="40" t="str">
        <f>IFERROR(__xludf.DUMMYFUNCTION("TEXTJOIN("", "",TRUE,UNIQUE(FILTER('Data Master'!$B$2:$B1887,'Data Master'!$C$2:$C1887=A1410)))"),"petani")</f>
        <v>petani</v>
      </c>
      <c r="D1410" s="40" t="str">
        <f>IFERROR(__xludf.DUMMYFUNCTION("TEXTJOIN("", "",TRUE,UNIQUE(FILTER('Data Master'!$D$2:$D1887,'Data Master'!$C$2:$C1887=A1410)))"),"")</f>
        <v/>
      </c>
    </row>
    <row r="1411" hidden="1">
      <c r="C1411" s="40" t="str">
        <f>IFERROR(__xludf.DUMMYFUNCTION("TEXTJOIN("", "",TRUE,UNIQUE(FILTER('Data Master'!$B$2:$B1887,'Data Master'!$C$2:$C1887=A1411)))"),"petani")</f>
        <v>petani</v>
      </c>
      <c r="D1411" s="40" t="str">
        <f>IFERROR(__xludf.DUMMYFUNCTION("TEXTJOIN("", "",TRUE,UNIQUE(FILTER('Data Master'!$D$2:$D1887,'Data Master'!$C$2:$C1887=A1411)))"),"")</f>
        <v/>
      </c>
    </row>
    <row r="1412" hidden="1">
      <c r="C1412" s="40" t="str">
        <f>IFERROR(__xludf.DUMMYFUNCTION("TEXTJOIN("", "",TRUE,UNIQUE(FILTER('Data Master'!$B$2:$B1887,'Data Master'!$C$2:$C1887=A1412)))"),"petani")</f>
        <v>petani</v>
      </c>
      <c r="D1412" s="40" t="str">
        <f>IFERROR(__xludf.DUMMYFUNCTION("TEXTJOIN("", "",TRUE,UNIQUE(FILTER('Data Master'!$D$2:$D1887,'Data Master'!$C$2:$C1887=A1412)))"),"")</f>
        <v/>
      </c>
    </row>
    <row r="1413" hidden="1">
      <c r="C1413" s="40" t="str">
        <f>IFERROR(__xludf.DUMMYFUNCTION("TEXTJOIN("", "",TRUE,UNIQUE(FILTER('Data Master'!$B$2:$B1887,'Data Master'!$C$2:$C1887=A1413)))"),"petani")</f>
        <v>petani</v>
      </c>
      <c r="D1413" s="40" t="str">
        <f>IFERROR(__xludf.DUMMYFUNCTION("TEXTJOIN("", "",TRUE,UNIQUE(FILTER('Data Master'!$D$2:$D1887,'Data Master'!$C$2:$C1887=A1413)))"),"")</f>
        <v/>
      </c>
    </row>
    <row r="1414" hidden="1">
      <c r="C1414" s="40" t="str">
        <f>IFERROR(__xludf.DUMMYFUNCTION("TEXTJOIN("", "",TRUE,UNIQUE(FILTER('Data Master'!$B$2:$B1887,'Data Master'!$C$2:$C1887=A1414)))"),"petani")</f>
        <v>petani</v>
      </c>
      <c r="D1414" s="40" t="str">
        <f>IFERROR(__xludf.DUMMYFUNCTION("TEXTJOIN("", "",TRUE,UNIQUE(FILTER('Data Master'!$D$2:$D1887,'Data Master'!$C$2:$C1887=A1414)))"),"")</f>
        <v/>
      </c>
    </row>
    <row r="1415" hidden="1">
      <c r="C1415" s="40" t="str">
        <f>IFERROR(__xludf.DUMMYFUNCTION("TEXTJOIN("", "",TRUE,UNIQUE(FILTER('Data Master'!$B$2:$B1887,'Data Master'!$C$2:$C1887=A1415)))"),"petani")</f>
        <v>petani</v>
      </c>
      <c r="D1415" s="40" t="str">
        <f>IFERROR(__xludf.DUMMYFUNCTION("TEXTJOIN("", "",TRUE,UNIQUE(FILTER('Data Master'!$D$2:$D1887,'Data Master'!$C$2:$C1887=A1415)))"),"")</f>
        <v/>
      </c>
    </row>
    <row r="1416" hidden="1">
      <c r="C1416" s="40" t="str">
        <f>IFERROR(__xludf.DUMMYFUNCTION("TEXTJOIN("", "",TRUE,UNIQUE(FILTER('Data Master'!$B$2:$B1887,'Data Master'!$C$2:$C1887=A1416)))"),"petani")</f>
        <v>petani</v>
      </c>
      <c r="D1416" s="40" t="str">
        <f>IFERROR(__xludf.DUMMYFUNCTION("TEXTJOIN("", "",TRUE,UNIQUE(FILTER('Data Master'!$D$2:$D1887,'Data Master'!$C$2:$C1887=A1416)))"),"herry.ngawi@gmail.com")</f>
        <v>herry.ngawi@gmail.com</v>
      </c>
    </row>
    <row r="1417" hidden="1">
      <c r="C1417" s="40" t="str">
        <f>IFERROR(__xludf.DUMMYFUNCTION("TEXTJOIN("", "",TRUE,UNIQUE(FILTER('Data Master'!$B$2:$B1887,'Data Master'!$C$2:$C1887=A1417)))"),"petani")</f>
        <v>petani</v>
      </c>
      <c r="D1417" s="40" t="str">
        <f>IFERROR(__xludf.DUMMYFUNCTION("TEXTJOIN("", "",TRUE,UNIQUE(FILTER('Data Master'!$D$2:$D1887,'Data Master'!$C$2:$C1887=A1417)))"),"")</f>
        <v/>
      </c>
    </row>
    <row r="1418" hidden="1">
      <c r="C1418" s="40" t="str">
        <f>IFERROR(__xludf.DUMMYFUNCTION("TEXTJOIN("", "",TRUE,UNIQUE(FILTER('Data Master'!$B$2:$B1887,'Data Master'!$C$2:$C1887=A1418)))"),"petani")</f>
        <v>petani</v>
      </c>
      <c r="D1418" s="40" t="str">
        <f>IFERROR(__xludf.DUMMYFUNCTION("TEXTJOIN("", "",TRUE,UNIQUE(FILTER('Data Master'!$D$2:$D1887,'Data Master'!$C$2:$C1887=A1418)))"),"")</f>
        <v/>
      </c>
    </row>
    <row r="1419" hidden="1">
      <c r="C1419" s="40" t="str">
        <f>IFERROR(__xludf.DUMMYFUNCTION("TEXTJOIN("", "",TRUE,UNIQUE(FILTER('Data Master'!$B$2:$B1887,'Data Master'!$C$2:$C1887=A1419)))"),"petani")</f>
        <v>petani</v>
      </c>
      <c r="D1419" s="40" t="str">
        <f>IFERROR(__xludf.DUMMYFUNCTION("TEXTJOIN("", "",TRUE,UNIQUE(FILTER('Data Master'!$D$2:$D1887,'Data Master'!$C$2:$C1887=A1419)))"),"")</f>
        <v/>
      </c>
    </row>
    <row r="1420" hidden="1">
      <c r="C1420" s="40" t="str">
        <f>IFERROR(__xludf.DUMMYFUNCTION("TEXTJOIN("", "",TRUE,UNIQUE(FILTER('Data Master'!$B$2:$B1887,'Data Master'!$C$2:$C1887=A1420)))"),"petani")</f>
        <v>petani</v>
      </c>
      <c r="D1420" s="40" t="str">
        <f>IFERROR(__xludf.DUMMYFUNCTION("TEXTJOIN("", "",TRUE,UNIQUE(FILTER('Data Master'!$D$2:$D1887,'Data Master'!$C$2:$C1887=A1420)))"),"")</f>
        <v/>
      </c>
    </row>
    <row r="1421" hidden="1">
      <c r="C1421" s="40" t="str">
        <f>IFERROR(__xludf.DUMMYFUNCTION("TEXTJOIN("", "",TRUE,UNIQUE(FILTER('Data Master'!$B$2:$B1887,'Data Master'!$C$2:$C1887=A1421)))"),"petani")</f>
        <v>petani</v>
      </c>
      <c r="D1421" s="40" t="str">
        <f>IFERROR(__xludf.DUMMYFUNCTION("TEXTJOIN("", "",TRUE,UNIQUE(FILTER('Data Master'!$D$2:$D1887,'Data Master'!$C$2:$C1887=A1421)))"),"")</f>
        <v/>
      </c>
    </row>
    <row r="1422" hidden="1">
      <c r="C1422" s="40" t="str">
        <f>IFERROR(__xludf.DUMMYFUNCTION("TEXTJOIN("", "",TRUE,UNIQUE(FILTER('Data Master'!$B$2:$B1887,'Data Master'!$C$2:$C1887=A1422)))"),"petani")</f>
        <v>petani</v>
      </c>
      <c r="D1422" s="40" t="str">
        <f>IFERROR(__xludf.DUMMYFUNCTION("TEXTJOIN("", "",TRUE,UNIQUE(FILTER('Data Master'!$D$2:$D1887,'Data Master'!$C$2:$C1887=A1422)))"),"")</f>
        <v/>
      </c>
    </row>
    <row r="1423" hidden="1">
      <c r="C1423" s="40" t="str">
        <f>IFERROR(__xludf.DUMMYFUNCTION("TEXTJOIN("", "",TRUE,UNIQUE(FILTER('Data Master'!$B$2:$B1887,'Data Master'!$C$2:$C1887=A1423)))"),"petani")</f>
        <v>petani</v>
      </c>
      <c r="D1423" s="40" t="str">
        <f>IFERROR(__xludf.DUMMYFUNCTION("TEXTJOIN("", "",TRUE,UNIQUE(FILTER('Data Master'!$D$2:$D1887,'Data Master'!$C$2:$C1887=A1423)))"),"")</f>
        <v/>
      </c>
    </row>
    <row r="1424" hidden="1">
      <c r="C1424" s="40" t="str">
        <f>IFERROR(__xludf.DUMMYFUNCTION("TEXTJOIN("", "",TRUE,UNIQUE(FILTER('Data Master'!$B$2:$B1887,'Data Master'!$C$2:$C1887=A1424)))"),"petani")</f>
        <v>petani</v>
      </c>
      <c r="D1424" s="40" t="str">
        <f>IFERROR(__xludf.DUMMYFUNCTION("TEXTJOIN("", "",TRUE,UNIQUE(FILTER('Data Master'!$D$2:$D1887,'Data Master'!$C$2:$C1887=A1424)))"),"")</f>
        <v/>
      </c>
    </row>
    <row r="1425" hidden="1">
      <c r="C1425" s="40" t="str">
        <f>IFERROR(__xludf.DUMMYFUNCTION("TEXTJOIN("", "",TRUE,UNIQUE(FILTER('Data Master'!$B$2:$B1887,'Data Master'!$C$2:$C1887=A1425)))"),"petani")</f>
        <v>petani</v>
      </c>
      <c r="D1425" s="40" t="str">
        <f>IFERROR(__xludf.DUMMYFUNCTION("TEXTJOIN("", "",TRUE,UNIQUE(FILTER('Data Master'!$D$2:$D1887,'Data Master'!$C$2:$C1887=A1425)))"),"")</f>
        <v/>
      </c>
    </row>
    <row r="1426" hidden="1">
      <c r="C1426" s="40" t="str">
        <f>IFERROR(__xludf.DUMMYFUNCTION("TEXTJOIN("", "",TRUE,UNIQUE(FILTER('Data Master'!$B$2:$B1887,'Data Master'!$C$2:$C1887=A1426)))"),"petani")</f>
        <v>petani</v>
      </c>
      <c r="D1426" s="40" t="str">
        <f>IFERROR(__xludf.DUMMYFUNCTION("TEXTJOIN("", "",TRUE,UNIQUE(FILTER('Data Master'!$D$2:$D1887,'Data Master'!$C$2:$C1887=A1426)))"),"")</f>
        <v/>
      </c>
    </row>
    <row r="1427" hidden="1">
      <c r="C1427" s="40" t="str">
        <f>IFERROR(__xludf.DUMMYFUNCTION("TEXTJOIN("", "",TRUE,UNIQUE(FILTER('Data Master'!$B$2:$B1887,'Data Master'!$C$2:$C1887=A1427)))"),"petani")</f>
        <v>petani</v>
      </c>
      <c r="D1427" s="40" t="str">
        <f>IFERROR(__xludf.DUMMYFUNCTION("TEXTJOIN("", "",TRUE,UNIQUE(FILTER('Data Master'!$D$2:$D1887,'Data Master'!$C$2:$C1887=A1427)))"),"")</f>
        <v/>
      </c>
    </row>
    <row r="1428" hidden="1">
      <c r="C1428" s="40" t="str">
        <f>IFERROR(__xludf.DUMMYFUNCTION("TEXTJOIN("", "",TRUE,UNIQUE(FILTER('Data Master'!$B$2:$B1887,'Data Master'!$C$2:$C1887=A1428)))"),"petani")</f>
        <v>petani</v>
      </c>
      <c r="D1428" s="40" t="str">
        <f>IFERROR(__xludf.DUMMYFUNCTION("TEXTJOIN("", "",TRUE,UNIQUE(FILTER('Data Master'!$D$2:$D1887,'Data Master'!$C$2:$C1887=A1428)))"),"")</f>
        <v/>
      </c>
    </row>
    <row r="1429" hidden="1">
      <c r="C1429" s="40" t="str">
        <f>IFERROR(__xludf.DUMMYFUNCTION("TEXTJOIN("", "",TRUE,UNIQUE(FILTER('Data Master'!$B$2:$B1887,'Data Master'!$C$2:$C1887=A1429)))"),"petani")</f>
        <v>petani</v>
      </c>
      <c r="D1429" s="40" t="str">
        <f>IFERROR(__xludf.DUMMYFUNCTION("TEXTJOIN("", "",TRUE,UNIQUE(FILTER('Data Master'!$D$2:$D1887,'Data Master'!$C$2:$C1887=A1429)))"),"")</f>
        <v/>
      </c>
    </row>
    <row r="1430" hidden="1">
      <c r="C1430" s="40" t="str">
        <f>IFERROR(__xludf.DUMMYFUNCTION("TEXTJOIN("", "",TRUE,UNIQUE(FILTER('Data Master'!$B$2:$B1887,'Data Master'!$C$2:$C1887=A1430)))"),"petani")</f>
        <v>petani</v>
      </c>
      <c r="D1430" s="40" t="str">
        <f>IFERROR(__xludf.DUMMYFUNCTION("TEXTJOIN("", "",TRUE,UNIQUE(FILTER('Data Master'!$D$2:$D1887,'Data Master'!$C$2:$C1887=A1430)))"),"")</f>
        <v/>
      </c>
    </row>
    <row r="1431" hidden="1">
      <c r="C1431" s="40" t="str">
        <f>IFERROR(__xludf.DUMMYFUNCTION("TEXTJOIN("", "",TRUE,UNIQUE(FILTER('Data Master'!$B$2:$B1887,'Data Master'!$C$2:$C1887=A1431)))"),"petani")</f>
        <v>petani</v>
      </c>
      <c r="D1431" s="40" t="str">
        <f>IFERROR(__xludf.DUMMYFUNCTION("TEXTJOIN("", "",TRUE,UNIQUE(FILTER('Data Master'!$D$2:$D1887,'Data Master'!$C$2:$C1887=A1431)))"),"dehapurwoko@gmail.com")</f>
        <v>dehapurwoko@gmail.com</v>
      </c>
    </row>
    <row r="1432" hidden="1">
      <c r="C1432" s="40" t="str">
        <f>IFERROR(__xludf.DUMMYFUNCTION("TEXTJOIN("", "",TRUE,UNIQUE(FILTER('Data Master'!$B$2:$B1887,'Data Master'!$C$2:$C1887=A1432)))"),"petani")</f>
        <v>petani</v>
      </c>
      <c r="D1432" s="40" t="str">
        <f>IFERROR(__xludf.DUMMYFUNCTION("TEXTJOIN("", "",TRUE,UNIQUE(FILTER('Data Master'!$D$2:$D1887,'Data Master'!$C$2:$C1887=A1432)))"),"")</f>
        <v/>
      </c>
    </row>
    <row r="1433" hidden="1">
      <c r="C1433" s="40" t="str">
        <f>IFERROR(__xludf.DUMMYFUNCTION("TEXTJOIN("", "",TRUE,UNIQUE(FILTER('Data Master'!$B$2:$B1887,'Data Master'!$C$2:$C1887=A1433)))"),"petani")</f>
        <v>petani</v>
      </c>
      <c r="D1433" s="40" t="str">
        <f>IFERROR(__xludf.DUMMYFUNCTION("TEXTJOIN("", "",TRUE,UNIQUE(FILTER('Data Master'!$D$2:$D1887,'Data Master'!$C$2:$C1887=A1433)))"),"")</f>
        <v/>
      </c>
    </row>
    <row r="1434" hidden="1">
      <c r="C1434" s="40" t="str">
        <f>IFERROR(__xludf.DUMMYFUNCTION("TEXTJOIN("", "",TRUE,UNIQUE(FILTER('Data Master'!$B$2:$B1887,'Data Master'!$C$2:$C1887=A1434)))"),"petani")</f>
        <v>petani</v>
      </c>
      <c r="D1434" s="40" t="str">
        <f>IFERROR(__xludf.DUMMYFUNCTION("TEXTJOIN("", "",TRUE,UNIQUE(FILTER('Data Master'!$D$2:$D1887,'Data Master'!$C$2:$C1887=A1434)))"),"")</f>
        <v/>
      </c>
    </row>
    <row r="1435" hidden="1">
      <c r="C1435" s="40" t="str">
        <f>IFERROR(__xludf.DUMMYFUNCTION("TEXTJOIN("", "",TRUE,UNIQUE(FILTER('Data Master'!$B$2:$B1887,'Data Master'!$C$2:$C1887=A1435)))"),"petani")</f>
        <v>petani</v>
      </c>
      <c r="D1435" s="40" t="str">
        <f>IFERROR(__xludf.DUMMYFUNCTION("TEXTJOIN("", "",TRUE,UNIQUE(FILTER('Data Master'!$D$2:$D1887,'Data Master'!$C$2:$C1887=A1435)))"),"")</f>
        <v/>
      </c>
    </row>
    <row r="1436" hidden="1">
      <c r="C1436" s="40" t="str">
        <f>IFERROR(__xludf.DUMMYFUNCTION("TEXTJOIN("", "",TRUE,UNIQUE(FILTER('Data Master'!$B$2:$B1887,'Data Master'!$C$2:$C1887=A1436)))"),"petani")</f>
        <v>petani</v>
      </c>
      <c r="D1436" s="40" t="str">
        <f>IFERROR(__xludf.DUMMYFUNCTION("TEXTJOIN("", "",TRUE,UNIQUE(FILTER('Data Master'!$D$2:$D1887,'Data Master'!$C$2:$C1887=A1436)))"),"")</f>
        <v/>
      </c>
    </row>
    <row r="1437" hidden="1">
      <c r="C1437" s="40" t="str">
        <f>IFERROR(__xludf.DUMMYFUNCTION("TEXTJOIN("", "",TRUE,UNIQUE(FILTER('Data Master'!$B$2:$B1887,'Data Master'!$C$2:$C1887=A1437)))"),"petani")</f>
        <v>petani</v>
      </c>
      <c r="D1437" s="40" t="str">
        <f>IFERROR(__xludf.DUMMYFUNCTION("TEXTJOIN("", "",TRUE,UNIQUE(FILTER('Data Master'!$D$2:$D1887,'Data Master'!$C$2:$C1887=A1437)))"),"")</f>
        <v/>
      </c>
    </row>
    <row r="1438" hidden="1">
      <c r="C1438" s="40" t="str">
        <f>IFERROR(__xludf.DUMMYFUNCTION("TEXTJOIN("", "",TRUE,UNIQUE(FILTER('Data Master'!$B$2:$B1887,'Data Master'!$C$2:$C1887=A1438)))"),"petani")</f>
        <v>petani</v>
      </c>
      <c r="D1438" s="40" t="str">
        <f>IFERROR(__xludf.DUMMYFUNCTION("TEXTJOIN("", "",TRUE,UNIQUE(FILTER('Data Master'!$D$2:$D1887,'Data Master'!$C$2:$C1887=A1438)))"),"")</f>
        <v/>
      </c>
    </row>
    <row r="1439" hidden="1">
      <c r="C1439" s="40" t="str">
        <f>IFERROR(__xludf.DUMMYFUNCTION("TEXTJOIN("", "",TRUE,UNIQUE(FILTER('Data Master'!$B$2:$B1887,'Data Master'!$C$2:$C1887=A1439)))"),"petani")</f>
        <v>petani</v>
      </c>
      <c r="D1439" s="40" t="str">
        <f>IFERROR(__xludf.DUMMYFUNCTION("TEXTJOIN("", "",TRUE,UNIQUE(FILTER('Data Master'!$D$2:$D1887,'Data Master'!$C$2:$C1887=A1439)))"),"")</f>
        <v/>
      </c>
    </row>
    <row r="1440" hidden="1">
      <c r="C1440" s="40" t="str">
        <f>IFERROR(__xludf.DUMMYFUNCTION("TEXTJOIN("", "",TRUE,UNIQUE(FILTER('Data Master'!$B$2:$B1887,'Data Master'!$C$2:$C1887=A1440)))"),"petani")</f>
        <v>petani</v>
      </c>
      <c r="D1440" s="40" t="str">
        <f>IFERROR(__xludf.DUMMYFUNCTION("TEXTJOIN("", "",TRUE,UNIQUE(FILTER('Data Master'!$D$2:$D1887,'Data Master'!$C$2:$C1887=A1440)))"),"")</f>
        <v/>
      </c>
    </row>
    <row r="1441" hidden="1">
      <c r="C1441" s="40" t="str">
        <f>IFERROR(__xludf.DUMMYFUNCTION("TEXTJOIN("", "",TRUE,UNIQUE(FILTER('Data Master'!$B$2:$B1887,'Data Master'!$C$2:$C1887=A1441)))"),"petani")</f>
        <v>petani</v>
      </c>
      <c r="D1441" s="40" t="str">
        <f>IFERROR(__xludf.DUMMYFUNCTION("TEXTJOIN("", "",TRUE,UNIQUE(FILTER('Data Master'!$D$2:$D1887,'Data Master'!$C$2:$C1887=A1441)))"),"")</f>
        <v/>
      </c>
    </row>
    <row r="1442" hidden="1">
      <c r="C1442" s="40" t="str">
        <f>IFERROR(__xludf.DUMMYFUNCTION("TEXTJOIN("", "",TRUE,UNIQUE(FILTER('Data Master'!$B$2:$B1887,'Data Master'!$C$2:$C1887=A1442)))"),"petani")</f>
        <v>petani</v>
      </c>
      <c r="D1442" s="40" t="str">
        <f>IFERROR(__xludf.DUMMYFUNCTION("TEXTJOIN("", "",TRUE,UNIQUE(FILTER('Data Master'!$D$2:$D1887,'Data Master'!$C$2:$C1887=A1442)))"),"")</f>
        <v/>
      </c>
    </row>
    <row r="1443" hidden="1">
      <c r="C1443" s="40" t="str">
        <f>IFERROR(__xludf.DUMMYFUNCTION("TEXTJOIN("", "",TRUE,UNIQUE(FILTER('Data Master'!$B$2:$B1887,'Data Master'!$C$2:$C1887=A1443)))"),"petani")</f>
        <v>petani</v>
      </c>
      <c r="D1443" s="40" t="str">
        <f>IFERROR(__xludf.DUMMYFUNCTION("TEXTJOIN("", "",TRUE,UNIQUE(FILTER('Data Master'!$D$2:$D1887,'Data Master'!$C$2:$C1887=A1443)))"),"")</f>
        <v/>
      </c>
    </row>
    <row r="1444" hidden="1">
      <c r="C1444" s="40" t="str">
        <f>IFERROR(__xludf.DUMMYFUNCTION("TEXTJOIN("", "",TRUE,UNIQUE(FILTER('Data Master'!$B$2:$B1887,'Data Master'!$C$2:$C1887=A1444)))"),"petani")</f>
        <v>petani</v>
      </c>
      <c r="D1444" s="40" t="str">
        <f>IFERROR(__xludf.DUMMYFUNCTION("TEXTJOIN("", "",TRUE,UNIQUE(FILTER('Data Master'!$D$2:$D1887,'Data Master'!$C$2:$C1887=A1444)))"),"")</f>
        <v/>
      </c>
    </row>
    <row r="1445" hidden="1">
      <c r="C1445" s="40" t="str">
        <f>IFERROR(__xludf.DUMMYFUNCTION("TEXTJOIN("", "",TRUE,UNIQUE(FILTER('Data Master'!$B$2:$B1887,'Data Master'!$C$2:$C1887=A1445)))"),"petani")</f>
        <v>petani</v>
      </c>
      <c r="D1445" s="40" t="str">
        <f>IFERROR(__xludf.DUMMYFUNCTION("TEXTJOIN("", "",TRUE,UNIQUE(FILTER('Data Master'!$D$2:$D1887,'Data Master'!$C$2:$C1887=A1445)))"),"")</f>
        <v/>
      </c>
    </row>
    <row r="1446" hidden="1">
      <c r="C1446" s="40" t="str">
        <f>IFERROR(__xludf.DUMMYFUNCTION("TEXTJOIN("", "",TRUE,UNIQUE(FILTER('Data Master'!$B$2:$B1887,'Data Master'!$C$2:$C1887=A1446)))"),"petani")</f>
        <v>petani</v>
      </c>
      <c r="D1446" s="40" t="str">
        <f>IFERROR(__xludf.DUMMYFUNCTION("TEXTJOIN("", "",TRUE,UNIQUE(FILTER('Data Master'!$D$2:$D1887,'Data Master'!$C$2:$C1887=A1446)))"),"")</f>
        <v/>
      </c>
    </row>
    <row r="1447" hidden="1">
      <c r="C1447" s="40" t="str">
        <f>IFERROR(__xludf.DUMMYFUNCTION("TEXTJOIN("", "",TRUE,UNIQUE(FILTER('Data Master'!$B$2:$B1887,'Data Master'!$C$2:$C1887=A1447)))"),"penyuluh")</f>
        <v>penyuluh</v>
      </c>
      <c r="D1447" s="40" t="str">
        <f>IFERROR(__xludf.DUMMYFUNCTION("TEXTJOIN("", "",TRUE,UNIQUE(FILTER('Data Master'!$D$2:$D1887,'Data Master'!$C$2:$C1887=A1447)))"),"satoru@penyuluh.com")</f>
        <v>satoru@penyuluh.com</v>
      </c>
    </row>
    <row r="1448" hidden="1">
      <c r="C1448" s="40" t="str">
        <f>IFERROR(__xludf.DUMMYFUNCTION("TEXTJOIN("", "",TRUE,UNIQUE(FILTER('Data Master'!$B$2:$B1887,'Data Master'!$C$2:$C1887=A1448)))"),"petani")</f>
        <v>petani</v>
      </c>
      <c r="D1448" s="40" t="str">
        <f>IFERROR(__xludf.DUMMYFUNCTION("TEXTJOIN("", "",TRUE,UNIQUE(FILTER('Data Master'!$D$2:$D1887,'Data Master'!$C$2:$C1887=A1448)))"),"")</f>
        <v/>
      </c>
    </row>
    <row r="1449" hidden="1">
      <c r="C1449" s="40" t="str">
        <f>IFERROR(__xludf.DUMMYFUNCTION("TEXTJOIN("", "",TRUE,UNIQUE(FILTER('Data Master'!$B$2:$B1887,'Data Master'!$C$2:$C1887=A1449)))"),"petani")</f>
        <v>petani</v>
      </c>
      <c r="D1449" s="40" t="str">
        <f>IFERROR(__xludf.DUMMYFUNCTION("TEXTJOIN("", "",TRUE,UNIQUE(FILTER('Data Master'!$D$2:$D1887,'Data Master'!$C$2:$C1887=A1449)))"),"null")</f>
        <v>null</v>
      </c>
    </row>
    <row r="1450" hidden="1">
      <c r="C1450" s="40" t="str">
        <f>IFERROR(__xludf.DUMMYFUNCTION("TEXTJOIN("", "",TRUE,UNIQUE(FILTER('Data Master'!$B$2:$B1887,'Data Master'!$C$2:$C1887=A1450)))"),"petani")</f>
        <v>petani</v>
      </c>
      <c r="D1450" s="40" t="str">
        <f>IFERROR(__xludf.DUMMYFUNCTION("TEXTJOIN("", "",TRUE,UNIQUE(FILTER('Data Master'!$D$2:$D1887,'Data Master'!$C$2:$C1887=A1450)))"),"")</f>
        <v/>
      </c>
    </row>
    <row r="1451" hidden="1">
      <c r="C1451" s="40" t="str">
        <f>IFERROR(__xludf.DUMMYFUNCTION("TEXTJOIN("", "",TRUE,UNIQUE(FILTER('Data Master'!$B$2:$B1887,'Data Master'!$C$2:$C1887=A1451)))"),"petani")</f>
        <v>petani</v>
      </c>
      <c r="D1451" s="40" t="str">
        <f>IFERROR(__xludf.DUMMYFUNCTION("TEXTJOIN("", "",TRUE,UNIQUE(FILTER('Data Master'!$D$2:$D1887,'Data Master'!$C$2:$C1887=A1451)))"),"")</f>
        <v/>
      </c>
    </row>
    <row r="1452" hidden="1">
      <c r="C1452" s="40" t="str">
        <f>IFERROR(__xludf.DUMMYFUNCTION("TEXTJOIN("", "",TRUE,UNIQUE(FILTER('Data Master'!$B$2:$B1887,'Data Master'!$C$2:$C1887=A1452)))"),"petani")</f>
        <v>petani</v>
      </c>
      <c r="D1452" s="40" t="str">
        <f>IFERROR(__xludf.DUMMYFUNCTION("TEXTJOIN("", "",TRUE,UNIQUE(FILTER('Data Master'!$D$2:$D1887,'Data Master'!$C$2:$C1887=A1452)))"),"")</f>
        <v/>
      </c>
    </row>
    <row r="1453" hidden="1">
      <c r="C1453" s="40" t="str">
        <f>IFERROR(__xludf.DUMMYFUNCTION("TEXTJOIN("", "",TRUE,UNIQUE(FILTER('Data Master'!$B$2:$B1887,'Data Master'!$C$2:$C1887=A1453)))"),"petani")</f>
        <v>petani</v>
      </c>
      <c r="D1453" s="40" t="str">
        <f>IFERROR(__xludf.DUMMYFUNCTION("TEXTJOIN("", "",TRUE,UNIQUE(FILTER('Data Master'!$D$2:$D1887,'Data Master'!$C$2:$C1887=A1453)))"),"")</f>
        <v/>
      </c>
    </row>
    <row r="1454" hidden="1">
      <c r="C1454" s="40" t="str">
        <f>IFERROR(__xludf.DUMMYFUNCTION("TEXTJOIN("", "",TRUE,UNIQUE(FILTER('Data Master'!$B$2:$B1887,'Data Master'!$C$2:$C1887=A1454)))"),"petani")</f>
        <v>petani</v>
      </c>
      <c r="D1454" s="40" t="str">
        <f>IFERROR(__xludf.DUMMYFUNCTION("TEXTJOIN("", "",TRUE,UNIQUE(FILTER('Data Master'!$D$2:$D1887,'Data Master'!$C$2:$C1887=A1454)))"),"")</f>
        <v/>
      </c>
    </row>
    <row r="1455" hidden="1">
      <c r="C1455" s="40" t="str">
        <f>IFERROR(__xludf.DUMMYFUNCTION("TEXTJOIN("", "",TRUE,UNIQUE(FILTER('Data Master'!$B$2:$B1887,'Data Master'!$C$2:$C1887=A1455)))"),"penyuluh")</f>
        <v>penyuluh</v>
      </c>
      <c r="D1455" s="40" t="str">
        <f>IFERROR(__xludf.DUMMYFUNCTION("TEXTJOIN("", "",TRUE,UNIQUE(FILTER('Data Master'!$D$2:$D1887,'Data Master'!$C$2:$C1887=A1455)))"),"")</f>
        <v/>
      </c>
    </row>
    <row r="1456" hidden="1">
      <c r="C1456" s="40" t="str">
        <f>IFERROR(__xludf.DUMMYFUNCTION("TEXTJOIN("", "",TRUE,UNIQUE(FILTER('Data Master'!$B$2:$B1887,'Data Master'!$C$2:$C1887=A1456)))"),"petani")</f>
        <v>petani</v>
      </c>
      <c r="D1456" s="40" t="str">
        <f>IFERROR(__xludf.DUMMYFUNCTION("TEXTJOIN("", "",TRUE,UNIQUE(FILTER('Data Master'!$D$2:$D1887,'Data Master'!$C$2:$C1887=A1456)))"),"")</f>
        <v/>
      </c>
    </row>
    <row r="1457" hidden="1">
      <c r="C1457" s="40" t="str">
        <f>IFERROR(__xludf.DUMMYFUNCTION("TEXTJOIN("", "",TRUE,UNIQUE(FILTER('Data Master'!$B$2:$B1887,'Data Master'!$C$2:$C1887=A1457)))"),"petani")</f>
        <v>petani</v>
      </c>
      <c r="D1457" s="40" t="str">
        <f>IFERROR(__xludf.DUMMYFUNCTION("TEXTJOIN("", "",TRUE,UNIQUE(FILTER('Data Master'!$D$2:$D1887,'Data Master'!$C$2:$C1887=A1457)))"),"")</f>
        <v/>
      </c>
    </row>
    <row r="1458" hidden="1">
      <c r="C1458" s="40" t="str">
        <f>IFERROR(__xludf.DUMMYFUNCTION("TEXTJOIN("", "",TRUE,UNIQUE(FILTER('Data Master'!$B$2:$B1887,'Data Master'!$C$2:$C1887=A1458)))"),"petani")</f>
        <v>petani</v>
      </c>
      <c r="D1458" s="40" t="str">
        <f>IFERROR(__xludf.DUMMYFUNCTION("TEXTJOIN("", "",TRUE,UNIQUE(FILTER('Data Master'!$D$2:$D1887,'Data Master'!$C$2:$C1887=A1458)))"),"")</f>
        <v/>
      </c>
    </row>
    <row r="1459" hidden="1">
      <c r="C1459" s="40" t="str">
        <f>IFERROR(__xludf.DUMMYFUNCTION("TEXTJOIN("", "",TRUE,UNIQUE(FILTER('Data Master'!$B$2:$B1887,'Data Master'!$C$2:$C1887=A1459)))"),"petani")</f>
        <v>petani</v>
      </c>
      <c r="D1459" s="40" t="str">
        <f>IFERROR(__xludf.DUMMYFUNCTION("TEXTJOIN("", "",TRUE,UNIQUE(FILTER('Data Master'!$D$2:$D1887,'Data Master'!$C$2:$C1887=A1459)))"),"")</f>
        <v/>
      </c>
    </row>
    <row r="1460" hidden="1">
      <c r="C1460" s="40" t="str">
        <f>IFERROR(__xludf.DUMMYFUNCTION("TEXTJOIN("", "",TRUE,UNIQUE(FILTER('Data Master'!$B$2:$B1887,'Data Master'!$C$2:$C1887=A1460)))"),"penyuluh")</f>
        <v>penyuluh</v>
      </c>
      <c r="D1460" s="40" t="str">
        <f>IFERROR(__xludf.DUMMYFUNCTION("TEXTJOIN("", "",TRUE,UNIQUE(FILTER('Data Master'!$D$2:$D1887,'Data Master'!$C$2:$C1887=A1460)))"),"shelashela064@gmail.com")</f>
        <v>shelashela064@gmail.com</v>
      </c>
    </row>
    <row r="1461" hidden="1">
      <c r="C1461" s="40" t="str">
        <f>IFERROR(__xludf.DUMMYFUNCTION("TEXTJOIN("", "",TRUE,UNIQUE(FILTER('Data Master'!$B$2:$B1887,'Data Master'!$C$2:$C1887=A1461)))"),"petani")</f>
        <v>petani</v>
      </c>
      <c r="D1461" s="40" t="str">
        <f>IFERROR(__xludf.DUMMYFUNCTION("TEXTJOIN("", "",TRUE,UNIQUE(FILTER('Data Master'!$D$2:$D1887,'Data Master'!$C$2:$C1887=A1461)))"),"")</f>
        <v/>
      </c>
    </row>
    <row r="1462" hidden="1">
      <c r="C1462" s="40" t="str">
        <f>IFERROR(__xludf.DUMMYFUNCTION("TEXTJOIN("", "",TRUE,UNIQUE(FILTER('Data Master'!$B$2:$B1887,'Data Master'!$C$2:$C1887=A1462)))"),"petani")</f>
        <v>petani</v>
      </c>
      <c r="D1462" s="40" t="str">
        <f>IFERROR(__xludf.DUMMYFUNCTION("TEXTJOIN("", "",TRUE,UNIQUE(FILTER('Data Master'!$D$2:$D1887,'Data Master'!$C$2:$C1887=A1462)))"),"")</f>
        <v/>
      </c>
    </row>
    <row r="1463" hidden="1">
      <c r="C1463" s="40" t="str">
        <f>IFERROR(__xludf.DUMMYFUNCTION("TEXTJOIN("", "",TRUE,UNIQUE(FILTER('Data Master'!$B$2:$B1887,'Data Master'!$C$2:$C1887=A1463)))"),"petani")</f>
        <v>petani</v>
      </c>
      <c r="D1463" s="40" t="str">
        <f>IFERROR(__xludf.DUMMYFUNCTION("TEXTJOIN("", "",TRUE,UNIQUE(FILTER('Data Master'!$D$2:$D1887,'Data Master'!$C$2:$C1887=A1463)))"),"")</f>
        <v/>
      </c>
    </row>
    <row r="1464" hidden="1">
      <c r="C1464" s="40" t="str">
        <f>IFERROR(__xludf.DUMMYFUNCTION("TEXTJOIN("", "",TRUE,UNIQUE(FILTER('Data Master'!$B$2:$B1887,'Data Master'!$C$2:$C1887=A1464)))"),"petani")</f>
        <v>petani</v>
      </c>
      <c r="D1464" s="40" t="str">
        <f>IFERROR(__xludf.DUMMYFUNCTION("TEXTJOIN("", "",TRUE,UNIQUE(FILTER('Data Master'!$D$2:$D1887,'Data Master'!$C$2:$C1887=A1464)))"),"")</f>
        <v/>
      </c>
    </row>
    <row r="1465" hidden="1">
      <c r="C1465" s="40" t="str">
        <f>IFERROR(__xludf.DUMMYFUNCTION("TEXTJOIN("", "",TRUE,UNIQUE(FILTER('Data Master'!$B$2:$B1887,'Data Master'!$C$2:$C1887=A1465)))"),"penyuluh")</f>
        <v>penyuluh</v>
      </c>
      <c r="D1465" s="40" t="str">
        <f>IFERROR(__xludf.DUMMYFUNCTION("TEXTJOIN("", "",TRUE,UNIQUE(FILTER('Data Master'!$D$2:$D1887,'Data Master'!$C$2:$C1887=A1465)))"),"mohondiedit@gmail.com")</f>
        <v>mohondiedit@gmail.com</v>
      </c>
    </row>
    <row r="1466" hidden="1">
      <c r="C1466" s="40" t="str">
        <f>IFERROR(__xludf.DUMMYFUNCTION("TEXTJOIN("", "",TRUE,UNIQUE(FILTER('Data Master'!$B$2:$B1887,'Data Master'!$C$2:$C1887=A1466)))"),"petani")</f>
        <v>petani</v>
      </c>
      <c r="D1466" s="40" t="str">
        <f>IFERROR(__xludf.DUMMYFUNCTION("TEXTJOIN("", "",TRUE,UNIQUE(FILTER('Data Master'!$D$2:$D1887,'Data Master'!$C$2:$C1887=A1466)))"),"")</f>
        <v/>
      </c>
    </row>
    <row r="1467" hidden="1">
      <c r="C1467" s="40" t="str">
        <f>IFERROR(__xludf.DUMMYFUNCTION("TEXTJOIN("", "",TRUE,UNIQUE(FILTER('Data Master'!$B$2:$B1887,'Data Master'!$C$2:$C1887=A1467)))"),"petani")</f>
        <v>petani</v>
      </c>
      <c r="D1467" s="40" t="str">
        <f>IFERROR(__xludf.DUMMYFUNCTION("TEXTJOIN("", "",TRUE,UNIQUE(FILTER('Data Master'!$D$2:$D1887,'Data Master'!$C$2:$C1887=A1467)))"),"")</f>
        <v/>
      </c>
    </row>
    <row r="1468" hidden="1">
      <c r="C1468" s="40" t="str">
        <f>IFERROR(__xludf.DUMMYFUNCTION("TEXTJOIN("", "",TRUE,UNIQUE(FILTER('Data Master'!$B$2:$B1887,'Data Master'!$C$2:$C1887=A1468)))"),"petani")</f>
        <v>petani</v>
      </c>
      <c r="D1468" s="40" t="str">
        <f>IFERROR(__xludf.DUMMYFUNCTION("TEXTJOIN("", "",TRUE,UNIQUE(FILTER('Data Master'!$D$2:$D1887,'Data Master'!$C$2:$C1887=A1468)))"),"")</f>
        <v/>
      </c>
    </row>
    <row r="1469" hidden="1">
      <c r="C1469" s="40" t="str">
        <f>IFERROR(__xludf.DUMMYFUNCTION("TEXTJOIN("", "",TRUE,UNIQUE(FILTER('Data Master'!$B$2:$B1887,'Data Master'!$C$2:$C1887=A1469)))"),"petani")</f>
        <v>petani</v>
      </c>
      <c r="D1469" s="40" t="str">
        <f>IFERROR(__xludf.DUMMYFUNCTION("TEXTJOIN("", "",TRUE,UNIQUE(FILTER('Data Master'!$D$2:$D1887,'Data Master'!$C$2:$C1887=A1469)))"),"")</f>
        <v/>
      </c>
    </row>
    <row r="1470" hidden="1">
      <c r="C1470" s="40" t="str">
        <f>IFERROR(__xludf.DUMMYFUNCTION("TEXTJOIN("", "",TRUE,UNIQUE(FILTER('Data Master'!$B$2:$B1887,'Data Master'!$C$2:$C1887=A1470)))"),"petani")</f>
        <v>petani</v>
      </c>
      <c r="D1470" s="40" t="str">
        <f>IFERROR(__xludf.DUMMYFUNCTION("TEXTJOIN("", "",TRUE,UNIQUE(FILTER('Data Master'!$D$2:$D1887,'Data Master'!$C$2:$C1887=A1470)))"),"")</f>
        <v/>
      </c>
    </row>
    <row r="1471" hidden="1">
      <c r="C1471" s="40" t="str">
        <f>IFERROR(__xludf.DUMMYFUNCTION("TEXTJOIN("", "",TRUE,UNIQUE(FILTER('Data Master'!$B$2:$B1887,'Data Master'!$C$2:$C1887=A1471)))"),"petani")</f>
        <v>petani</v>
      </c>
      <c r="D1471" s="40" t="str">
        <f>IFERROR(__xludf.DUMMYFUNCTION("TEXTJOIN("", "",TRUE,UNIQUE(FILTER('Data Master'!$D$2:$D1887,'Data Master'!$C$2:$C1887=A1471)))"),"")</f>
        <v/>
      </c>
    </row>
    <row r="1472" hidden="1">
      <c r="C1472" s="40" t="str">
        <f>IFERROR(__xludf.DUMMYFUNCTION("TEXTJOIN("", "",TRUE,UNIQUE(FILTER('Data Master'!$B$2:$B1887,'Data Master'!$C$2:$C1887=A1472)))"),"operator admin, penyuluh")</f>
        <v>operator admin, penyuluh</v>
      </c>
      <c r="D1472" s="40" t="str">
        <f>IFERROR(__xludf.DUMMYFUNCTION("TEXTJOIN("", "",TRUE,UNIQUE(FILTER('Data Master'!$D$2:$D1887,'Data Master'!$C$2:$C1887=A1472)))"),"sigitwahyudi@gmail.com, sigit22wahyudi@gmail.com")</f>
        <v>sigitwahyudi@gmail.com, sigit22wahyudi@gmail.com</v>
      </c>
    </row>
    <row r="1473" hidden="1">
      <c r="C1473" s="40" t="str">
        <f>IFERROR(__xludf.DUMMYFUNCTION("TEXTJOIN("", "",TRUE,UNIQUE(FILTER('Data Master'!$B$2:$B1887,'Data Master'!$C$2:$C1887=A1473)))"),"penyuluh")</f>
        <v>penyuluh</v>
      </c>
      <c r="D1473" s="40" t="str">
        <f>IFERROR(__xludf.DUMMYFUNCTION("TEXTJOIN("", "",TRUE,UNIQUE(FILTER('Data Master'!$D$2:$D1887,'Data Master'!$C$2:$C1887=A1473)))"),"")</f>
        <v/>
      </c>
    </row>
    <row r="1474" hidden="1">
      <c r="C1474" s="40" t="str">
        <f>IFERROR(__xludf.DUMMYFUNCTION("TEXTJOIN("", "",TRUE,UNIQUE(FILTER('Data Master'!$B$2:$B1887,'Data Master'!$C$2:$C1887=A1474)))"),"penyuluh")</f>
        <v>penyuluh</v>
      </c>
      <c r="D1474" s="40" t="str">
        <f>IFERROR(__xludf.DUMMYFUNCTION("TEXTJOIN("", "",TRUE,UNIQUE(FILTER('Data Master'!$D$2:$D1887,'Data Master'!$C$2:$C1887=A1474)))"),"siketan@ngawikab.go.id")</f>
        <v>siketan@ngawikab.go.id</v>
      </c>
    </row>
    <row r="1475" hidden="1">
      <c r="C1475" s="40" t="str">
        <f>IFERROR(__xludf.DUMMYFUNCTION("TEXTJOIN("", "",TRUE,UNIQUE(FILTER('Data Master'!$B$2:$B1887,'Data Master'!$C$2:$C1887=A1475)))"),"petani")</f>
        <v>petani</v>
      </c>
      <c r="D1475" s="40" t="str">
        <f>IFERROR(__xludf.DUMMYFUNCTION("TEXTJOIN("", "",TRUE,UNIQUE(FILTER('Data Master'!$D$2:$D1887,'Data Master'!$C$2:$C1887=A1475)))"),"")</f>
        <v/>
      </c>
    </row>
    <row r="1476" hidden="1">
      <c r="C1476" s="40" t="str">
        <f>IFERROR(__xludf.DUMMYFUNCTION("TEXTJOIN("", "",TRUE,UNIQUE(FILTER('Data Master'!$B$2:$B1887,'Data Master'!$C$2:$C1887=A1476)))"),"petani")</f>
        <v>petani</v>
      </c>
      <c r="D1476" s="40" t="str">
        <f>IFERROR(__xludf.DUMMYFUNCTION("TEXTJOIN("", "",TRUE,UNIQUE(FILTER('Data Master'!$D$2:$D1887,'Data Master'!$C$2:$C1887=A1476)))"),"")</f>
        <v/>
      </c>
    </row>
    <row r="1477" hidden="1">
      <c r="C1477" s="40" t="str">
        <f>IFERROR(__xludf.DUMMYFUNCTION("TEXTJOIN("", "",TRUE,UNIQUE(FILTER('Data Master'!$B$2:$B1887,'Data Master'!$C$2:$C1887=A1477)))"),"petani")</f>
        <v>petani</v>
      </c>
      <c r="D1477" s="40" t="str">
        <f>IFERROR(__xludf.DUMMYFUNCTION("TEXTJOIN("", "",TRUE,UNIQUE(FILTER('Data Master'!$D$2:$D1887,'Data Master'!$C$2:$C1887=A1477)))"),"")</f>
        <v/>
      </c>
    </row>
    <row r="1478" hidden="1">
      <c r="C1478" s="40" t="str">
        <f>IFERROR(__xludf.DUMMYFUNCTION("TEXTJOIN("", "",TRUE,UNIQUE(FILTER('Data Master'!$B$2:$B1887,'Data Master'!$C$2:$C1887=A1478)))"),"petani")</f>
        <v>petani</v>
      </c>
      <c r="D1478" s="40" t="str">
        <f>IFERROR(__xludf.DUMMYFUNCTION("TEXTJOIN("", "",TRUE,UNIQUE(FILTER('Data Master'!$D$2:$D1887,'Data Master'!$C$2:$C1887=A1478)))"),"")</f>
        <v/>
      </c>
    </row>
    <row r="1479" hidden="1">
      <c r="C1479" s="40" t="str">
        <f>IFERROR(__xludf.DUMMYFUNCTION("TEXTJOIN("", "",TRUE,UNIQUE(FILTER('Data Master'!$B$2:$B1887,'Data Master'!$C$2:$C1887=A1479)))"),"petani")</f>
        <v>petani</v>
      </c>
      <c r="D1479" s="40" t="str">
        <f>IFERROR(__xludf.DUMMYFUNCTION("TEXTJOIN("", "",TRUE,UNIQUE(FILTER('Data Master'!$D$2:$D1887,'Data Master'!$C$2:$C1887=A1479)))"),"")</f>
        <v/>
      </c>
    </row>
    <row r="1480" hidden="1">
      <c r="C1480" s="40" t="str">
        <f>IFERROR(__xludf.DUMMYFUNCTION("TEXTJOIN("", "",TRUE,UNIQUE(FILTER('Data Master'!$B$2:$B1887,'Data Master'!$C$2:$C1887=A1480)))"),"petani")</f>
        <v>petani</v>
      </c>
      <c r="D1480" s="40" t="str">
        <f>IFERROR(__xludf.DUMMYFUNCTION("TEXTJOIN("", "",TRUE,UNIQUE(FILTER('Data Master'!$D$2:$D1887,'Data Master'!$C$2:$C1887=A1480)))"),"")</f>
        <v/>
      </c>
    </row>
    <row r="1481" hidden="1">
      <c r="C1481" s="40" t="str">
        <f>IFERROR(__xludf.DUMMYFUNCTION("TEXTJOIN("", "",TRUE,UNIQUE(FILTER('Data Master'!$B$2:$B1887,'Data Master'!$C$2:$C1887=A1481)))"),"petani")</f>
        <v>petani</v>
      </c>
      <c r="D1481" s="40" t="str">
        <f>IFERROR(__xludf.DUMMYFUNCTION("TEXTJOIN("", "",TRUE,UNIQUE(FILTER('Data Master'!$D$2:$D1887,'Data Master'!$C$2:$C1887=A1481)))"),"birowo.organik@gmail.com")</f>
        <v>birowo.organik@gmail.com</v>
      </c>
    </row>
    <row r="1482" hidden="1">
      <c r="C1482" s="40" t="str">
        <f>IFERROR(__xludf.DUMMYFUNCTION("TEXTJOIN("", "",TRUE,UNIQUE(FILTER('Data Master'!$B$2:$B1887,'Data Master'!$C$2:$C1887=A1482)))"),"petani")</f>
        <v>petani</v>
      </c>
      <c r="D1482" s="40" t="str">
        <f>IFERROR(__xludf.DUMMYFUNCTION("TEXTJOIN("", "",TRUE,UNIQUE(FILTER('Data Master'!$D$2:$D1887,'Data Master'!$C$2:$C1887=A1482)))"),"")</f>
        <v/>
      </c>
    </row>
    <row r="1483" hidden="1">
      <c r="C1483" s="40" t="str">
        <f>IFERROR(__xludf.DUMMYFUNCTION("TEXTJOIN("", "",TRUE,UNIQUE(FILTER('Data Master'!$B$2:$B1887,'Data Master'!$C$2:$C1887=A1483)))"),"petani")</f>
        <v>petani</v>
      </c>
      <c r="D1483" s="40" t="str">
        <f>IFERROR(__xludf.DUMMYFUNCTION("TEXTJOIN("", "",TRUE,UNIQUE(FILTER('Data Master'!$D$2:$D1887,'Data Master'!$C$2:$C1887=A1483)))"),"")</f>
        <v/>
      </c>
    </row>
    <row r="1484" hidden="1">
      <c r="C1484" s="40" t="str">
        <f>IFERROR(__xludf.DUMMYFUNCTION("TEXTJOIN("", "",TRUE,UNIQUE(FILTER('Data Master'!$B$2:$B1887,'Data Master'!$C$2:$C1887=A1484)))"),"petani")</f>
        <v>petani</v>
      </c>
      <c r="D1484" s="40" t="str">
        <f>IFERROR(__xludf.DUMMYFUNCTION("TEXTJOIN("", "",TRUE,UNIQUE(FILTER('Data Master'!$D$2:$D1887,'Data Master'!$C$2:$C1887=A1484)))"),"")</f>
        <v/>
      </c>
    </row>
    <row r="1485" hidden="1">
      <c r="C1485" s="40" t="str">
        <f>IFERROR(__xludf.DUMMYFUNCTION("TEXTJOIN("", "",TRUE,UNIQUE(FILTER('Data Master'!$B$2:$B1887,'Data Master'!$C$2:$C1887=A1485)))"),"petani")</f>
        <v>petani</v>
      </c>
      <c r="D1485" s="40" t="str">
        <f>IFERROR(__xludf.DUMMYFUNCTION("TEXTJOIN("", "",TRUE,UNIQUE(FILTER('Data Master'!$D$2:$D1887,'Data Master'!$C$2:$C1887=A1485)))"),"")</f>
        <v/>
      </c>
    </row>
    <row r="1486" hidden="1">
      <c r="C1486" s="40" t="str">
        <f>IFERROR(__xludf.DUMMYFUNCTION("TEXTJOIN("", "",TRUE,UNIQUE(FILTER('Data Master'!$B$2:$B1887,'Data Master'!$C$2:$C1887=A1486)))"),"petani")</f>
        <v>petani</v>
      </c>
      <c r="D1486" s="40" t="str">
        <f>IFERROR(__xludf.DUMMYFUNCTION("TEXTJOIN("", "",TRUE,UNIQUE(FILTER('Data Master'!$D$2:$D1887,'Data Master'!$C$2:$C1887=A1486)))"),"")</f>
        <v/>
      </c>
    </row>
    <row r="1487" hidden="1">
      <c r="C1487" s="40" t="str">
        <f>IFERROR(__xludf.DUMMYFUNCTION("TEXTJOIN("", "",TRUE,UNIQUE(FILTER('Data Master'!$B$2:$B1887,'Data Master'!$C$2:$C1887=A1487)))"),"petani")</f>
        <v>petani</v>
      </c>
      <c r="D1487" s="40" t="str">
        <f>IFERROR(__xludf.DUMMYFUNCTION("TEXTJOIN("", "",TRUE,UNIQUE(FILTER('Data Master'!$D$2:$D1887,'Data Master'!$C$2:$C1887=A1487)))"),"")</f>
        <v/>
      </c>
    </row>
    <row r="1488" hidden="1">
      <c r="C1488" s="40" t="str">
        <f>IFERROR(__xludf.DUMMYFUNCTION("TEXTJOIN("", "",TRUE,UNIQUE(FILTER('Data Master'!$B$2:$B1887,'Data Master'!$C$2:$C1887=A1488)))"),"petani")</f>
        <v>petani</v>
      </c>
      <c r="D1488" s="40" t="str">
        <f>IFERROR(__xludf.DUMMYFUNCTION("TEXTJOIN("", "",TRUE,UNIQUE(FILTER('Data Master'!$D$2:$D1887,'Data Master'!$C$2:$C1887=A1488)))"),"")</f>
        <v/>
      </c>
    </row>
    <row r="1489" hidden="1">
      <c r="C1489" s="40" t="str">
        <f>IFERROR(__xludf.DUMMYFUNCTION("TEXTJOIN("", "",TRUE,UNIQUE(FILTER('Data Master'!$B$2:$B1887,'Data Master'!$C$2:$C1887=A1489)))"),"petani")</f>
        <v>petani</v>
      </c>
      <c r="D1489" s="40" t="str">
        <f>IFERROR(__xludf.DUMMYFUNCTION("TEXTJOIN("", "",TRUE,UNIQUE(FILTER('Data Master'!$D$2:$D1887,'Data Master'!$C$2:$C1887=A1489)))"),"")</f>
        <v/>
      </c>
    </row>
    <row r="1490" hidden="1">
      <c r="C1490" s="40" t="str">
        <f>IFERROR(__xludf.DUMMYFUNCTION("TEXTJOIN("", "",TRUE,UNIQUE(FILTER('Data Master'!$B$2:$B1887,'Data Master'!$C$2:$C1887=A1490)))"),"penyuluh")</f>
        <v>penyuluh</v>
      </c>
      <c r="D1490" s="40" t="str">
        <f>IFERROR(__xludf.DUMMYFUNCTION("TEXTJOIN("", "",TRUE,UNIQUE(FILTER('Data Master'!$D$2:$D1887,'Data Master'!$C$2:$C1887=A1490)))"),"shaqueensha@gmail.com")</f>
        <v>shaqueensha@gmail.com</v>
      </c>
    </row>
    <row r="1491" hidden="1">
      <c r="C1491" s="40" t="str">
        <f>IFERROR(__xludf.DUMMYFUNCTION("TEXTJOIN("", "",TRUE,UNIQUE(FILTER('Data Master'!$B$2:$B1887,'Data Master'!$C$2:$C1887=A1491)))"),"petani")</f>
        <v>petani</v>
      </c>
      <c r="D1491" s="40" t="str">
        <f>IFERROR(__xludf.DUMMYFUNCTION("TEXTJOIN("", "",TRUE,UNIQUE(FILTER('Data Master'!$D$2:$D1887,'Data Master'!$C$2:$C1887=A1491)))"),"")</f>
        <v/>
      </c>
    </row>
    <row r="1492" hidden="1">
      <c r="C1492" s="40" t="str">
        <f>IFERROR(__xludf.DUMMYFUNCTION("TEXTJOIN("", "",TRUE,UNIQUE(FILTER('Data Master'!$B$2:$B1887,'Data Master'!$C$2:$C1887=A1492)))"),"petani")</f>
        <v>petani</v>
      </c>
      <c r="D1492" s="40" t="str">
        <f>IFERROR(__xludf.DUMMYFUNCTION("TEXTJOIN("", "",TRUE,UNIQUE(FILTER('Data Master'!$D$2:$D1887,'Data Master'!$C$2:$C1887=A1492)))"),"")</f>
        <v/>
      </c>
    </row>
    <row r="1493" hidden="1">
      <c r="C1493" s="40" t="str">
        <f>IFERROR(__xludf.DUMMYFUNCTION("TEXTJOIN("", "",TRUE,UNIQUE(FILTER('Data Master'!$B$2:$B1887,'Data Master'!$C$2:$C1887=A1493)))"),"petani")</f>
        <v>petani</v>
      </c>
      <c r="D1493" s="40" t="str">
        <f>IFERROR(__xludf.DUMMYFUNCTION("TEXTJOIN("", "",TRUE,UNIQUE(FILTER('Data Master'!$D$2:$D1887,'Data Master'!$C$2:$C1887=A1493)))"),"")</f>
        <v/>
      </c>
    </row>
    <row r="1494" hidden="1">
      <c r="C1494" s="40" t="str">
        <f>IFERROR(__xludf.DUMMYFUNCTION("TEXTJOIN("", "",TRUE,UNIQUE(FILTER('Data Master'!$B$2:$B1887,'Data Master'!$C$2:$C1887=A1494)))"),"petani")</f>
        <v>petani</v>
      </c>
      <c r="D1494" s="40" t="str">
        <f>IFERROR(__xludf.DUMMYFUNCTION("TEXTJOIN("", "",TRUE,UNIQUE(FILTER('Data Master'!$D$2:$D1887,'Data Master'!$C$2:$C1887=A1494)))"),"")</f>
        <v/>
      </c>
    </row>
    <row r="1495" hidden="1">
      <c r="C1495" s="40" t="str">
        <f>IFERROR(__xludf.DUMMYFUNCTION("TEXTJOIN("", "",TRUE,UNIQUE(FILTER('Data Master'!$B$2:$B1887,'Data Master'!$C$2:$C1887=A1495)))"),"petani")</f>
        <v>petani</v>
      </c>
      <c r="D1495" s="40" t="str">
        <f>IFERROR(__xludf.DUMMYFUNCTION("TEXTJOIN("", "",TRUE,UNIQUE(FILTER('Data Master'!$D$2:$D1887,'Data Master'!$C$2:$C1887=A1495)))"),"")</f>
        <v/>
      </c>
    </row>
    <row r="1496" hidden="1">
      <c r="C1496" s="40" t="str">
        <f>IFERROR(__xludf.DUMMYFUNCTION("TEXTJOIN("", "",TRUE,UNIQUE(FILTER('Data Master'!$B$2:$B1887,'Data Master'!$C$2:$C1887=A1496)))"),"petani")</f>
        <v>petani</v>
      </c>
      <c r="D1496" s="40" t="str">
        <f>IFERROR(__xludf.DUMMYFUNCTION("TEXTJOIN("", "",TRUE,UNIQUE(FILTER('Data Master'!$D$2:$D1887,'Data Master'!$C$2:$C1887=A1496)))"),"")</f>
        <v/>
      </c>
    </row>
    <row r="1497" hidden="1">
      <c r="C1497" s="40" t="str">
        <f>IFERROR(__xludf.DUMMYFUNCTION("TEXTJOIN("", "",TRUE,UNIQUE(FILTER('Data Master'!$B$2:$B1887,'Data Master'!$C$2:$C1887=A1497)))"),"petani")</f>
        <v>petani</v>
      </c>
      <c r="D1497" s="40" t="str">
        <f>IFERROR(__xludf.DUMMYFUNCTION("TEXTJOIN("", "",TRUE,UNIQUE(FILTER('Data Master'!$D$2:$D1887,'Data Master'!$C$2:$C1887=A1497)))"),"")</f>
        <v/>
      </c>
    </row>
    <row r="1498" hidden="1">
      <c r="C1498" s="40" t="str">
        <f>IFERROR(__xludf.DUMMYFUNCTION("TEXTJOIN("", "",TRUE,UNIQUE(FILTER('Data Master'!$B$2:$B1887,'Data Master'!$C$2:$C1887=A1498)))"),"petani")</f>
        <v>petani</v>
      </c>
      <c r="D1498" s="40" t="str">
        <f>IFERROR(__xludf.DUMMYFUNCTION("TEXTJOIN("", "",TRUE,UNIQUE(FILTER('Data Master'!$D$2:$D1887,'Data Master'!$C$2:$C1887=A1498)))"),"")</f>
        <v/>
      </c>
    </row>
    <row r="1499" hidden="1">
      <c r="C1499" s="40" t="str">
        <f>IFERROR(__xludf.DUMMYFUNCTION("TEXTJOIN("", "",TRUE,UNIQUE(FILTER('Data Master'!$B$2:$B1887,'Data Master'!$C$2:$C1887=A1499)))"),"petani")</f>
        <v>petani</v>
      </c>
      <c r="D1499" s="40" t="str">
        <f>IFERROR(__xludf.DUMMYFUNCTION("TEXTJOIN("", "",TRUE,UNIQUE(FILTER('Data Master'!$D$2:$D1887,'Data Master'!$C$2:$C1887=A1499)))"),"")</f>
        <v/>
      </c>
    </row>
    <row r="1500" hidden="1">
      <c r="C1500" s="40" t="str">
        <f>IFERROR(__xludf.DUMMYFUNCTION("TEXTJOIN("", "",TRUE,UNIQUE(FILTER('Data Master'!$B$2:$B1887,'Data Master'!$C$2:$C1887=A1500)))"),"petani")</f>
        <v>petani</v>
      </c>
      <c r="D1500" s="40" t="str">
        <f>IFERROR(__xludf.DUMMYFUNCTION("TEXTJOIN("", "",TRUE,UNIQUE(FILTER('Data Master'!$D$2:$D1887,'Data Master'!$C$2:$C1887=A1500)))"),"")</f>
        <v/>
      </c>
    </row>
    <row r="1501" hidden="1">
      <c r="C1501" s="40" t="str">
        <f>IFERROR(__xludf.DUMMYFUNCTION("TEXTJOIN("", "",TRUE,UNIQUE(FILTER('Data Master'!$B$2:$B1887,'Data Master'!$C$2:$C1887=A1501)))"),"petani")</f>
        <v>petani</v>
      </c>
      <c r="D1501" s="40" t="str">
        <f>IFERROR(__xludf.DUMMYFUNCTION("TEXTJOIN("", "",TRUE,UNIQUE(FILTER('Data Master'!$D$2:$D1887,'Data Master'!$C$2:$C1887=A1501)))"),"")</f>
        <v/>
      </c>
    </row>
    <row r="1502" hidden="1">
      <c r="C1502" s="40" t="str">
        <f>IFERROR(__xludf.DUMMYFUNCTION("TEXTJOIN("", "",TRUE,UNIQUE(FILTER('Data Master'!$B$2:$B1887,'Data Master'!$C$2:$C1887=A1502)))"),"petani")</f>
        <v>petani</v>
      </c>
      <c r="D1502" s="40" t="str">
        <f>IFERROR(__xludf.DUMMYFUNCTION("TEXTJOIN("", "",TRUE,UNIQUE(FILTER('Data Master'!$D$2:$D1887,'Data Master'!$C$2:$C1887=A1502)))"),"")</f>
        <v/>
      </c>
    </row>
    <row r="1503" hidden="1">
      <c r="C1503" s="40" t="str">
        <f>IFERROR(__xludf.DUMMYFUNCTION("TEXTJOIN("", "",TRUE,UNIQUE(FILTER('Data Master'!$B$2:$B1887,'Data Master'!$C$2:$C1887=A1503)))"),"petani")</f>
        <v>petani</v>
      </c>
      <c r="D1503" s="40" t="str">
        <f>IFERROR(__xludf.DUMMYFUNCTION("TEXTJOIN("", "",TRUE,UNIQUE(FILTER('Data Master'!$D$2:$D1887,'Data Master'!$C$2:$C1887=A1503)))"),"")</f>
        <v/>
      </c>
    </row>
    <row r="1504" hidden="1">
      <c r="C1504" s="40" t="str">
        <f>IFERROR(__xludf.DUMMYFUNCTION("TEXTJOIN("", "",TRUE,UNIQUE(FILTER('Data Master'!$B$2:$B1887,'Data Master'!$C$2:$C1887=A1504)))"),"petani")</f>
        <v>petani</v>
      </c>
      <c r="D1504" s="40" t="str">
        <f>IFERROR(__xludf.DUMMYFUNCTION("TEXTJOIN("", "",TRUE,UNIQUE(FILTER('Data Master'!$D$2:$D1887,'Data Master'!$C$2:$C1887=A1504)))"),"dehapurwoko@gmail.com")</f>
        <v>dehapurwoko@gmail.com</v>
      </c>
    </row>
    <row r="1505" hidden="1">
      <c r="C1505" s="40" t="str">
        <f>IFERROR(__xludf.DUMMYFUNCTION("TEXTJOIN("", "",TRUE,UNIQUE(FILTER('Data Master'!$B$2:$B1887,'Data Master'!$C$2:$C1887=A1505)))"),"petani")</f>
        <v>petani</v>
      </c>
      <c r="D1505" s="40" t="str">
        <f>IFERROR(__xludf.DUMMYFUNCTION("TEXTJOIN("", "",TRUE,UNIQUE(FILTER('Data Master'!$D$2:$D1887,'Data Master'!$C$2:$C1887=A1505)))"),"")</f>
        <v/>
      </c>
    </row>
    <row r="1506" hidden="1">
      <c r="C1506" s="40" t="str">
        <f>IFERROR(__xludf.DUMMYFUNCTION("TEXTJOIN("", "",TRUE,UNIQUE(FILTER('Data Master'!$B$2:$B1887,'Data Master'!$C$2:$C1887=A1506)))"),"petani")</f>
        <v>petani</v>
      </c>
      <c r="D1506" s="40" t="str">
        <f>IFERROR(__xludf.DUMMYFUNCTION("TEXTJOIN("", "",TRUE,UNIQUE(FILTER('Data Master'!$D$2:$D1887,'Data Master'!$C$2:$C1887=A1506)))"),"")</f>
        <v/>
      </c>
    </row>
    <row r="1507" hidden="1">
      <c r="C1507" s="40" t="str">
        <f>IFERROR(__xludf.DUMMYFUNCTION("TEXTJOIN("", "",TRUE,UNIQUE(FILTER('Data Master'!$B$2:$B1887,'Data Master'!$C$2:$C1887=A1507)))"),"petani")</f>
        <v>petani</v>
      </c>
      <c r="D1507" s="40" t="str">
        <f>IFERROR(__xludf.DUMMYFUNCTION("TEXTJOIN("", "",TRUE,UNIQUE(FILTER('Data Master'!$D$2:$D1887,'Data Master'!$C$2:$C1887=A1507)))"),"")</f>
        <v/>
      </c>
    </row>
    <row r="1508" hidden="1">
      <c r="C1508" s="40" t="str">
        <f>IFERROR(__xludf.DUMMYFUNCTION("TEXTJOIN("", "",TRUE,UNIQUE(FILTER('Data Master'!$B$2:$B1887,'Data Master'!$C$2:$C1887=A1508)))"),"penyuluh")</f>
        <v>penyuluh</v>
      </c>
      <c r="D1508" s="40" t="str">
        <f>IFERROR(__xludf.DUMMYFUNCTION("TEXTJOIN("", "",TRUE,UNIQUE(FILTER('Data Master'!$D$2:$D1887,'Data Master'!$C$2:$C1887=A1508)))"),"nul@gmail.com")</f>
        <v>nul@gmail.com</v>
      </c>
    </row>
    <row r="1509" hidden="1">
      <c r="C1509" s="40" t="str">
        <f>IFERROR(__xludf.DUMMYFUNCTION("TEXTJOIN("", "",TRUE,UNIQUE(FILTER('Data Master'!$B$2:$B1887,'Data Master'!$C$2:$C1887=A1509)))"),"petani")</f>
        <v>petani</v>
      </c>
      <c r="D1509" s="40" t="str">
        <f>IFERROR(__xludf.DUMMYFUNCTION("TEXTJOIN("", "",TRUE,UNIQUE(FILTER('Data Master'!$D$2:$D1887,'Data Master'!$C$2:$C1887=A1509)))"),"")</f>
        <v/>
      </c>
    </row>
    <row r="1510" hidden="1">
      <c r="C1510" s="40" t="str">
        <f>IFERROR(__xludf.DUMMYFUNCTION("TEXTJOIN("", "",TRUE,UNIQUE(FILTER('Data Master'!$B$2:$B1887,'Data Master'!$C$2:$C1887=A1510)))"),"petani")</f>
        <v>petani</v>
      </c>
      <c r="D1510" s="40" t="str">
        <f>IFERROR(__xludf.DUMMYFUNCTION("TEXTJOIN("", "",TRUE,UNIQUE(FILTER('Data Master'!$D$2:$D1887,'Data Master'!$C$2:$C1887=A1510)))"),"")</f>
        <v/>
      </c>
    </row>
    <row r="1511" hidden="1">
      <c r="C1511" s="40" t="str">
        <f>IFERROR(__xludf.DUMMYFUNCTION("TEXTJOIN("", "",TRUE,UNIQUE(FILTER('Data Master'!$B$2:$B1887,'Data Master'!$C$2:$C1887=A1511)))"),"petani")</f>
        <v>petani</v>
      </c>
      <c r="D1511" s="40" t="str">
        <f>IFERROR(__xludf.DUMMYFUNCTION("TEXTJOIN("", "",TRUE,UNIQUE(FILTER('Data Master'!$D$2:$D1887,'Data Master'!$C$2:$C1887=A1511)))"),"")</f>
        <v/>
      </c>
    </row>
    <row r="1512" hidden="1">
      <c r="C1512" s="40" t="str">
        <f>IFERROR(__xludf.DUMMYFUNCTION("TEXTJOIN("", "",TRUE,UNIQUE(FILTER('Data Master'!$B$2:$B1887,'Data Master'!$C$2:$C1887=A1512)))"),"petani")</f>
        <v>petani</v>
      </c>
      <c r="D1512" s="40" t="str">
        <f>IFERROR(__xludf.DUMMYFUNCTION("TEXTJOIN("", "",TRUE,UNIQUE(FILTER('Data Master'!$D$2:$D1887,'Data Master'!$C$2:$C1887=A1512)))"),"")</f>
        <v/>
      </c>
    </row>
    <row r="1513" hidden="1">
      <c r="C1513" s="40" t="str">
        <f>IFERROR(__xludf.DUMMYFUNCTION("TEXTJOIN("", "",TRUE,UNIQUE(FILTER('Data Master'!$B$2:$B1887,'Data Master'!$C$2:$C1887=A1513)))"),"petani")</f>
        <v>petani</v>
      </c>
      <c r="D1513" s="40" t="str">
        <f>IFERROR(__xludf.DUMMYFUNCTION("TEXTJOIN("", "",TRUE,UNIQUE(FILTER('Data Master'!$D$2:$D1887,'Data Master'!$C$2:$C1887=A1513)))"),"")</f>
        <v/>
      </c>
    </row>
    <row r="1514" hidden="1">
      <c r="C1514" s="40" t="str">
        <f>IFERROR(__xludf.DUMMYFUNCTION("TEXTJOIN("", "",TRUE,UNIQUE(FILTER('Data Master'!$B$2:$B1887,'Data Master'!$C$2:$C1887=A1514)))"),"petani")</f>
        <v>petani</v>
      </c>
      <c r="D1514" s="40" t="str">
        <f>IFERROR(__xludf.DUMMYFUNCTION("TEXTJOIN("", "",TRUE,UNIQUE(FILTER('Data Master'!$D$2:$D1887,'Data Master'!$C$2:$C1887=A1514)))"),"")</f>
        <v/>
      </c>
    </row>
    <row r="1515" hidden="1">
      <c r="C1515" s="40" t="str">
        <f>IFERROR(__xludf.DUMMYFUNCTION("TEXTJOIN("", "",TRUE,UNIQUE(FILTER('Data Master'!$B$2:$B1887,'Data Master'!$C$2:$C1887=A1515)))"),"petani")</f>
        <v>petani</v>
      </c>
      <c r="D1515" s="40" t="str">
        <f>IFERROR(__xludf.DUMMYFUNCTION("TEXTJOIN("", "",TRUE,UNIQUE(FILTER('Data Master'!$D$2:$D1887,'Data Master'!$C$2:$C1887=A1515)))"),"")</f>
        <v/>
      </c>
    </row>
    <row r="1516" hidden="1">
      <c r="C1516" s="40" t="str">
        <f>IFERROR(__xludf.DUMMYFUNCTION("TEXTJOIN("", "",TRUE,UNIQUE(FILTER('Data Master'!$B$2:$B1887,'Data Master'!$C$2:$C1887=A1516)))"),"petani")</f>
        <v>petani</v>
      </c>
      <c r="D1516" s="40" t="str">
        <f>IFERROR(__xludf.DUMMYFUNCTION("TEXTJOIN("", "",TRUE,UNIQUE(FILTER('Data Master'!$D$2:$D1887,'Data Master'!$C$2:$C1887=A1516)))"),"")</f>
        <v/>
      </c>
    </row>
    <row r="1517" hidden="1">
      <c r="C1517" s="40" t="str">
        <f>IFERROR(__xludf.DUMMYFUNCTION("TEXTJOIN("", "",TRUE,UNIQUE(FILTER('Data Master'!$B$2:$B1887,'Data Master'!$C$2:$C1887=A1517)))"),"petani")</f>
        <v>petani</v>
      </c>
      <c r="D1517" s="40" t="str">
        <f>IFERROR(__xludf.DUMMYFUNCTION("TEXTJOIN("", "",TRUE,UNIQUE(FILTER('Data Master'!$D$2:$D1887,'Data Master'!$C$2:$C1887=A1517)))"),"")</f>
        <v/>
      </c>
    </row>
    <row r="1518" hidden="1">
      <c r="C1518" s="40" t="str">
        <f>IFERROR(__xludf.DUMMYFUNCTION("TEXTJOIN("", "",TRUE,UNIQUE(FILTER('Data Master'!$B$2:$B1887,'Data Master'!$C$2:$C1887=A1518)))"),"petani")</f>
        <v>petani</v>
      </c>
      <c r="D1518" s="40" t="str">
        <f>IFERROR(__xludf.DUMMYFUNCTION("TEXTJOIN("", "",TRUE,UNIQUE(FILTER('Data Master'!$D$2:$D1887,'Data Master'!$C$2:$C1887=A1518)))"),"")</f>
        <v/>
      </c>
    </row>
    <row r="1519" hidden="1">
      <c r="C1519" s="40" t="str">
        <f>IFERROR(__xludf.DUMMYFUNCTION("TEXTJOIN("", "",TRUE,UNIQUE(FILTER('Data Master'!$B$2:$B1887,'Data Master'!$C$2:$C1887=A1519)))"),"petani")</f>
        <v>petani</v>
      </c>
      <c r="D1519" s="40" t="str">
        <f>IFERROR(__xludf.DUMMYFUNCTION("TEXTJOIN("", "",TRUE,UNIQUE(FILTER('Data Master'!$D$2:$D1887,'Data Master'!$C$2:$C1887=A1519)))"),"")</f>
        <v/>
      </c>
    </row>
    <row r="1520" hidden="1">
      <c r="C1520" s="40" t="str">
        <f>IFERROR(__xludf.DUMMYFUNCTION("TEXTJOIN("", "",TRUE,UNIQUE(FILTER('Data Master'!$B$2:$B1887,'Data Master'!$C$2:$C1887=A1520)))"),"petani")</f>
        <v>petani</v>
      </c>
      <c r="D1520" s="40" t="str">
        <f>IFERROR(__xludf.DUMMYFUNCTION("TEXTJOIN("", "",TRUE,UNIQUE(FILTER('Data Master'!$D$2:$D1887,'Data Master'!$C$2:$C1887=A1520)))"),"")</f>
        <v/>
      </c>
    </row>
    <row r="1521" hidden="1">
      <c r="C1521" s="40" t="str">
        <f>IFERROR(__xludf.DUMMYFUNCTION("TEXTJOIN("", "",TRUE,UNIQUE(FILTER('Data Master'!$B$2:$B1887,'Data Master'!$C$2:$C1887=A1521)))"),"petani")</f>
        <v>petani</v>
      </c>
      <c r="D1521" s="40" t="str">
        <f>IFERROR(__xludf.DUMMYFUNCTION("TEXTJOIN("", "",TRUE,UNIQUE(FILTER('Data Master'!$D$2:$D1887,'Data Master'!$C$2:$C1887=A1521)))"),"")</f>
        <v/>
      </c>
    </row>
    <row r="1522" hidden="1">
      <c r="C1522" s="40" t="str">
        <f>IFERROR(__xludf.DUMMYFUNCTION("TEXTJOIN("", "",TRUE,UNIQUE(FILTER('Data Master'!$B$2:$B1887,'Data Master'!$C$2:$C1887=A1522)))"),"petani")</f>
        <v>petani</v>
      </c>
      <c r="D1522" s="40" t="str">
        <f>IFERROR(__xludf.DUMMYFUNCTION("TEXTJOIN("", "",TRUE,UNIQUE(FILTER('Data Master'!$D$2:$D1887,'Data Master'!$C$2:$C1887=A1522)))"),"")</f>
        <v/>
      </c>
    </row>
    <row r="1523" hidden="1">
      <c r="C1523" s="40" t="str">
        <f>IFERROR(__xludf.DUMMYFUNCTION("TEXTJOIN("", "",TRUE,UNIQUE(FILTER('Data Master'!$B$2:$B1887,'Data Master'!$C$2:$C1887=A1523)))"),"petani")</f>
        <v>petani</v>
      </c>
      <c r="D1523" s="40" t="str">
        <f>IFERROR(__xludf.DUMMYFUNCTION("TEXTJOIN("", "",TRUE,UNIQUE(FILTER('Data Master'!$D$2:$D1887,'Data Master'!$C$2:$C1887=A1523)))"),"")</f>
        <v/>
      </c>
    </row>
    <row r="1524" hidden="1">
      <c r="C1524" s="40" t="str">
        <f>IFERROR(__xludf.DUMMYFUNCTION("TEXTJOIN("", "",TRUE,UNIQUE(FILTER('Data Master'!$B$2:$B1887,'Data Master'!$C$2:$C1887=A1524)))"),"petani")</f>
        <v>petani</v>
      </c>
      <c r="D1524" s="40" t="str">
        <f>IFERROR(__xludf.DUMMYFUNCTION("TEXTJOIN("", "",TRUE,UNIQUE(FILTER('Data Master'!$D$2:$D1887,'Data Master'!$C$2:$C1887=A1524)))"),"")</f>
        <v/>
      </c>
    </row>
    <row r="1525" hidden="1">
      <c r="C1525" s="40" t="str">
        <f>IFERROR(__xludf.DUMMYFUNCTION("TEXTJOIN("", "",TRUE,UNIQUE(FILTER('Data Master'!$B$2:$B1887,'Data Master'!$C$2:$C1887=A1525)))"),"petani")</f>
        <v>petani</v>
      </c>
      <c r="D1525" s="40" t="str">
        <f>IFERROR(__xludf.DUMMYFUNCTION("TEXTJOIN("", "",TRUE,UNIQUE(FILTER('Data Master'!$D$2:$D1887,'Data Master'!$C$2:$C1887=A1525)))"),"")</f>
        <v/>
      </c>
    </row>
    <row r="1526" hidden="1">
      <c r="C1526" s="40" t="str">
        <f>IFERROR(__xludf.DUMMYFUNCTION("TEXTJOIN("", "",TRUE,UNIQUE(FILTER('Data Master'!$B$2:$B1887,'Data Master'!$C$2:$C1887=A1526)))"),"petani")</f>
        <v>petani</v>
      </c>
      <c r="D1526" s="40" t="str">
        <f>IFERROR(__xludf.DUMMYFUNCTION("TEXTJOIN("", "",TRUE,UNIQUE(FILTER('Data Master'!$D$2:$D1887,'Data Master'!$C$2:$C1887=A1526)))"),"")</f>
        <v/>
      </c>
    </row>
    <row r="1527" hidden="1">
      <c r="C1527" s="40" t="str">
        <f>IFERROR(__xludf.DUMMYFUNCTION("TEXTJOIN("", "",TRUE,UNIQUE(FILTER('Data Master'!$B$2:$B1887,'Data Master'!$C$2:$C1887=A1527)))"),"petani")</f>
        <v>petani</v>
      </c>
      <c r="D1527" s="40" t="str">
        <f>IFERROR(__xludf.DUMMYFUNCTION("TEXTJOIN("", "",TRUE,UNIQUE(FILTER('Data Master'!$D$2:$D1887,'Data Master'!$C$2:$C1887=A1527)))"),"")</f>
        <v/>
      </c>
    </row>
    <row r="1528" hidden="1">
      <c r="C1528" s="40" t="str">
        <f>IFERROR(__xludf.DUMMYFUNCTION("TEXTJOIN("", "",TRUE,UNIQUE(FILTER('Data Master'!$B$2:$B1887,'Data Master'!$C$2:$C1887=A1528)))"),"petani")</f>
        <v>petani</v>
      </c>
      <c r="D1528" s="40" t="str">
        <f>IFERROR(__xludf.DUMMYFUNCTION("TEXTJOIN("", "",TRUE,UNIQUE(FILTER('Data Master'!$D$2:$D1887,'Data Master'!$C$2:$C1887=A1528)))"),"")</f>
        <v/>
      </c>
    </row>
    <row r="1529" hidden="1">
      <c r="C1529" s="40" t="str">
        <f>IFERROR(__xludf.DUMMYFUNCTION("TEXTJOIN("", "",TRUE,UNIQUE(FILTER('Data Master'!$B$2:$B1887,'Data Master'!$C$2:$C1887=A1529)))"),"petani")</f>
        <v>petani</v>
      </c>
      <c r="D1529" s="40" t="str">
        <f>IFERROR(__xludf.DUMMYFUNCTION("TEXTJOIN("", "",TRUE,UNIQUE(FILTER('Data Master'!$D$2:$D1887,'Data Master'!$C$2:$C1887=A1529)))"),"")</f>
        <v/>
      </c>
    </row>
    <row r="1530" hidden="1">
      <c r="C1530" s="40" t="str">
        <f>IFERROR(__xludf.DUMMYFUNCTION("TEXTJOIN("", "",TRUE,UNIQUE(FILTER('Data Master'!$B$2:$B1887,'Data Master'!$C$2:$C1887=A1530)))"),"petani")</f>
        <v>petani</v>
      </c>
      <c r="D1530" s="40" t="str">
        <f>IFERROR(__xludf.DUMMYFUNCTION("TEXTJOIN("", "",TRUE,UNIQUE(FILTER('Data Master'!$D$2:$D1887,'Data Master'!$C$2:$C1887=A1530)))"),"")</f>
        <v/>
      </c>
    </row>
    <row r="1531" hidden="1">
      <c r="C1531" s="40" t="str">
        <f>IFERROR(__xludf.DUMMYFUNCTION("TEXTJOIN("", "",TRUE,UNIQUE(FILTER('Data Master'!$B$2:$B1887,'Data Master'!$C$2:$C1887=A1531)))"),"petani")</f>
        <v>petani</v>
      </c>
      <c r="D1531" s="40" t="str">
        <f>IFERROR(__xludf.DUMMYFUNCTION("TEXTJOIN("", "",TRUE,UNIQUE(FILTER('Data Master'!$D$2:$D1887,'Data Master'!$C$2:$C1887=A1531)))"),"")</f>
        <v/>
      </c>
    </row>
    <row r="1532" hidden="1">
      <c r="C1532" s="40" t="str">
        <f>IFERROR(__xludf.DUMMYFUNCTION("TEXTJOIN("", "",TRUE,UNIQUE(FILTER('Data Master'!$B$2:$B1887,'Data Master'!$C$2:$C1887=A1532)))"),"petani")</f>
        <v>petani</v>
      </c>
      <c r="D1532" s="40" t="str">
        <f>IFERROR(__xludf.DUMMYFUNCTION("TEXTJOIN("", "",TRUE,UNIQUE(FILTER('Data Master'!$D$2:$D1887,'Data Master'!$C$2:$C1887=A1532)))"),"")</f>
        <v/>
      </c>
    </row>
    <row r="1533" hidden="1">
      <c r="C1533" s="40" t="str">
        <f>IFERROR(__xludf.DUMMYFUNCTION("TEXTJOIN("", "",TRUE,UNIQUE(FILTER('Data Master'!$B$2:$B1887,'Data Master'!$C$2:$C1887=A1533)))"),"petani")</f>
        <v>petani</v>
      </c>
      <c r="D1533" s="40" t="str">
        <f>IFERROR(__xludf.DUMMYFUNCTION("TEXTJOIN("", "",TRUE,UNIQUE(FILTER('Data Master'!$D$2:$D1887,'Data Master'!$C$2:$C1887=A1533)))"),"")</f>
        <v/>
      </c>
    </row>
    <row r="1534" hidden="1">
      <c r="C1534" s="40" t="str">
        <f>IFERROR(__xludf.DUMMYFUNCTION("TEXTJOIN("", "",TRUE,UNIQUE(FILTER('Data Master'!$B$2:$B1887,'Data Master'!$C$2:$C1887=A1534)))"),"petani")</f>
        <v>petani</v>
      </c>
      <c r="D1534" s="40" t="str">
        <f>IFERROR(__xludf.DUMMYFUNCTION("TEXTJOIN("", "",TRUE,UNIQUE(FILTER('Data Master'!$D$2:$D1887,'Data Master'!$C$2:$C1887=A1534)))"),"")</f>
        <v/>
      </c>
    </row>
    <row r="1535" hidden="1">
      <c r="C1535" s="40" t="str">
        <f>IFERROR(__xludf.DUMMYFUNCTION("TEXTJOIN("", "",TRUE,UNIQUE(FILTER('Data Master'!$B$2:$B1887,'Data Master'!$C$2:$C1887=A1535)))"),"petani")</f>
        <v>petani</v>
      </c>
      <c r="D1535" s="40" t="str">
        <f>IFERROR(__xludf.DUMMYFUNCTION("TEXTJOIN("", "",TRUE,UNIQUE(FILTER('Data Master'!$D$2:$D1887,'Data Master'!$C$2:$C1887=A1535)))"),"")</f>
        <v/>
      </c>
    </row>
    <row r="1536" hidden="1">
      <c r="C1536" s="40" t="str">
        <f>IFERROR(__xludf.DUMMYFUNCTION("TEXTJOIN("", "",TRUE,UNIQUE(FILTER('Data Master'!$B$2:$B1887,'Data Master'!$C$2:$C1887=A1536)))"),"petani")</f>
        <v>petani</v>
      </c>
      <c r="D1536" s="40" t="str">
        <f>IFERROR(__xludf.DUMMYFUNCTION("TEXTJOIN("", "",TRUE,UNIQUE(FILTER('Data Master'!$D$2:$D1887,'Data Master'!$C$2:$C1887=A1536)))"),"")</f>
        <v/>
      </c>
    </row>
    <row r="1537" hidden="1">
      <c r="C1537" s="40" t="str">
        <f>IFERROR(__xludf.DUMMYFUNCTION("TEXTJOIN("", "",TRUE,UNIQUE(FILTER('Data Master'!$B$2:$B1887,'Data Master'!$C$2:$C1887=A1537)))"),"petani")</f>
        <v>petani</v>
      </c>
      <c r="D1537" s="40" t="str">
        <f>IFERROR(__xludf.DUMMYFUNCTION("TEXTJOIN("", "",TRUE,UNIQUE(FILTER('Data Master'!$D$2:$D1887,'Data Master'!$C$2:$C1887=A1537)))"),"")</f>
        <v/>
      </c>
    </row>
    <row r="1538" hidden="1">
      <c r="C1538" s="40" t="str">
        <f>IFERROR(__xludf.DUMMYFUNCTION("TEXTJOIN("", "",TRUE,UNIQUE(FILTER('Data Master'!$B$2:$B1887,'Data Master'!$C$2:$C1887=A1538)))"),"penyuluh")</f>
        <v>penyuluh</v>
      </c>
      <c r="D1538" s="40" t="str">
        <f>IFERROR(__xludf.DUMMYFUNCTION("TEXTJOIN("", "",TRUE,UNIQUE(FILTER('Data Master'!$D$2:$D1887,'Data Master'!$C$2:$C1887=A1538)))"),"sugiantoraffi@gmail.com")</f>
        <v>sugiantoraffi@gmail.com</v>
      </c>
    </row>
    <row r="1539" hidden="1">
      <c r="C1539" s="40" t="str">
        <f>IFERROR(__xludf.DUMMYFUNCTION("TEXTJOIN("", "",TRUE,UNIQUE(FILTER('Data Master'!$B$2:$B1887,'Data Master'!$C$2:$C1887=A1539)))"),"petani")</f>
        <v>petani</v>
      </c>
      <c r="D1539" s="40" t="str">
        <f>IFERROR(__xludf.DUMMYFUNCTION("TEXTJOIN("", "",TRUE,UNIQUE(FILTER('Data Master'!$D$2:$D1887,'Data Master'!$C$2:$C1887=A1539)))"),"")</f>
        <v/>
      </c>
    </row>
    <row r="1540" hidden="1">
      <c r="C1540" s="40" t="str">
        <f>IFERROR(__xludf.DUMMYFUNCTION("TEXTJOIN("", "",TRUE,UNIQUE(FILTER('Data Master'!$B$2:$B1887,'Data Master'!$C$2:$C1887=A1540)))"),"petani")</f>
        <v>petani</v>
      </c>
      <c r="D1540" s="40" t="str">
        <f>IFERROR(__xludf.DUMMYFUNCTION("TEXTJOIN("", "",TRUE,UNIQUE(FILTER('Data Master'!$D$2:$D1887,'Data Master'!$C$2:$C1887=A1540)))"),"")</f>
        <v/>
      </c>
    </row>
    <row r="1541" hidden="1">
      <c r="C1541" s="40" t="str">
        <f>IFERROR(__xludf.DUMMYFUNCTION("TEXTJOIN("", "",TRUE,UNIQUE(FILTER('Data Master'!$B$2:$B1887,'Data Master'!$C$2:$C1887=A1541)))"),"petani")</f>
        <v>petani</v>
      </c>
      <c r="D1541" s="40" t="str">
        <f>IFERROR(__xludf.DUMMYFUNCTION("TEXTJOIN("", "",TRUE,UNIQUE(FILTER('Data Master'!$D$2:$D1887,'Data Master'!$C$2:$C1887=A1541)))"),"")</f>
        <v/>
      </c>
    </row>
    <row r="1542" hidden="1">
      <c r="C1542" s="40" t="str">
        <f>IFERROR(__xludf.DUMMYFUNCTION("TEXTJOIN("", "",TRUE,UNIQUE(FILTER('Data Master'!$B$2:$B1887,'Data Master'!$C$2:$C1887=A1542)))"),"petani")</f>
        <v>petani</v>
      </c>
      <c r="D1542" s="40" t="str">
        <f>IFERROR(__xludf.DUMMYFUNCTION("TEXTJOIN("", "",TRUE,UNIQUE(FILTER('Data Master'!$D$2:$D1887,'Data Master'!$C$2:$C1887=A1542)))"),"")</f>
        <v/>
      </c>
    </row>
    <row r="1543" hidden="1">
      <c r="C1543" s="40" t="str">
        <f>IFERROR(__xludf.DUMMYFUNCTION("TEXTJOIN("", "",TRUE,UNIQUE(FILTER('Data Master'!$B$2:$B1887,'Data Master'!$C$2:$C1887=A1543)))"),"petani")</f>
        <v>petani</v>
      </c>
      <c r="D1543" s="40" t="str">
        <f>IFERROR(__xludf.DUMMYFUNCTION("TEXTJOIN("", "",TRUE,UNIQUE(FILTER('Data Master'!$D$2:$D1887,'Data Master'!$C$2:$C1887=A1543)))"),"")</f>
        <v/>
      </c>
    </row>
    <row r="1544" hidden="1">
      <c r="C1544" s="40" t="str">
        <f>IFERROR(__xludf.DUMMYFUNCTION("TEXTJOIN("", "",TRUE,UNIQUE(FILTER('Data Master'!$B$2:$B1887,'Data Master'!$C$2:$C1887=A1544)))"),"penyuluh")</f>
        <v>penyuluh</v>
      </c>
      <c r="D1544" s="40" t="str">
        <f>IFERROR(__xludf.DUMMYFUNCTION("TEXTJOIN("", "",TRUE,UNIQUE(FILTER('Data Master'!$D$2:$D1887,'Data Master'!$C$2:$C1887=A1544)))"),"sugiyantavina@gmail.com")</f>
        <v>sugiyantavina@gmail.com</v>
      </c>
    </row>
    <row r="1545" hidden="1">
      <c r="C1545" s="40" t="str">
        <f>IFERROR(__xludf.DUMMYFUNCTION("TEXTJOIN("", "",TRUE,UNIQUE(FILTER('Data Master'!$B$2:$B1887,'Data Master'!$C$2:$C1887=A1545)))"),"petani")</f>
        <v>petani</v>
      </c>
      <c r="D1545" s="40" t="str">
        <f>IFERROR(__xludf.DUMMYFUNCTION("TEXTJOIN("", "",TRUE,UNIQUE(FILTER('Data Master'!$D$2:$D1887,'Data Master'!$C$2:$C1887=A1545)))"),"")</f>
        <v/>
      </c>
    </row>
    <row r="1546" hidden="1">
      <c r="C1546" s="40" t="str">
        <f>IFERROR(__xludf.DUMMYFUNCTION("TEXTJOIN("", "",TRUE,UNIQUE(FILTER('Data Master'!$B$2:$B1887,'Data Master'!$C$2:$C1887=A1546)))"),"operator admin, penyuluh")</f>
        <v>operator admin, penyuluh</v>
      </c>
      <c r="D1546" s="40" t="str">
        <f>IFERROR(__xludf.DUMMYFUNCTION("TEXTJOIN("", "",TRUE,UNIQUE(FILTER('Data Master'!$D$2:$D1887,'Data Master'!$C$2:$C1887=A1546)))"),"bppkarangjati@gmail.com, Sugi14juni@gmail.com")</f>
        <v>bppkarangjati@gmail.com, Sugi14juni@gmail.com</v>
      </c>
    </row>
    <row r="1547" hidden="1">
      <c r="C1547" s="40" t="str">
        <f>IFERROR(__xludf.DUMMYFUNCTION("TEXTJOIN("", "",TRUE,UNIQUE(FILTER('Data Master'!$B$2:$B1887,'Data Master'!$C$2:$C1887=A1547)))"),"penyuluh")</f>
        <v>penyuluh</v>
      </c>
      <c r="D1547" s="40" t="str">
        <f>IFERROR(__xludf.DUMMYFUNCTION("TEXTJOIN("", "",TRUE,UNIQUE(FILTER('Data Master'!$D$2:$D1887,'Data Master'!$C$2:$C1887=A1547)))"),"Sugi14juni@gmail.com")</f>
        <v>Sugi14juni@gmail.com</v>
      </c>
    </row>
    <row r="1548" hidden="1">
      <c r="C1548" s="40" t="str">
        <f>IFERROR(__xludf.DUMMYFUNCTION("TEXTJOIN("", "",TRUE,UNIQUE(FILTER('Data Master'!$B$2:$B1887,'Data Master'!$C$2:$C1887=A1548)))"),"petani")</f>
        <v>petani</v>
      </c>
      <c r="D1548" s="40" t="str">
        <f>IFERROR(__xludf.DUMMYFUNCTION("TEXTJOIN("", "",TRUE,UNIQUE(FILTER('Data Master'!$D$2:$D1887,'Data Master'!$C$2:$C1887=A1548)))"),"")</f>
        <v/>
      </c>
    </row>
    <row r="1549" hidden="1">
      <c r="C1549" s="40" t="str">
        <f>IFERROR(__xludf.DUMMYFUNCTION("TEXTJOIN("", "",TRUE,UNIQUE(FILTER('Data Master'!$B$2:$B1887,'Data Master'!$C$2:$C1887=A1549)))"),"penyuluh")</f>
        <v>penyuluh</v>
      </c>
      <c r="D1549" s="40" t="str">
        <f>IFERROR(__xludf.DUMMYFUNCTION("TEXTJOIN("", "",TRUE,UNIQUE(FILTER('Data Master'!$D$2:$D1887,'Data Master'!$C$2:$C1887=A1549)))"),"sugiyartougik93@gmail.com")</f>
        <v>sugiyartougik93@gmail.com</v>
      </c>
    </row>
    <row r="1550" hidden="1">
      <c r="C1550" s="40" t="str">
        <f>IFERROR(__xludf.DUMMYFUNCTION("TEXTJOIN("", "",TRUE,UNIQUE(FILTER('Data Master'!$B$2:$B1887,'Data Master'!$C$2:$C1887=A1550)))"),"petani")</f>
        <v>petani</v>
      </c>
      <c r="D1550" s="40" t="str">
        <f>IFERROR(__xludf.DUMMYFUNCTION("TEXTJOIN("", "",TRUE,UNIQUE(FILTER('Data Master'!$D$2:$D1887,'Data Master'!$C$2:$C1887=A1550)))"),"")</f>
        <v/>
      </c>
    </row>
    <row r="1551" hidden="1">
      <c r="C1551" s="40" t="str">
        <f>IFERROR(__xludf.DUMMYFUNCTION("TEXTJOIN("", "",TRUE,UNIQUE(FILTER('Data Master'!$B$2:$B1887,'Data Master'!$C$2:$C1887=A1551)))"),"petani")</f>
        <v>petani</v>
      </c>
      <c r="D1551" s="40" t="str">
        <f>IFERROR(__xludf.DUMMYFUNCTION("TEXTJOIN("", "",TRUE,UNIQUE(FILTER('Data Master'!$D$2:$D1887,'Data Master'!$C$2:$C1887=A1551)))"),"")</f>
        <v/>
      </c>
    </row>
    <row r="1552" hidden="1">
      <c r="C1552" s="40" t="str">
        <f>IFERROR(__xludf.DUMMYFUNCTION("TEXTJOIN("", "",TRUE,UNIQUE(FILTER('Data Master'!$B$2:$B1887,'Data Master'!$C$2:$C1887=A1552)))"),"petani")</f>
        <v>petani</v>
      </c>
      <c r="D1552" s="40" t="str">
        <f>IFERROR(__xludf.DUMMYFUNCTION("TEXTJOIN("", "",TRUE,UNIQUE(FILTER('Data Master'!$D$2:$D1887,'Data Master'!$C$2:$C1887=A1552)))"),"")</f>
        <v/>
      </c>
    </row>
    <row r="1553" hidden="1">
      <c r="C1553" s="40" t="str">
        <f>IFERROR(__xludf.DUMMYFUNCTION("TEXTJOIN("", "",TRUE,UNIQUE(FILTER('Data Master'!$B$2:$B1887,'Data Master'!$C$2:$C1887=A1553)))"),"petani")</f>
        <v>petani</v>
      </c>
      <c r="D1553" s="40" t="str">
        <f>IFERROR(__xludf.DUMMYFUNCTION("TEXTJOIN("", "",TRUE,UNIQUE(FILTER('Data Master'!$D$2:$D1887,'Data Master'!$C$2:$C1887=A1553)))"),"")</f>
        <v/>
      </c>
    </row>
    <row r="1554" hidden="1">
      <c r="C1554" s="40" t="str">
        <f>IFERROR(__xludf.DUMMYFUNCTION("TEXTJOIN("", "",TRUE,UNIQUE(FILTER('Data Master'!$B$2:$B1887,'Data Master'!$C$2:$C1887=A1554)))"),"penyuluh")</f>
        <v>penyuluh</v>
      </c>
      <c r="D1554" s="40" t="str">
        <f>IFERROR(__xludf.DUMMYFUNCTION("TEXTJOIN("", "",TRUE,UNIQUE(FILTER('Data Master'!$D$2:$D1887,'Data Master'!$C$2:$C1887=A1554)))"),"totokpadas@gmail.com")</f>
        <v>totokpadas@gmail.com</v>
      </c>
    </row>
    <row r="1555" hidden="1">
      <c r="C1555" s="40" t="str">
        <f>IFERROR(__xludf.DUMMYFUNCTION("TEXTJOIN("", "",TRUE,UNIQUE(FILTER('Data Master'!$B$2:$B1887,'Data Master'!$C$2:$C1887=A1555)))"),"petani")</f>
        <v>petani</v>
      </c>
      <c r="D1555" s="40" t="str">
        <f>IFERROR(__xludf.DUMMYFUNCTION("TEXTJOIN("", "",TRUE,UNIQUE(FILTER('Data Master'!$D$2:$D1887,'Data Master'!$C$2:$C1887=A1555)))"),"")</f>
        <v/>
      </c>
    </row>
    <row r="1556" hidden="1">
      <c r="C1556" s="40" t="str">
        <f>IFERROR(__xludf.DUMMYFUNCTION("TEXTJOIN("", "",TRUE,UNIQUE(FILTER('Data Master'!$B$2:$B1887,'Data Master'!$C$2:$C1887=A1556)))"),"petani")</f>
        <v>petani</v>
      </c>
      <c r="D1556" s="40" t="str">
        <f>IFERROR(__xludf.DUMMYFUNCTION("TEXTJOIN("", "",TRUE,UNIQUE(FILTER('Data Master'!$D$2:$D1887,'Data Master'!$C$2:$C1887=A1556)))"),"")</f>
        <v/>
      </c>
    </row>
    <row r="1557" hidden="1">
      <c r="C1557" s="40" t="str">
        <f>IFERROR(__xludf.DUMMYFUNCTION("TEXTJOIN("", "",TRUE,UNIQUE(FILTER('Data Master'!$B$2:$B1887,'Data Master'!$C$2:$C1887=A1557)))"),"petani")</f>
        <v>petani</v>
      </c>
      <c r="D1557" s="40" t="str">
        <f>IFERROR(__xludf.DUMMYFUNCTION("TEXTJOIN("", "",TRUE,UNIQUE(FILTER('Data Master'!$D$2:$D1887,'Data Master'!$C$2:$C1887=A1557)))"),"")</f>
        <v/>
      </c>
    </row>
    <row r="1558" hidden="1">
      <c r="C1558" s="40" t="str">
        <f>IFERROR(__xludf.DUMMYFUNCTION("TEXTJOIN("", "",TRUE,UNIQUE(FILTER('Data Master'!$B$2:$B1887,'Data Master'!$C$2:$C1887=A1558)))"),"petani")</f>
        <v>petani</v>
      </c>
      <c r="D1558" s="40" t="str">
        <f>IFERROR(__xludf.DUMMYFUNCTION("TEXTJOIN("", "",TRUE,UNIQUE(FILTER('Data Master'!$D$2:$D1887,'Data Master'!$C$2:$C1887=A1558)))"),"")</f>
        <v/>
      </c>
    </row>
    <row r="1559" hidden="1">
      <c r="C1559" s="40" t="str">
        <f>IFERROR(__xludf.DUMMYFUNCTION("TEXTJOIN("", "",TRUE,UNIQUE(FILTER('Data Master'!$B$2:$B1887,'Data Master'!$C$2:$C1887=A1559)))"),"operator admin, penyuluh")</f>
        <v>operator admin, penyuluh</v>
      </c>
      <c r="D1559" s="40" t="str">
        <f>IFERROR(__xludf.DUMMYFUNCTION("TEXTJOIN("", "",TRUE,UNIQUE(FILTER('Data Master'!$D$2:$D1887,'Data Master'!$C$2:$C1887=A1559)))"),"bpppitoe@gmail.com, jitoahnaf00742@gmail.com")</f>
        <v>bpppitoe@gmail.com, jitoahnaf00742@gmail.com</v>
      </c>
    </row>
    <row r="1560" hidden="1">
      <c r="C1560" s="40" t="str">
        <f>IFERROR(__xludf.DUMMYFUNCTION("TEXTJOIN("", "",TRUE,UNIQUE(FILTER('Data Master'!$B$2:$B1887,'Data Master'!$C$2:$C1887=A1560)))"),"petani")</f>
        <v>petani</v>
      </c>
      <c r="D1560" s="40" t="str">
        <f>IFERROR(__xludf.DUMMYFUNCTION("TEXTJOIN("", "",TRUE,UNIQUE(FILTER('Data Master'!$D$2:$D1887,'Data Master'!$C$2:$C1887=A1560)))"),"")</f>
        <v/>
      </c>
    </row>
    <row r="1561" hidden="1">
      <c r="C1561" s="40" t="str">
        <f>IFERROR(__xludf.DUMMYFUNCTION("TEXTJOIN("", "",TRUE,UNIQUE(FILTER('Data Master'!$B$2:$B1887,'Data Master'!$C$2:$C1887=A1561)))"),"petani")</f>
        <v>petani</v>
      </c>
      <c r="D1561" s="40" t="str">
        <f>IFERROR(__xludf.DUMMYFUNCTION("TEXTJOIN("", "",TRUE,UNIQUE(FILTER('Data Master'!$D$2:$D1887,'Data Master'!$C$2:$C1887=A1561)))"),"")</f>
        <v/>
      </c>
    </row>
    <row r="1562" hidden="1">
      <c r="C1562" s="40" t="str">
        <f>IFERROR(__xludf.DUMMYFUNCTION("TEXTJOIN("", "",TRUE,UNIQUE(FILTER('Data Master'!$B$2:$B1887,'Data Master'!$C$2:$C1887=A1562)))"),"petani")</f>
        <v>petani</v>
      </c>
      <c r="D1562" s="40" t="str">
        <f>IFERROR(__xludf.DUMMYFUNCTION("TEXTJOIN("", "",TRUE,UNIQUE(FILTER('Data Master'!$D$2:$D1887,'Data Master'!$C$2:$C1887=A1562)))"),"")</f>
        <v/>
      </c>
    </row>
    <row r="1563" hidden="1">
      <c r="C1563" s="40" t="str">
        <f>IFERROR(__xludf.DUMMYFUNCTION("TEXTJOIN("", "",TRUE,UNIQUE(FILTER('Data Master'!$B$2:$B1887,'Data Master'!$C$2:$C1887=A1563)))"),"petani")</f>
        <v>petani</v>
      </c>
      <c r="D1563" s="40" t="str">
        <f>IFERROR(__xludf.DUMMYFUNCTION("TEXTJOIN("", "",TRUE,UNIQUE(FILTER('Data Master'!$D$2:$D1887,'Data Master'!$C$2:$C1887=A1563)))"),"")</f>
        <v/>
      </c>
    </row>
    <row r="1564" hidden="1">
      <c r="C1564" s="40" t="str">
        <f>IFERROR(__xludf.DUMMYFUNCTION("TEXTJOIN("", "",TRUE,UNIQUE(FILTER('Data Master'!$B$2:$B1887,'Data Master'!$C$2:$C1887=A1564)))"),"petani")</f>
        <v>petani</v>
      </c>
      <c r="D1564" s="40" t="str">
        <f>IFERROR(__xludf.DUMMYFUNCTION("TEXTJOIN("", "",TRUE,UNIQUE(FILTER('Data Master'!$D$2:$D1887,'Data Master'!$C$2:$C1887=A1564)))"),"")</f>
        <v/>
      </c>
    </row>
    <row r="1565" hidden="1">
      <c r="C1565" s="40" t="str">
        <f>IFERROR(__xludf.DUMMYFUNCTION("TEXTJOIN("", "",TRUE,UNIQUE(FILTER('Data Master'!$B$2:$B1887,'Data Master'!$C$2:$C1887=A1565)))"),"petani")</f>
        <v>petani</v>
      </c>
      <c r="D1565" s="40" t="str">
        <f>IFERROR(__xludf.DUMMYFUNCTION("TEXTJOIN("", "",TRUE,UNIQUE(FILTER('Data Master'!$D$2:$D1887,'Data Master'!$C$2:$C1887=A1565)))"),"")</f>
        <v/>
      </c>
    </row>
    <row r="1566" hidden="1">
      <c r="C1566" s="40" t="str">
        <f>IFERROR(__xludf.DUMMYFUNCTION("TEXTJOIN("", "",TRUE,UNIQUE(FILTER('Data Master'!$B$2:$B1887,'Data Master'!$C$2:$C1887=A1566)))"),"petani")</f>
        <v>petani</v>
      </c>
      <c r="D1566" s="40" t="str">
        <f>IFERROR(__xludf.DUMMYFUNCTION("TEXTJOIN("", "",TRUE,UNIQUE(FILTER('Data Master'!$D$2:$D1887,'Data Master'!$C$2:$C1887=A1566)))"),"")</f>
        <v/>
      </c>
    </row>
    <row r="1567" hidden="1">
      <c r="C1567" s="40" t="str">
        <f>IFERROR(__xludf.DUMMYFUNCTION("TEXTJOIN("", "",TRUE,UNIQUE(FILTER('Data Master'!$B$2:$B1887,'Data Master'!$C$2:$C1887=A1567)))"),"petani")</f>
        <v>petani</v>
      </c>
      <c r="D1567" s="40" t="str">
        <f>IFERROR(__xludf.DUMMYFUNCTION("TEXTJOIN("", "",TRUE,UNIQUE(FILTER('Data Master'!$D$2:$D1887,'Data Master'!$C$2:$C1887=A1567)))"),"")</f>
        <v/>
      </c>
    </row>
    <row r="1568" hidden="1">
      <c r="C1568" s="40" t="str">
        <f>IFERROR(__xludf.DUMMYFUNCTION("TEXTJOIN("", "",TRUE,UNIQUE(FILTER('Data Master'!$B$2:$B1887,'Data Master'!$C$2:$C1887=A1568)))"),"petani")</f>
        <v>petani</v>
      </c>
      <c r="D1568" s="40" t="str">
        <f>IFERROR(__xludf.DUMMYFUNCTION("TEXTJOIN("", "",TRUE,UNIQUE(FILTER('Data Master'!$D$2:$D1887,'Data Master'!$C$2:$C1887=A1568)))"),"")</f>
        <v/>
      </c>
    </row>
    <row r="1569" hidden="1">
      <c r="C1569" s="40" t="str">
        <f>IFERROR(__xludf.DUMMYFUNCTION("TEXTJOIN("", "",TRUE,UNIQUE(FILTER('Data Master'!$B$2:$B1887,'Data Master'!$C$2:$C1887=A1569)))"),"petani")</f>
        <v>petani</v>
      </c>
      <c r="D1569" s="40" t="str">
        <f>IFERROR(__xludf.DUMMYFUNCTION("TEXTJOIN("", "",TRUE,UNIQUE(FILTER('Data Master'!$D$2:$D1887,'Data Master'!$C$2:$C1887=A1569)))"),"")</f>
        <v/>
      </c>
    </row>
    <row r="1570" hidden="1">
      <c r="C1570" s="40" t="str">
        <f>IFERROR(__xludf.DUMMYFUNCTION("TEXTJOIN("", "",TRUE,UNIQUE(FILTER('Data Master'!$B$2:$B1887,'Data Master'!$C$2:$C1887=A1570)))"),"petani")</f>
        <v>petani</v>
      </c>
      <c r="D1570" s="40" t="str">
        <f>IFERROR(__xludf.DUMMYFUNCTION("TEXTJOIN("", "",TRUE,UNIQUE(FILTER('Data Master'!$D$2:$D1887,'Data Master'!$C$2:$C1887=A1570)))"),"")</f>
        <v/>
      </c>
    </row>
    <row r="1571" hidden="1">
      <c r="C1571" s="40" t="str">
        <f>IFERROR(__xludf.DUMMYFUNCTION("TEXTJOIN("", "",TRUE,UNIQUE(FILTER('Data Master'!$B$2:$B1887,'Data Master'!$C$2:$C1887=A1571)))"),"penyuluh")</f>
        <v>penyuluh</v>
      </c>
      <c r="D1571" s="40" t="str">
        <f>IFERROR(__xludf.DUMMYFUNCTION("TEXTJOIN("", "",TRUE,UNIQUE(FILTER('Data Master'!$D$2:$D1887,'Data Master'!$C$2:$C1887=A1571)))"),"")</f>
        <v/>
      </c>
    </row>
    <row r="1572" hidden="1">
      <c r="C1572" s="40" t="str">
        <f>IFERROR(__xludf.DUMMYFUNCTION("TEXTJOIN("", "",TRUE,UNIQUE(FILTER('Data Master'!$B$2:$B1887,'Data Master'!$C$2:$C1887=A1572)))"),"petani")</f>
        <v>petani</v>
      </c>
      <c r="D1572" s="40" t="str">
        <f>IFERROR(__xludf.DUMMYFUNCTION("TEXTJOIN("", "",TRUE,UNIQUE(FILTER('Data Master'!$D$2:$D1887,'Data Master'!$C$2:$C1887=A1572)))"),"")</f>
        <v/>
      </c>
    </row>
    <row r="1573" hidden="1">
      <c r="C1573" s="40" t="str">
        <f>IFERROR(__xludf.DUMMYFUNCTION("TEXTJOIN("", "",TRUE,UNIQUE(FILTER('Data Master'!$B$2:$B1887,'Data Master'!$C$2:$C1887=A1573)))"),"petani")</f>
        <v>petani</v>
      </c>
      <c r="D1573" s="40" t="str">
        <f>IFERROR(__xludf.DUMMYFUNCTION("TEXTJOIN("", "",TRUE,UNIQUE(FILTER('Data Master'!$D$2:$D1887,'Data Master'!$C$2:$C1887=A1573)))"),"")</f>
        <v/>
      </c>
    </row>
    <row r="1574" hidden="1">
      <c r="C1574" s="40" t="str">
        <f>IFERROR(__xludf.DUMMYFUNCTION("TEXTJOIN("", "",TRUE,UNIQUE(FILTER('Data Master'!$B$2:$B1887,'Data Master'!$C$2:$C1887=A1574)))"),"petani")</f>
        <v>petani</v>
      </c>
      <c r="D1574" s="40" t="str">
        <f>IFERROR(__xludf.DUMMYFUNCTION("TEXTJOIN("", "",TRUE,UNIQUE(FILTER('Data Master'!$D$2:$D1887,'Data Master'!$C$2:$C1887=A1574)))"),"")</f>
        <v/>
      </c>
    </row>
    <row r="1575" hidden="1">
      <c r="C1575" s="40" t="str">
        <f>IFERROR(__xludf.DUMMYFUNCTION("TEXTJOIN("", "",TRUE,UNIQUE(FILTER('Data Master'!$B$2:$B1887,'Data Master'!$C$2:$C1887=A1575)))"),"petani")</f>
        <v>petani</v>
      </c>
      <c r="D1575" s="40" t="str">
        <f>IFERROR(__xludf.DUMMYFUNCTION("TEXTJOIN("", "",TRUE,UNIQUE(FILTER('Data Master'!$D$2:$D1887,'Data Master'!$C$2:$C1887=A1575)))"),"")</f>
        <v/>
      </c>
    </row>
    <row r="1576" hidden="1">
      <c r="C1576" s="40" t="str">
        <f>IFERROR(__xludf.DUMMYFUNCTION("TEXTJOIN("", "",TRUE,UNIQUE(FILTER('Data Master'!$B$2:$B1887,'Data Master'!$C$2:$C1887=A1576)))"),"petani")</f>
        <v>petani</v>
      </c>
      <c r="D1576" s="40" t="str">
        <f>IFERROR(__xludf.DUMMYFUNCTION("TEXTJOIN("", "",TRUE,UNIQUE(FILTER('Data Master'!$D$2:$D1887,'Data Master'!$C$2:$C1887=A1576)))"),"")</f>
        <v/>
      </c>
    </row>
    <row r="1577" hidden="1">
      <c r="C1577" s="40" t="str">
        <f>IFERROR(__xludf.DUMMYFUNCTION("TEXTJOIN("", "",TRUE,UNIQUE(FILTER('Data Master'!$B$2:$B1887,'Data Master'!$C$2:$C1887=A1577)))"),"petani")</f>
        <v>petani</v>
      </c>
      <c r="D1577" s="40" t="str">
        <f>IFERROR(__xludf.DUMMYFUNCTION("TEXTJOIN("", "",TRUE,UNIQUE(FILTER('Data Master'!$D$2:$D1887,'Data Master'!$C$2:$C1887=A1577)))"),"")</f>
        <v/>
      </c>
    </row>
    <row r="1578" hidden="1">
      <c r="C1578" s="40" t="str">
        <f>IFERROR(__xludf.DUMMYFUNCTION("TEXTJOIN("", "",TRUE,UNIQUE(FILTER('Data Master'!$B$2:$B1887,'Data Master'!$C$2:$C1887=A1578)))"),"petani")</f>
        <v>petani</v>
      </c>
      <c r="D1578" s="40" t="str">
        <f>IFERROR(__xludf.DUMMYFUNCTION("TEXTJOIN("", "",TRUE,UNIQUE(FILTER('Data Master'!$D$2:$D1887,'Data Master'!$C$2:$C1887=A1578)))"),"")</f>
        <v/>
      </c>
    </row>
    <row r="1579" hidden="1">
      <c r="C1579" s="40" t="str">
        <f>IFERROR(__xludf.DUMMYFUNCTION("TEXTJOIN("", "",TRUE,UNIQUE(FILTER('Data Master'!$B$2:$B1887,'Data Master'!$C$2:$C1887=A1579)))"),"petani")</f>
        <v>petani</v>
      </c>
      <c r="D1579" s="40" t="str">
        <f>IFERROR(__xludf.DUMMYFUNCTION("TEXTJOIN("", "",TRUE,UNIQUE(FILTER('Data Master'!$D$2:$D1887,'Data Master'!$C$2:$C1887=A1579)))"),"")</f>
        <v/>
      </c>
    </row>
    <row r="1580" hidden="1">
      <c r="C1580" s="40" t="str">
        <f>IFERROR(__xludf.DUMMYFUNCTION("TEXTJOIN("", "",TRUE,UNIQUE(FILTER('Data Master'!$B$2:$B1887,'Data Master'!$C$2:$C1887=A1580)))"),"petani")</f>
        <v>petani</v>
      </c>
      <c r="D1580" s="40" t="str">
        <f>IFERROR(__xludf.DUMMYFUNCTION("TEXTJOIN("", "",TRUE,UNIQUE(FILTER('Data Master'!$D$2:$D1887,'Data Master'!$C$2:$C1887=A1580)))"),"")</f>
        <v/>
      </c>
    </row>
    <row r="1581" hidden="1">
      <c r="C1581" s="40" t="str">
        <f>IFERROR(__xludf.DUMMYFUNCTION("TEXTJOIN("", "",TRUE,UNIQUE(FILTER('Data Master'!$B$2:$B1887,'Data Master'!$C$2:$C1887=A1581)))"),"petani")</f>
        <v>petani</v>
      </c>
      <c r="D1581" s="40" t="str">
        <f>IFERROR(__xludf.DUMMYFUNCTION("TEXTJOIN("", "",TRUE,UNIQUE(FILTER('Data Master'!$D$2:$D1887,'Data Master'!$C$2:$C1887=A1581)))"),"")</f>
        <v/>
      </c>
    </row>
    <row r="1582" hidden="1">
      <c r="C1582" s="40" t="str">
        <f>IFERROR(__xludf.DUMMYFUNCTION("TEXTJOIN("", "",TRUE,UNIQUE(FILTER('Data Master'!$B$2:$B1887,'Data Master'!$C$2:$C1887=A1582)))"),"petani")</f>
        <v>petani</v>
      </c>
      <c r="D1582" s="40" t="str">
        <f>IFERROR(__xludf.DUMMYFUNCTION("TEXTJOIN("", "",TRUE,UNIQUE(FILTER('Data Master'!$D$2:$D1887,'Data Master'!$C$2:$C1887=A1582)))"),"")</f>
        <v/>
      </c>
    </row>
    <row r="1583" hidden="1">
      <c r="C1583" s="40" t="str">
        <f>IFERROR(__xludf.DUMMYFUNCTION("TEXTJOIN("", "",TRUE,UNIQUE(FILTER('Data Master'!$B$2:$B1887,'Data Master'!$C$2:$C1887=A1583)))"),"petani")</f>
        <v>petani</v>
      </c>
      <c r="D1583" s="40" t="str">
        <f>IFERROR(__xludf.DUMMYFUNCTION("TEXTJOIN("", "",TRUE,UNIQUE(FILTER('Data Master'!$D$2:$D1887,'Data Master'!$C$2:$C1887=A1583)))"),"")</f>
        <v/>
      </c>
    </row>
    <row r="1584" hidden="1">
      <c r="C1584" s="40" t="str">
        <f>IFERROR(__xludf.DUMMYFUNCTION("TEXTJOIN("", "",TRUE,UNIQUE(FILTER('Data Master'!$B$2:$B1887,'Data Master'!$C$2:$C1887=A1584)))"),"petani")</f>
        <v>petani</v>
      </c>
      <c r="D1584" s="40" t="str">
        <f>IFERROR(__xludf.DUMMYFUNCTION("TEXTJOIN("", "",TRUE,UNIQUE(FILTER('Data Master'!$D$2:$D1887,'Data Master'!$C$2:$C1887=A1584)))"),"")</f>
        <v/>
      </c>
    </row>
    <row r="1585" hidden="1">
      <c r="C1585" s="40" t="str">
        <f>IFERROR(__xludf.DUMMYFUNCTION("TEXTJOIN("", "",TRUE,UNIQUE(FILTER('Data Master'!$B$2:$B1887,'Data Master'!$C$2:$C1887=A1585)))"),"petani")</f>
        <v>petani</v>
      </c>
      <c r="D1585" s="40" t="str">
        <f>IFERROR(__xludf.DUMMYFUNCTION("TEXTJOIN("", "",TRUE,UNIQUE(FILTER('Data Master'!$D$2:$D1887,'Data Master'!$C$2:$C1887=A1585)))"),"")</f>
        <v/>
      </c>
    </row>
    <row r="1586" hidden="1">
      <c r="C1586" s="40" t="str">
        <f>IFERROR(__xludf.DUMMYFUNCTION("TEXTJOIN("", "",TRUE,UNIQUE(FILTER('Data Master'!$B$2:$B1887,'Data Master'!$C$2:$C1887=A1586)))"),"petani")</f>
        <v>petani</v>
      </c>
      <c r="D1586" s="40" t="str">
        <f>IFERROR(__xludf.DUMMYFUNCTION("TEXTJOIN("", "",TRUE,UNIQUE(FILTER('Data Master'!$D$2:$D1887,'Data Master'!$C$2:$C1887=A1586)))"),"")</f>
        <v/>
      </c>
    </row>
    <row r="1587" hidden="1">
      <c r="C1587" s="40" t="str">
        <f>IFERROR(__xludf.DUMMYFUNCTION("TEXTJOIN("", "",TRUE,UNIQUE(FILTER('Data Master'!$B$2:$B1887,'Data Master'!$C$2:$C1887=A1587)))"),"petani")</f>
        <v>petani</v>
      </c>
      <c r="D1587" s="40" t="str">
        <f>IFERROR(__xludf.DUMMYFUNCTION("TEXTJOIN("", "",TRUE,UNIQUE(FILTER('Data Master'!$D$2:$D1887,'Data Master'!$C$2:$C1887=A1587)))"),"")</f>
        <v/>
      </c>
    </row>
    <row r="1588" hidden="1">
      <c r="C1588" s="40" t="str">
        <f>IFERROR(__xludf.DUMMYFUNCTION("TEXTJOIN("", "",TRUE,UNIQUE(FILTER('Data Master'!$B$2:$B1887,'Data Master'!$C$2:$C1887=A1588)))"),"petani")</f>
        <v>petani</v>
      </c>
      <c r="D1588" s="40" t="str">
        <f>IFERROR(__xludf.DUMMYFUNCTION("TEXTJOIN("", "",TRUE,UNIQUE(FILTER('Data Master'!$D$2:$D1887,'Data Master'!$C$2:$C1887=A1588)))"),"")</f>
        <v/>
      </c>
    </row>
    <row r="1589" hidden="1">
      <c r="C1589" s="40" t="str">
        <f>IFERROR(__xludf.DUMMYFUNCTION("TEXTJOIN("", "",TRUE,UNIQUE(FILTER('Data Master'!$B$2:$B1887,'Data Master'!$C$2:$C1887=A1589)))"),"petani")</f>
        <v>petani</v>
      </c>
      <c r="D1589" s="40" t="str">
        <f>IFERROR(__xludf.DUMMYFUNCTION("TEXTJOIN("", "",TRUE,UNIQUE(FILTER('Data Master'!$D$2:$D1887,'Data Master'!$C$2:$C1887=A1589)))"),"")</f>
        <v/>
      </c>
    </row>
    <row r="1590" hidden="1">
      <c r="C1590" s="40" t="str">
        <f>IFERROR(__xludf.DUMMYFUNCTION("TEXTJOIN("", "",TRUE,UNIQUE(FILTER('Data Master'!$B$2:$B1887,'Data Master'!$C$2:$C1887=A1590)))"),"petani")</f>
        <v>petani</v>
      </c>
      <c r="D1590" s="40" t="str">
        <f>IFERROR(__xludf.DUMMYFUNCTION("TEXTJOIN("", "",TRUE,UNIQUE(FILTER('Data Master'!$D$2:$D1887,'Data Master'!$C$2:$C1887=A1590)))"),"")</f>
        <v/>
      </c>
    </row>
    <row r="1591" hidden="1">
      <c r="C1591" s="40" t="str">
        <f>IFERROR(__xludf.DUMMYFUNCTION("TEXTJOIN("", "",TRUE,UNIQUE(FILTER('Data Master'!$B$2:$B1887,'Data Master'!$C$2:$C1887=A1591)))"),"petani")</f>
        <v>petani</v>
      </c>
      <c r="D1591" s="40" t="str">
        <f>IFERROR(__xludf.DUMMYFUNCTION("TEXTJOIN("", "",TRUE,UNIQUE(FILTER('Data Master'!$D$2:$D1887,'Data Master'!$C$2:$C1887=A1591)))"),"")</f>
        <v/>
      </c>
    </row>
    <row r="1592" hidden="1">
      <c r="C1592" s="40" t="str">
        <f>IFERROR(__xludf.DUMMYFUNCTION("TEXTJOIN("", "",TRUE,UNIQUE(FILTER('Data Master'!$B$2:$B1887,'Data Master'!$C$2:$C1887=A1592)))"),"petani")</f>
        <v>petani</v>
      </c>
      <c r="D1592" s="40" t="str">
        <f>IFERROR(__xludf.DUMMYFUNCTION("TEXTJOIN("", "",TRUE,UNIQUE(FILTER('Data Master'!$D$2:$D1887,'Data Master'!$C$2:$C1887=A1592)))"),"")</f>
        <v/>
      </c>
    </row>
    <row r="1593" hidden="1">
      <c r="C1593" s="40" t="str">
        <f>IFERROR(__xludf.DUMMYFUNCTION("TEXTJOIN("", "",TRUE,UNIQUE(FILTER('Data Master'!$B$2:$B1887,'Data Master'!$C$2:$C1887=A1593)))"),"petani")</f>
        <v>petani</v>
      </c>
      <c r="D1593" s="40" t="str">
        <f>IFERROR(__xludf.DUMMYFUNCTION("TEXTJOIN("", "",TRUE,UNIQUE(FILTER('Data Master'!$D$2:$D1887,'Data Master'!$C$2:$C1887=A1593)))"),"null")</f>
        <v>null</v>
      </c>
    </row>
    <row r="1594" hidden="1">
      <c r="C1594" s="40" t="str">
        <f>IFERROR(__xludf.DUMMYFUNCTION("TEXTJOIN("", "",TRUE,UNIQUE(FILTER('Data Master'!$B$2:$B1887,'Data Master'!$C$2:$C1887=A1594)))"),"petani")</f>
        <v>petani</v>
      </c>
      <c r="D1594" s="40" t="str">
        <f>IFERROR(__xludf.DUMMYFUNCTION("TEXTJOIN("", "",TRUE,UNIQUE(FILTER('Data Master'!$D$2:$D1887,'Data Master'!$C$2:$C1887=A1594)))"),"")</f>
        <v/>
      </c>
    </row>
    <row r="1595" hidden="1">
      <c r="C1595" s="40" t="str">
        <f>IFERROR(__xludf.DUMMYFUNCTION("TEXTJOIN("", "",TRUE,UNIQUE(FILTER('Data Master'!$B$2:$B1887,'Data Master'!$C$2:$C1887=A1595)))"),"petani")</f>
        <v>petani</v>
      </c>
      <c r="D1595" s="40" t="str">
        <f>IFERROR(__xludf.DUMMYFUNCTION("TEXTJOIN("", "",TRUE,UNIQUE(FILTER('Data Master'!$D$2:$D1887,'Data Master'!$C$2:$C1887=A1595)))"),"")</f>
        <v/>
      </c>
    </row>
    <row r="1596" hidden="1">
      <c r="C1596" s="40" t="str">
        <f>IFERROR(__xludf.DUMMYFUNCTION("TEXTJOIN("", "",TRUE,UNIQUE(FILTER('Data Master'!$B$2:$B1887,'Data Master'!$C$2:$C1887=A1596)))"),"petani")</f>
        <v>petani</v>
      </c>
      <c r="D1596" s="40" t="str">
        <f>IFERROR(__xludf.DUMMYFUNCTION("TEXTJOIN("", "",TRUE,UNIQUE(FILTER('Data Master'!$D$2:$D1887,'Data Master'!$C$2:$C1887=A1596)))"),"")</f>
        <v/>
      </c>
    </row>
    <row r="1597" hidden="1">
      <c r="C1597" s="40" t="str">
        <f>IFERROR(__xludf.DUMMYFUNCTION("TEXTJOIN("", "",TRUE,UNIQUE(FILTER('Data Master'!$B$2:$B1887,'Data Master'!$C$2:$C1887=A1597)))"),"petani")</f>
        <v>petani</v>
      </c>
      <c r="D1597" s="40" t="str">
        <f>IFERROR(__xludf.DUMMYFUNCTION("TEXTJOIN("", "",TRUE,UNIQUE(FILTER('Data Master'!$D$2:$D1887,'Data Master'!$C$2:$C1887=A1597)))"),"")</f>
        <v/>
      </c>
    </row>
    <row r="1598" hidden="1">
      <c r="C1598" s="40" t="str">
        <f>IFERROR(__xludf.DUMMYFUNCTION("TEXTJOIN("", "",TRUE,UNIQUE(FILTER('Data Master'!$B$2:$B1887,'Data Master'!$C$2:$C1887=A1598)))"),"petani")</f>
        <v>petani</v>
      </c>
      <c r="D1598" s="40" t="str">
        <f>IFERROR(__xludf.DUMMYFUNCTION("TEXTJOIN("", "",TRUE,UNIQUE(FILTER('Data Master'!$D$2:$D1887,'Data Master'!$C$2:$C1887=A1598)))"),"")</f>
        <v/>
      </c>
    </row>
    <row r="1599" hidden="1">
      <c r="C1599" s="40" t="str">
        <f>IFERROR(__xludf.DUMMYFUNCTION("TEXTJOIN("", "",TRUE,UNIQUE(FILTER('Data Master'!$B$2:$B1887,'Data Master'!$C$2:$C1887=A1599)))"),"petani")</f>
        <v>petani</v>
      </c>
      <c r="D1599" s="40" t="str">
        <f>IFERROR(__xludf.DUMMYFUNCTION("TEXTJOIN("", "",TRUE,UNIQUE(FILTER('Data Master'!$D$2:$D1887,'Data Master'!$C$2:$C1887=A1599)))"),"")</f>
        <v/>
      </c>
    </row>
    <row r="1600" hidden="1">
      <c r="C1600" s="40" t="str">
        <f>IFERROR(__xludf.DUMMYFUNCTION("TEXTJOIN("", "",TRUE,UNIQUE(FILTER('Data Master'!$B$2:$B1887,'Data Master'!$C$2:$C1887=A1600)))"),"petani")</f>
        <v>petani</v>
      </c>
      <c r="D1600" s="40" t="str">
        <f>IFERROR(__xludf.DUMMYFUNCTION("TEXTJOIN("", "",TRUE,UNIQUE(FILTER('Data Master'!$D$2:$D1887,'Data Master'!$C$2:$C1887=A1600)))"),"")</f>
        <v/>
      </c>
    </row>
    <row r="1601" hidden="1">
      <c r="C1601" s="40" t="str">
        <f>IFERROR(__xludf.DUMMYFUNCTION("TEXTJOIN("", "",TRUE,UNIQUE(FILTER('Data Master'!$B$2:$B1887,'Data Master'!$C$2:$C1887=A1601)))"),"petani")</f>
        <v>petani</v>
      </c>
      <c r="D1601" s="40" t="str">
        <f>IFERROR(__xludf.DUMMYFUNCTION("TEXTJOIN("", "",TRUE,UNIQUE(FILTER('Data Master'!$D$2:$D1887,'Data Master'!$C$2:$C1887=A1601)))"),"")</f>
        <v/>
      </c>
    </row>
    <row r="1602" hidden="1">
      <c r="C1602" s="40" t="str">
        <f>IFERROR(__xludf.DUMMYFUNCTION("TEXTJOIN("", "",TRUE,UNIQUE(FILTER('Data Master'!$B$2:$B1887,'Data Master'!$C$2:$C1887=A1602)))"),"petani")</f>
        <v>petani</v>
      </c>
      <c r="D1602" s="40" t="str">
        <f>IFERROR(__xludf.DUMMYFUNCTION("TEXTJOIN("", "",TRUE,UNIQUE(FILTER('Data Master'!$D$2:$D1887,'Data Master'!$C$2:$C1887=A1602)))"),"")</f>
        <v/>
      </c>
    </row>
    <row r="1603" hidden="1">
      <c r="C1603" s="40" t="str">
        <f>IFERROR(__xludf.DUMMYFUNCTION("TEXTJOIN("", "",TRUE,UNIQUE(FILTER('Data Master'!$B$2:$B1887,'Data Master'!$C$2:$C1887=A1603)))"),"petani")</f>
        <v>petani</v>
      </c>
      <c r="D1603" s="40" t="str">
        <f>IFERROR(__xludf.DUMMYFUNCTION("TEXTJOIN("", "",TRUE,UNIQUE(FILTER('Data Master'!$D$2:$D1887,'Data Master'!$C$2:$C1887=A1603)))"),"")</f>
        <v/>
      </c>
    </row>
    <row r="1604" hidden="1">
      <c r="C1604" s="40" t="str">
        <f>IFERROR(__xludf.DUMMYFUNCTION("TEXTJOIN("", "",TRUE,UNIQUE(FILTER('Data Master'!$B$2:$B1887,'Data Master'!$C$2:$C1887=A1604)))"),"petani")</f>
        <v>petani</v>
      </c>
      <c r="D1604" s="40" t="str">
        <f>IFERROR(__xludf.DUMMYFUNCTION("TEXTJOIN("", "",TRUE,UNIQUE(FILTER('Data Master'!$D$2:$D1887,'Data Master'!$C$2:$C1887=A1604)))"),"")</f>
        <v/>
      </c>
    </row>
    <row r="1605" hidden="1">
      <c r="C1605" s="40" t="str">
        <f>IFERROR(__xludf.DUMMYFUNCTION("TEXTJOIN("", "",TRUE,UNIQUE(FILTER('Data Master'!$B$2:$B1887,'Data Master'!$C$2:$C1887=A1605)))"),"petani")</f>
        <v>petani</v>
      </c>
      <c r="D1605" s="40" t="str">
        <f>IFERROR(__xludf.DUMMYFUNCTION("TEXTJOIN("", "",TRUE,UNIQUE(FILTER('Data Master'!$D$2:$D1887,'Data Master'!$C$2:$C1887=A1605)))"),"sumarso@gmail.com")</f>
        <v>sumarso@gmail.com</v>
      </c>
    </row>
    <row r="1606" hidden="1">
      <c r="C1606" s="40" t="str">
        <f>IFERROR(__xludf.DUMMYFUNCTION("TEXTJOIN("", "",TRUE,UNIQUE(FILTER('Data Master'!$B$2:$B1887,'Data Master'!$C$2:$C1887=A1606)))"),"petani")</f>
        <v>petani</v>
      </c>
      <c r="D1606" s="40" t="str">
        <f>IFERROR(__xludf.DUMMYFUNCTION("TEXTJOIN("", "",TRUE,UNIQUE(FILTER('Data Master'!$D$2:$D1887,'Data Master'!$C$2:$C1887=A1606)))"),"")</f>
        <v/>
      </c>
    </row>
    <row r="1607" hidden="1">
      <c r="C1607" s="40" t="str">
        <f>IFERROR(__xludf.DUMMYFUNCTION("TEXTJOIN("", "",TRUE,UNIQUE(FILTER('Data Master'!$B$2:$B1887,'Data Master'!$C$2:$C1887=A1607)))"),"petani")</f>
        <v>petani</v>
      </c>
      <c r="D1607" s="40" t="str">
        <f>IFERROR(__xludf.DUMMYFUNCTION("TEXTJOIN("", "",TRUE,UNIQUE(FILTER('Data Master'!$D$2:$D1887,'Data Master'!$C$2:$C1887=A1607)))"),"")</f>
        <v/>
      </c>
    </row>
    <row r="1608" hidden="1">
      <c r="C1608" s="40" t="str">
        <f>IFERROR(__xludf.DUMMYFUNCTION("TEXTJOIN("", "",TRUE,UNIQUE(FILTER('Data Master'!$B$2:$B1887,'Data Master'!$C$2:$C1887=A1608)))"),"petani")</f>
        <v>petani</v>
      </c>
      <c r="D1608" s="40" t="str">
        <f>IFERROR(__xludf.DUMMYFUNCTION("TEXTJOIN("", "",TRUE,UNIQUE(FILTER('Data Master'!$D$2:$D1887,'Data Master'!$C$2:$C1887=A1608)))"),"")</f>
        <v/>
      </c>
    </row>
    <row r="1609" hidden="1">
      <c r="C1609" s="40" t="str">
        <f>IFERROR(__xludf.DUMMYFUNCTION("TEXTJOIN("", "",TRUE,UNIQUE(FILTER('Data Master'!$B$2:$B1887,'Data Master'!$C$2:$C1887=A1609)))"),"petani")</f>
        <v>petani</v>
      </c>
      <c r="D1609" s="40" t="str">
        <f>IFERROR(__xludf.DUMMYFUNCTION("TEXTJOIN("", "",TRUE,UNIQUE(FILTER('Data Master'!$D$2:$D1887,'Data Master'!$C$2:$C1887=A1609)))"),"")</f>
        <v/>
      </c>
    </row>
    <row r="1610" hidden="1">
      <c r="C1610" s="40" t="str">
        <f>IFERROR(__xludf.DUMMYFUNCTION("TEXTJOIN("", "",TRUE,UNIQUE(FILTER('Data Master'!$B$2:$B1887,'Data Master'!$C$2:$C1887=A1610)))"),"petani")</f>
        <v>petani</v>
      </c>
      <c r="D1610" s="40" t="str">
        <f>IFERROR(__xludf.DUMMYFUNCTION("TEXTJOIN("", "",TRUE,UNIQUE(FILTER('Data Master'!$D$2:$D1887,'Data Master'!$C$2:$C1887=A1610)))"),"")</f>
        <v/>
      </c>
    </row>
    <row r="1611" hidden="1">
      <c r="C1611" s="40" t="str">
        <f>IFERROR(__xludf.DUMMYFUNCTION("TEXTJOIN("", "",TRUE,UNIQUE(FILTER('Data Master'!$B$2:$B1887,'Data Master'!$C$2:$C1887=A1611)))"),"petani")</f>
        <v>petani</v>
      </c>
      <c r="D1611" s="40" t="str">
        <f>IFERROR(__xludf.DUMMYFUNCTION("TEXTJOIN("", "",TRUE,UNIQUE(FILTER('Data Master'!$D$2:$D1887,'Data Master'!$C$2:$C1887=A1611)))"),"")</f>
        <v/>
      </c>
    </row>
    <row r="1612" hidden="1">
      <c r="C1612" s="40" t="str">
        <f>IFERROR(__xludf.DUMMYFUNCTION("TEXTJOIN("", "",TRUE,UNIQUE(FILTER('Data Master'!$B$2:$B1887,'Data Master'!$C$2:$C1887=A1612)))"),"petani")</f>
        <v>petani</v>
      </c>
      <c r="D1612" s="40" t="str">
        <f>IFERROR(__xludf.DUMMYFUNCTION("TEXTJOIN("", "",TRUE,UNIQUE(FILTER('Data Master'!$D$2:$D1887,'Data Master'!$C$2:$C1887=A1612)))"),"herry.ngawi@gmail.com")</f>
        <v>herry.ngawi@gmail.com</v>
      </c>
    </row>
    <row r="1613" hidden="1">
      <c r="C1613" s="40" t="str">
        <f>IFERROR(__xludf.DUMMYFUNCTION("TEXTJOIN("", "",TRUE,UNIQUE(FILTER('Data Master'!$B$2:$B1887,'Data Master'!$C$2:$C1887=A1613)))"),"petani")</f>
        <v>petani</v>
      </c>
      <c r="D1613" s="40" t="str">
        <f>IFERROR(__xludf.DUMMYFUNCTION("TEXTJOIN("", "",TRUE,UNIQUE(FILTER('Data Master'!$D$2:$D1887,'Data Master'!$C$2:$C1887=A1613)))"),"")</f>
        <v/>
      </c>
    </row>
    <row r="1614" hidden="1">
      <c r="C1614" s="40" t="str">
        <f>IFERROR(__xludf.DUMMYFUNCTION("TEXTJOIN("", "",TRUE,UNIQUE(FILTER('Data Master'!$B$2:$B1887,'Data Master'!$C$2:$C1887=A1614)))"),"petani")</f>
        <v>petani</v>
      </c>
      <c r="D1614" s="40" t="str">
        <f>IFERROR(__xludf.DUMMYFUNCTION("TEXTJOIN("", "",TRUE,UNIQUE(FILTER('Data Master'!$D$2:$D1887,'Data Master'!$C$2:$C1887=A1614)))"),"")</f>
        <v/>
      </c>
    </row>
    <row r="1615" hidden="1">
      <c r="C1615" s="40" t="str">
        <f>IFERROR(__xludf.DUMMYFUNCTION("TEXTJOIN("", "",TRUE,UNIQUE(FILTER('Data Master'!$B$2:$B1887,'Data Master'!$C$2:$C1887=A1615)))"),"petani")</f>
        <v>petani</v>
      </c>
      <c r="D1615" s="40" t="str">
        <f>IFERROR(__xludf.DUMMYFUNCTION("TEXTJOIN("", "",TRUE,UNIQUE(FILTER('Data Master'!$D$2:$D1887,'Data Master'!$C$2:$C1887=A1615)))"),"")</f>
        <v/>
      </c>
    </row>
    <row r="1616" hidden="1">
      <c r="C1616" s="40" t="str">
        <f>IFERROR(__xludf.DUMMYFUNCTION("TEXTJOIN("", "",TRUE,UNIQUE(FILTER('Data Master'!$B$2:$B1887,'Data Master'!$C$2:$C1887=A1616)))"),"petani")</f>
        <v>petani</v>
      </c>
      <c r="D1616" s="40" t="str">
        <f>IFERROR(__xludf.DUMMYFUNCTION("TEXTJOIN("", "",TRUE,UNIQUE(FILTER('Data Master'!$D$2:$D1887,'Data Master'!$C$2:$C1887=A1616)))"),"")</f>
        <v/>
      </c>
    </row>
    <row r="1617" hidden="1">
      <c r="C1617" s="40" t="str">
        <f>IFERROR(__xludf.DUMMYFUNCTION("TEXTJOIN("", "",TRUE,UNIQUE(FILTER('Data Master'!$B$2:$B1887,'Data Master'!$C$2:$C1887=A1617)))"),"petani")</f>
        <v>petani</v>
      </c>
      <c r="D1617" s="40" t="str">
        <f>IFERROR(__xludf.DUMMYFUNCTION("TEXTJOIN("", "",TRUE,UNIQUE(FILTER('Data Master'!$D$2:$D1887,'Data Master'!$C$2:$C1887=A1617)))"),"")</f>
        <v/>
      </c>
    </row>
    <row r="1618" hidden="1">
      <c r="C1618" s="40" t="str">
        <f>IFERROR(__xludf.DUMMYFUNCTION("TEXTJOIN("", "",TRUE,UNIQUE(FILTER('Data Master'!$B$2:$B1887,'Data Master'!$C$2:$C1887=A1618)))"),"petani")</f>
        <v>petani</v>
      </c>
      <c r="D1618" s="40" t="str">
        <f>IFERROR(__xludf.DUMMYFUNCTION("TEXTJOIN("", "",TRUE,UNIQUE(FILTER('Data Master'!$D$2:$D1887,'Data Master'!$C$2:$C1887=A1618)))"),"")</f>
        <v/>
      </c>
    </row>
    <row r="1619" hidden="1">
      <c r="C1619" s="40" t="str">
        <f>IFERROR(__xludf.DUMMYFUNCTION("TEXTJOIN("", "",TRUE,UNIQUE(FILTER('Data Master'!$B$2:$B1887,'Data Master'!$C$2:$C1887=A1619)))"),"petani")</f>
        <v>petani</v>
      </c>
      <c r="D1619" s="40" t="str">
        <f>IFERROR(__xludf.DUMMYFUNCTION("TEXTJOIN("", "",TRUE,UNIQUE(FILTER('Data Master'!$D$2:$D1887,'Data Master'!$C$2:$C1887=A1619)))"),"")</f>
        <v/>
      </c>
    </row>
    <row r="1620" hidden="1">
      <c r="C1620" s="40" t="str">
        <f>IFERROR(__xludf.DUMMYFUNCTION("TEXTJOIN("", "",TRUE,UNIQUE(FILTER('Data Master'!$B$2:$B1887,'Data Master'!$C$2:$C1887=A1620)))"),"petani")</f>
        <v>petani</v>
      </c>
      <c r="D1620" s="40" t="str">
        <f>IFERROR(__xludf.DUMMYFUNCTION("TEXTJOIN("", "",TRUE,UNIQUE(FILTER('Data Master'!$D$2:$D1887,'Data Master'!$C$2:$C1887=A1620)))"),"")</f>
        <v/>
      </c>
    </row>
    <row r="1621" hidden="1">
      <c r="C1621" s="40" t="str">
        <f>IFERROR(__xludf.DUMMYFUNCTION("TEXTJOIN("", "",TRUE,UNIQUE(FILTER('Data Master'!$B$2:$B1887,'Data Master'!$C$2:$C1887=A1621)))"),"petani")</f>
        <v>petani</v>
      </c>
      <c r="D1621" s="40" t="str">
        <f>IFERROR(__xludf.DUMMYFUNCTION("TEXTJOIN("", "",TRUE,UNIQUE(FILTER('Data Master'!$D$2:$D1887,'Data Master'!$C$2:$C1887=A1621)))"),"")</f>
        <v/>
      </c>
    </row>
    <row r="1622" hidden="1">
      <c r="C1622" s="40" t="str">
        <f>IFERROR(__xludf.DUMMYFUNCTION("TEXTJOIN("", "",TRUE,UNIQUE(FILTER('Data Master'!$B$2:$B1887,'Data Master'!$C$2:$C1887=A1622)))"),"petani")</f>
        <v>petani</v>
      </c>
      <c r="D1622" s="40" t="str">
        <f>IFERROR(__xludf.DUMMYFUNCTION("TEXTJOIN("", "",TRUE,UNIQUE(FILTER('Data Master'!$D$2:$D1887,'Data Master'!$C$2:$C1887=A1622)))"),"")</f>
        <v/>
      </c>
    </row>
    <row r="1623" hidden="1">
      <c r="C1623" s="40" t="str">
        <f>IFERROR(__xludf.DUMMYFUNCTION("TEXTJOIN("", "",TRUE,UNIQUE(FILTER('Data Master'!$B$2:$B1887,'Data Master'!$C$2:$C1887=A1623)))"),"petani")</f>
        <v>petani</v>
      </c>
      <c r="D1623" s="40" t="str">
        <f>IFERROR(__xludf.DUMMYFUNCTION("TEXTJOIN("", "",TRUE,UNIQUE(FILTER('Data Master'!$D$2:$D1887,'Data Master'!$C$2:$C1887=A1623)))"),"")</f>
        <v/>
      </c>
    </row>
    <row r="1624" hidden="1">
      <c r="C1624" s="40" t="str">
        <f>IFERROR(__xludf.DUMMYFUNCTION("TEXTJOIN("", "",TRUE,UNIQUE(FILTER('Data Master'!$B$2:$B1887,'Data Master'!$C$2:$C1887=A1624)))"),"petani")</f>
        <v>petani</v>
      </c>
      <c r="D1624" s="40" t="str">
        <f>IFERROR(__xludf.DUMMYFUNCTION("TEXTJOIN("", "",TRUE,UNIQUE(FILTER('Data Master'!$D$2:$D1887,'Data Master'!$C$2:$C1887=A1624)))"),"a@gmail.com")</f>
        <v>a@gmail.com</v>
      </c>
    </row>
    <row r="1625" hidden="1">
      <c r="C1625" s="40" t="str">
        <f>IFERROR(__xludf.DUMMYFUNCTION("TEXTJOIN("", "",TRUE,UNIQUE(FILTER('Data Master'!$B$2:$B1887,'Data Master'!$C$2:$C1887=A1625)))"),"petani")</f>
        <v>petani</v>
      </c>
      <c r="D1625" s="40" t="str">
        <f>IFERROR(__xludf.DUMMYFUNCTION("TEXTJOIN("", "",TRUE,UNIQUE(FILTER('Data Master'!$D$2:$D1887,'Data Master'!$C$2:$C1887=A1625)))"),"")</f>
        <v/>
      </c>
    </row>
    <row r="1626" hidden="1">
      <c r="C1626" s="40" t="str">
        <f>IFERROR(__xludf.DUMMYFUNCTION("TEXTJOIN("", "",TRUE,UNIQUE(FILTER('Data Master'!$B$2:$B1887,'Data Master'!$C$2:$C1887=A1626)))"),"petani")</f>
        <v>petani</v>
      </c>
      <c r="D1626" s="40" t="str">
        <f>IFERROR(__xludf.DUMMYFUNCTION("TEXTJOIN("", "",TRUE,UNIQUE(FILTER('Data Master'!$D$2:$D1887,'Data Master'!$C$2:$C1887=A1626)))"),"")</f>
        <v/>
      </c>
    </row>
    <row r="1627" hidden="1">
      <c r="C1627" s="40" t="str">
        <f>IFERROR(__xludf.DUMMYFUNCTION("TEXTJOIN("", "",TRUE,UNIQUE(FILTER('Data Master'!$B$2:$B1887,'Data Master'!$C$2:$C1887=A1627)))"),"petani")</f>
        <v>petani</v>
      </c>
      <c r="D1627" s="40" t="str">
        <f>IFERROR(__xludf.DUMMYFUNCTION("TEXTJOIN("", "",TRUE,UNIQUE(FILTER('Data Master'!$D$2:$D1887,'Data Master'!$C$2:$C1887=A1627)))"),"")</f>
        <v/>
      </c>
    </row>
    <row r="1628" hidden="1">
      <c r="C1628" s="40" t="str">
        <f>IFERROR(__xludf.DUMMYFUNCTION("TEXTJOIN("", "",TRUE,UNIQUE(FILTER('Data Master'!$B$2:$B1887,'Data Master'!$C$2:$C1887=A1628)))"),"petani")</f>
        <v>petani</v>
      </c>
      <c r="D1628" s="40" t="str">
        <f>IFERROR(__xludf.DUMMYFUNCTION("TEXTJOIN("", "",TRUE,UNIQUE(FILTER('Data Master'!$D$2:$D1887,'Data Master'!$C$2:$C1887=A1628)))"),"")</f>
        <v/>
      </c>
    </row>
    <row r="1629" hidden="1">
      <c r="C1629" s="40" t="str">
        <f>IFERROR(__xludf.DUMMYFUNCTION("TEXTJOIN("", "",TRUE,UNIQUE(FILTER('Data Master'!$B$2:$B1887,'Data Master'!$C$2:$C1887=A1629)))"),"petani")</f>
        <v>petani</v>
      </c>
      <c r="D1629" s="40" t="str">
        <f>IFERROR(__xludf.DUMMYFUNCTION("TEXTJOIN("", "",TRUE,UNIQUE(FILTER('Data Master'!$D$2:$D1887,'Data Master'!$C$2:$C1887=A1629)))"),"")</f>
        <v/>
      </c>
    </row>
    <row r="1630" hidden="1">
      <c r="C1630" s="40" t="str">
        <f>IFERROR(__xludf.DUMMYFUNCTION("TEXTJOIN("", "",TRUE,UNIQUE(FILTER('Data Master'!$B$2:$B1887,'Data Master'!$C$2:$C1887=A1630)))"),"petani")</f>
        <v>petani</v>
      </c>
      <c r="D1630" s="40" t="str">
        <f>IFERROR(__xludf.DUMMYFUNCTION("TEXTJOIN("", "",TRUE,UNIQUE(FILTER('Data Master'!$D$2:$D1887,'Data Master'!$C$2:$C1887=A1630)))"),"")</f>
        <v/>
      </c>
    </row>
    <row r="1631" hidden="1">
      <c r="C1631" s="40" t="str">
        <f>IFERROR(__xludf.DUMMYFUNCTION("TEXTJOIN("", "",TRUE,UNIQUE(FILTER('Data Master'!$B$2:$B1887,'Data Master'!$C$2:$C1887=A1631)))"),"petani")</f>
        <v>petani</v>
      </c>
      <c r="D1631" s="40" t="str">
        <f>IFERROR(__xludf.DUMMYFUNCTION("TEXTJOIN("", "",TRUE,UNIQUE(FILTER('Data Master'!$D$2:$D1887,'Data Master'!$C$2:$C1887=A1631)))"),"")</f>
        <v/>
      </c>
    </row>
    <row r="1632" hidden="1">
      <c r="C1632" s="40" t="str">
        <f>IFERROR(__xludf.DUMMYFUNCTION("TEXTJOIN("", "",TRUE,UNIQUE(FILTER('Data Master'!$B$2:$B1887,'Data Master'!$C$2:$C1887=A1632)))"),"petani")</f>
        <v>petani</v>
      </c>
      <c r="D1632" s="40" t="str">
        <f>IFERROR(__xludf.DUMMYFUNCTION("TEXTJOIN("", "",TRUE,UNIQUE(FILTER('Data Master'!$D$2:$D1887,'Data Master'!$C$2:$C1887=A1632)))"),"")</f>
        <v/>
      </c>
    </row>
    <row r="1633" hidden="1">
      <c r="C1633" s="40" t="str">
        <f>IFERROR(__xludf.DUMMYFUNCTION("TEXTJOIN("", "",TRUE,UNIQUE(FILTER('Data Master'!$B$2:$B1887,'Data Master'!$C$2:$C1887=A1633)))"),"petani")</f>
        <v>petani</v>
      </c>
      <c r="D1633" s="40" t="str">
        <f>IFERROR(__xludf.DUMMYFUNCTION("TEXTJOIN("", "",TRUE,UNIQUE(FILTER('Data Master'!$D$2:$D1887,'Data Master'!$C$2:$C1887=A1633)))"),"")</f>
        <v/>
      </c>
    </row>
    <row r="1634" hidden="1">
      <c r="C1634" s="40" t="str">
        <f>IFERROR(__xludf.DUMMYFUNCTION("TEXTJOIN("", "",TRUE,UNIQUE(FILTER('Data Master'!$B$2:$B1887,'Data Master'!$C$2:$C1887=A1634)))"),"petani")</f>
        <v>petani</v>
      </c>
      <c r="D1634" s="40" t="str">
        <f>IFERROR(__xludf.DUMMYFUNCTION("TEXTJOIN("", "",TRUE,UNIQUE(FILTER('Data Master'!$D$2:$D1887,'Data Master'!$C$2:$C1887=A1634)))"),"")</f>
        <v/>
      </c>
    </row>
    <row r="1635" hidden="1">
      <c r="C1635" s="40" t="str">
        <f>IFERROR(__xludf.DUMMYFUNCTION("TEXTJOIN("", "",TRUE,UNIQUE(FILTER('Data Master'!$B$2:$B1887,'Data Master'!$C$2:$C1887=A1635)))"),"petani")</f>
        <v>petani</v>
      </c>
      <c r="D1635" s="40" t="str">
        <f>IFERROR(__xludf.DUMMYFUNCTION("TEXTJOIN("", "",TRUE,UNIQUE(FILTER('Data Master'!$D$2:$D1887,'Data Master'!$C$2:$C1887=A1635)))"),"")</f>
        <v/>
      </c>
    </row>
    <row r="1636" hidden="1">
      <c r="C1636" s="40" t="str">
        <f>IFERROR(__xludf.DUMMYFUNCTION("TEXTJOIN("", "",TRUE,UNIQUE(FILTER('Data Master'!$B$2:$B1887,'Data Master'!$C$2:$C1887=A1636)))"),"petani")</f>
        <v>petani</v>
      </c>
      <c r="D1636" s="40" t="str">
        <f>IFERROR(__xludf.DUMMYFUNCTION("TEXTJOIN("", "",TRUE,UNIQUE(FILTER('Data Master'!$D$2:$D1887,'Data Master'!$C$2:$C1887=A1636)))"),"")</f>
        <v/>
      </c>
    </row>
    <row r="1637" hidden="1">
      <c r="C1637" s="40" t="str">
        <f>IFERROR(__xludf.DUMMYFUNCTION("TEXTJOIN("", "",TRUE,UNIQUE(FILTER('Data Master'!$B$2:$B1887,'Data Master'!$C$2:$C1887=A1637)))"),"petani")</f>
        <v>petani</v>
      </c>
      <c r="D1637" s="40" t="str">
        <f>IFERROR(__xludf.DUMMYFUNCTION("TEXTJOIN("", "",TRUE,UNIQUE(FILTER('Data Master'!$D$2:$D1887,'Data Master'!$C$2:$C1887=A1637)))"),"")</f>
        <v/>
      </c>
    </row>
    <row r="1638" hidden="1">
      <c r="C1638" s="40" t="str">
        <f>IFERROR(__xludf.DUMMYFUNCTION("TEXTJOIN("", "",TRUE,UNIQUE(FILTER('Data Master'!$B$2:$B1887,'Data Master'!$C$2:$C1887=A1638)))"),"petani")</f>
        <v>petani</v>
      </c>
      <c r="D1638" s="40" t="str">
        <f>IFERROR(__xludf.DUMMYFUNCTION("TEXTJOIN("", "",TRUE,UNIQUE(FILTER('Data Master'!$D$2:$D1887,'Data Master'!$C$2:$C1887=A1638)))"),"")</f>
        <v/>
      </c>
    </row>
    <row r="1639" hidden="1">
      <c r="C1639" s="40" t="str">
        <f>IFERROR(__xludf.DUMMYFUNCTION("TEXTJOIN("", "",TRUE,UNIQUE(FILTER('Data Master'!$B$2:$B1887,'Data Master'!$C$2:$C1887=A1639)))"),"petani")</f>
        <v>petani</v>
      </c>
      <c r="D1639" s="40" t="str">
        <f>IFERROR(__xludf.DUMMYFUNCTION("TEXTJOIN("", "",TRUE,UNIQUE(FILTER('Data Master'!$D$2:$D1887,'Data Master'!$C$2:$C1887=A1639)))"),"")</f>
        <v/>
      </c>
    </row>
    <row r="1640" hidden="1">
      <c r="C1640" s="40" t="str">
        <f>IFERROR(__xludf.DUMMYFUNCTION("TEXTJOIN("", "",TRUE,UNIQUE(FILTER('Data Master'!$B$2:$B1887,'Data Master'!$C$2:$C1887=A1640)))"),"petani")</f>
        <v>petani</v>
      </c>
      <c r="D1640" s="40" t="str">
        <f>IFERROR(__xludf.DUMMYFUNCTION("TEXTJOIN("", "",TRUE,UNIQUE(FILTER('Data Master'!$D$2:$D1887,'Data Master'!$C$2:$C1887=A1640)))"),"")</f>
        <v/>
      </c>
    </row>
    <row r="1641" hidden="1">
      <c r="C1641" s="40" t="str">
        <f>IFERROR(__xludf.DUMMYFUNCTION("TEXTJOIN("", "",TRUE,UNIQUE(FILTER('Data Master'!$B$2:$B1887,'Data Master'!$C$2:$C1887=A1641)))"),"petani")</f>
        <v>petani</v>
      </c>
      <c r="D1641" s="40" t="str">
        <f>IFERROR(__xludf.DUMMYFUNCTION("TEXTJOIN("", "",TRUE,UNIQUE(FILTER('Data Master'!$D$2:$D1887,'Data Master'!$C$2:$C1887=A1641)))"),"")</f>
        <v/>
      </c>
    </row>
    <row r="1642" hidden="1">
      <c r="C1642" s="40" t="str">
        <f>IFERROR(__xludf.DUMMYFUNCTION("TEXTJOIN("", "",TRUE,UNIQUE(FILTER('Data Master'!$B$2:$B1887,'Data Master'!$C$2:$C1887=A1642)))"),"penyuluh")</f>
        <v>penyuluh</v>
      </c>
      <c r="D1642" s="40" t="str">
        <f>IFERROR(__xludf.DUMMYFUNCTION("TEXTJOIN("", "",TRUE,UNIQUE(FILTER('Data Master'!$D$2:$D1887,'Data Master'!$C$2:$C1887=A1642)))"),"")</f>
        <v/>
      </c>
    </row>
    <row r="1643" hidden="1">
      <c r="C1643" s="40" t="str">
        <f>IFERROR(__xludf.DUMMYFUNCTION("TEXTJOIN("", "",TRUE,UNIQUE(FILTER('Data Master'!$B$2:$B1887,'Data Master'!$C$2:$C1887=A1643)))"),"petani")</f>
        <v>petani</v>
      </c>
      <c r="D1643" s="40" t="str">
        <f>IFERROR(__xludf.DUMMYFUNCTION("TEXTJOIN("", "",TRUE,UNIQUE(FILTER('Data Master'!$D$2:$D1887,'Data Master'!$C$2:$C1887=A1643)))"),"")</f>
        <v/>
      </c>
    </row>
    <row r="1644" hidden="1">
      <c r="C1644" s="40" t="str">
        <f>IFERROR(__xludf.DUMMYFUNCTION("TEXTJOIN("", "",TRUE,UNIQUE(FILTER('Data Master'!$B$2:$B1887,'Data Master'!$C$2:$C1887=A1644)))"),"petani")</f>
        <v>petani</v>
      </c>
      <c r="D1644" s="40" t="str">
        <f>IFERROR(__xludf.DUMMYFUNCTION("TEXTJOIN("", "",TRUE,UNIQUE(FILTER('Data Master'!$D$2:$D1887,'Data Master'!$C$2:$C1887=A1644)))"),"")</f>
        <v/>
      </c>
    </row>
    <row r="1645" hidden="1">
      <c r="C1645" s="40" t="str">
        <f>IFERROR(__xludf.DUMMYFUNCTION("TEXTJOIN("", "",TRUE,UNIQUE(FILTER('Data Master'!$B$2:$B1887,'Data Master'!$C$2:$C1887=A1645)))"),"petani")</f>
        <v>petani</v>
      </c>
      <c r="D1645" s="40" t="str">
        <f>IFERROR(__xludf.DUMMYFUNCTION("TEXTJOIN("", "",TRUE,UNIQUE(FILTER('Data Master'!$D$2:$D1887,'Data Master'!$C$2:$C1887=A1645)))"),"")</f>
        <v/>
      </c>
    </row>
    <row r="1646" hidden="1">
      <c r="C1646" s="40" t="str">
        <f>IFERROR(__xludf.DUMMYFUNCTION("TEXTJOIN("", "",TRUE,UNIQUE(FILTER('Data Master'!$B$2:$B1887,'Data Master'!$C$2:$C1887=A1646)))"),"petani")</f>
        <v>petani</v>
      </c>
      <c r="D1646" s="40" t="str">
        <f>IFERROR(__xludf.DUMMYFUNCTION("TEXTJOIN("", "",TRUE,UNIQUE(FILTER('Data Master'!$D$2:$D1887,'Data Master'!$C$2:$C1887=A1646)))"),"")</f>
        <v/>
      </c>
    </row>
    <row r="1647" hidden="1">
      <c r="C1647" s="40" t="str">
        <f>IFERROR(__xludf.DUMMYFUNCTION("TEXTJOIN("", "",TRUE,UNIQUE(FILTER('Data Master'!$B$2:$B1887,'Data Master'!$C$2:$C1887=A1647)))"),"petani")</f>
        <v>petani</v>
      </c>
      <c r="D1647" s="40" t="str">
        <f>IFERROR(__xludf.DUMMYFUNCTION("TEXTJOIN("", "",TRUE,UNIQUE(FILTER('Data Master'!$D$2:$D1887,'Data Master'!$C$2:$C1887=A1647)))"),"")</f>
        <v/>
      </c>
    </row>
    <row r="1648" hidden="1">
      <c r="C1648" s="40" t="str">
        <f>IFERROR(__xludf.DUMMYFUNCTION("TEXTJOIN("", "",TRUE,UNIQUE(FILTER('Data Master'!$B$2:$B1887,'Data Master'!$C$2:$C1887=A1648)))"),"petani")</f>
        <v>petani</v>
      </c>
      <c r="D1648" s="40" t="str">
        <f>IFERROR(__xludf.DUMMYFUNCTION("TEXTJOIN("", "",TRUE,UNIQUE(FILTER('Data Master'!$D$2:$D1887,'Data Master'!$C$2:$C1887=A1648)))"),"")</f>
        <v/>
      </c>
    </row>
    <row r="1649" hidden="1">
      <c r="C1649" s="40" t="str">
        <f>IFERROR(__xludf.DUMMYFUNCTION("TEXTJOIN("", "",TRUE,UNIQUE(FILTER('Data Master'!$B$2:$B1887,'Data Master'!$C$2:$C1887=A1649)))"),"petani")</f>
        <v>petani</v>
      </c>
      <c r="D1649" s="40" t="str">
        <f>IFERROR(__xludf.DUMMYFUNCTION("TEXTJOIN("", "",TRUE,UNIQUE(FILTER('Data Master'!$D$2:$D1887,'Data Master'!$C$2:$C1887=A1649)))"),"")</f>
        <v/>
      </c>
    </row>
    <row r="1650" hidden="1">
      <c r="C1650" s="40" t="str">
        <f>IFERROR(__xludf.DUMMYFUNCTION("TEXTJOIN("", "",TRUE,UNIQUE(FILTER('Data Master'!$B$2:$B1887,'Data Master'!$C$2:$C1887=A1650)))"),"petani")</f>
        <v>petani</v>
      </c>
      <c r="D1650" s="40" t="str">
        <f>IFERROR(__xludf.DUMMYFUNCTION("TEXTJOIN("", "",TRUE,UNIQUE(FILTER('Data Master'!$D$2:$D1887,'Data Master'!$C$2:$C1887=A1650)))"),"")</f>
        <v/>
      </c>
    </row>
    <row r="1651" hidden="1">
      <c r="C1651" s="40" t="str">
        <f>IFERROR(__xludf.DUMMYFUNCTION("TEXTJOIN("", "",TRUE,UNIQUE(FILTER('Data Master'!$B$2:$B1887,'Data Master'!$C$2:$C1887=A1651)))"),"petani")</f>
        <v>petani</v>
      </c>
      <c r="D1651" s="40" t="str">
        <f>IFERROR(__xludf.DUMMYFUNCTION("TEXTJOIN("", "",TRUE,UNIQUE(FILTER('Data Master'!$D$2:$D1887,'Data Master'!$C$2:$C1887=A1651)))"),"")</f>
        <v/>
      </c>
    </row>
    <row r="1652" hidden="1">
      <c r="C1652" s="40" t="str">
        <f>IFERROR(__xludf.DUMMYFUNCTION("TEXTJOIN("", "",TRUE,UNIQUE(FILTER('Data Master'!$B$2:$B1887,'Data Master'!$C$2:$C1887=A1652)))"),"petani")</f>
        <v>petani</v>
      </c>
      <c r="D1652" s="40" t="str">
        <f>IFERROR(__xludf.DUMMYFUNCTION("TEXTJOIN("", "",TRUE,UNIQUE(FILTER('Data Master'!$D$2:$D1887,'Data Master'!$C$2:$C1887=A1652)))"),"")</f>
        <v/>
      </c>
    </row>
    <row r="1653" hidden="1">
      <c r="C1653" s="40" t="str">
        <f>IFERROR(__xludf.DUMMYFUNCTION("TEXTJOIN("", "",TRUE,UNIQUE(FILTER('Data Master'!$B$2:$B1887,'Data Master'!$C$2:$C1887=A1653)))"),"petani")</f>
        <v>petani</v>
      </c>
      <c r="D1653" s="40" t="str">
        <f>IFERROR(__xludf.DUMMYFUNCTION("TEXTJOIN("", "",TRUE,UNIQUE(FILTER('Data Master'!$D$2:$D1887,'Data Master'!$C$2:$C1887=A1653)))"),"")</f>
        <v/>
      </c>
    </row>
    <row r="1654" hidden="1">
      <c r="C1654" s="40" t="str">
        <f>IFERROR(__xludf.DUMMYFUNCTION("TEXTJOIN("", "",TRUE,UNIQUE(FILTER('Data Master'!$B$2:$B1887,'Data Master'!$C$2:$C1887=A1654)))"),"petani")</f>
        <v>petani</v>
      </c>
      <c r="D1654" s="40" t="str">
        <f>IFERROR(__xludf.DUMMYFUNCTION("TEXTJOIN("", "",TRUE,UNIQUE(FILTER('Data Master'!$D$2:$D1887,'Data Master'!$C$2:$C1887=A1654)))"),"")</f>
        <v/>
      </c>
    </row>
    <row r="1655" hidden="1">
      <c r="C1655" s="40" t="str">
        <f>IFERROR(__xludf.DUMMYFUNCTION("TEXTJOIN("", "",TRUE,UNIQUE(FILTER('Data Master'!$B$2:$B1887,'Data Master'!$C$2:$C1887=A1655)))"),"petani")</f>
        <v>petani</v>
      </c>
      <c r="D1655" s="40" t="str">
        <f>IFERROR(__xludf.DUMMYFUNCTION("TEXTJOIN("", "",TRUE,UNIQUE(FILTER('Data Master'!$D$2:$D1887,'Data Master'!$C$2:$C1887=A1655)))"),"")</f>
        <v/>
      </c>
    </row>
    <row r="1656" hidden="1">
      <c r="C1656" s="40" t="str">
        <f>IFERROR(__xludf.DUMMYFUNCTION("TEXTJOIN("", "",TRUE,UNIQUE(FILTER('Data Master'!$B$2:$B1887,'Data Master'!$C$2:$C1887=A1656)))"),"petani")</f>
        <v>petani</v>
      </c>
      <c r="D1656" s="40" t="str">
        <f>IFERROR(__xludf.DUMMYFUNCTION("TEXTJOIN("", "",TRUE,UNIQUE(FILTER('Data Master'!$D$2:$D1887,'Data Master'!$C$2:$C1887=A1656)))"),"")</f>
        <v/>
      </c>
    </row>
    <row r="1657" hidden="1">
      <c r="C1657" s="40" t="str">
        <f>IFERROR(__xludf.DUMMYFUNCTION("TEXTJOIN("", "",TRUE,UNIQUE(FILTER('Data Master'!$B$2:$B1887,'Data Master'!$C$2:$C1887=A1657)))"),"petani")</f>
        <v>petani</v>
      </c>
      <c r="D1657" s="40" t="str">
        <f>IFERROR(__xludf.DUMMYFUNCTION("TEXTJOIN("", "",TRUE,UNIQUE(FILTER('Data Master'!$D$2:$D1887,'Data Master'!$C$2:$C1887=A1657)))"),"")</f>
        <v/>
      </c>
    </row>
    <row r="1658" hidden="1">
      <c r="C1658" s="40" t="str">
        <f>IFERROR(__xludf.DUMMYFUNCTION("TEXTJOIN("", "",TRUE,UNIQUE(FILTER('Data Master'!$B$2:$B1887,'Data Master'!$C$2:$C1887=A1658)))"),"petani")</f>
        <v>petani</v>
      </c>
      <c r="D1658" s="40" t="str">
        <f>IFERROR(__xludf.DUMMYFUNCTION("TEXTJOIN("", "",TRUE,UNIQUE(FILTER('Data Master'!$D$2:$D1887,'Data Master'!$C$2:$C1887=A1658)))"),"suroso@petani.com")</f>
        <v>suroso@petani.com</v>
      </c>
    </row>
    <row r="1659" hidden="1">
      <c r="C1659" s="40" t="str">
        <f>IFERROR(__xludf.DUMMYFUNCTION("TEXTJOIN("", "",TRUE,UNIQUE(FILTER('Data Master'!$B$2:$B1887,'Data Master'!$C$2:$C1887=A1659)))"),"petani")</f>
        <v>petani</v>
      </c>
      <c r="D1659" s="40" t="str">
        <f>IFERROR(__xludf.DUMMYFUNCTION("TEXTJOIN("", "",TRUE,UNIQUE(FILTER('Data Master'!$D$2:$D1887,'Data Master'!$C$2:$C1887=A1659)))"),"suroto@gmail.com")</f>
        <v>suroto@gmail.com</v>
      </c>
    </row>
    <row r="1660" hidden="1">
      <c r="C1660" s="40" t="str">
        <f>IFERROR(__xludf.DUMMYFUNCTION("TEXTJOIN("", "",TRUE,UNIQUE(FILTER('Data Master'!$B$2:$B1887,'Data Master'!$C$2:$C1887=A1660)))"),"petani")</f>
        <v>petani</v>
      </c>
      <c r="D1660" s="40" t="str">
        <f>IFERROR(__xludf.DUMMYFUNCTION("TEXTJOIN("", "",TRUE,UNIQUE(FILTER('Data Master'!$D$2:$D1887,'Data Master'!$C$2:$C1887=A1660)))"),"")</f>
        <v/>
      </c>
    </row>
    <row r="1661" hidden="1">
      <c r="C1661" s="40" t="str">
        <f>IFERROR(__xludf.DUMMYFUNCTION("TEXTJOIN("", "",TRUE,UNIQUE(FILTER('Data Master'!$B$2:$B1887,'Data Master'!$C$2:$C1887=A1661)))"),"petani")</f>
        <v>petani</v>
      </c>
      <c r="D1661" s="40" t="str">
        <f>IFERROR(__xludf.DUMMYFUNCTION("TEXTJOIN("", "",TRUE,UNIQUE(FILTER('Data Master'!$D$2:$D1887,'Data Master'!$C$2:$C1887=A1661)))"),"")</f>
        <v/>
      </c>
    </row>
    <row r="1662" hidden="1">
      <c r="C1662" s="40" t="str">
        <f>IFERROR(__xludf.DUMMYFUNCTION("TEXTJOIN("", "",TRUE,UNIQUE(FILTER('Data Master'!$B$2:$B1887,'Data Master'!$C$2:$C1887=A1662)))"),"petani")</f>
        <v>petani</v>
      </c>
      <c r="D1662" s="40" t="str">
        <f>IFERROR(__xludf.DUMMYFUNCTION("TEXTJOIN("", "",TRUE,UNIQUE(FILTER('Data Master'!$D$2:$D1887,'Data Master'!$C$2:$C1887=A1662)))"),"")</f>
        <v/>
      </c>
    </row>
    <row r="1663" hidden="1">
      <c r="C1663" s="40" t="str">
        <f>IFERROR(__xludf.DUMMYFUNCTION("TEXTJOIN("", "",TRUE,UNIQUE(FILTER('Data Master'!$B$2:$B1887,'Data Master'!$C$2:$C1887=A1663)))"),"petani")</f>
        <v>petani</v>
      </c>
      <c r="D1663" s="40" t="str">
        <f>IFERROR(__xludf.DUMMYFUNCTION("TEXTJOIN("", "",TRUE,UNIQUE(FILTER('Data Master'!$D$2:$D1887,'Data Master'!$C$2:$C1887=A1663)))"),"")</f>
        <v/>
      </c>
    </row>
    <row r="1664" hidden="1">
      <c r="C1664" s="40" t="str">
        <f>IFERROR(__xludf.DUMMYFUNCTION("TEXTJOIN("", "",TRUE,UNIQUE(FILTER('Data Master'!$B$2:$B1887,'Data Master'!$C$2:$C1887=A1664)))"),"petani")</f>
        <v>petani</v>
      </c>
      <c r="D1664" s="40" t="str">
        <f>IFERROR(__xludf.DUMMYFUNCTION("TEXTJOIN("", "",TRUE,UNIQUE(FILTER('Data Master'!$D$2:$D1887,'Data Master'!$C$2:$C1887=A1664)))"),"")</f>
        <v/>
      </c>
    </row>
    <row r="1665" hidden="1">
      <c r="C1665" s="40" t="str">
        <f>IFERROR(__xludf.DUMMYFUNCTION("TEXTJOIN("", "",TRUE,UNIQUE(FILTER('Data Master'!$B$2:$B1887,'Data Master'!$C$2:$C1887=A1665)))"),"petani")</f>
        <v>petani</v>
      </c>
      <c r="D1665" s="40" t="str">
        <f>IFERROR(__xludf.DUMMYFUNCTION("TEXTJOIN("", "",TRUE,UNIQUE(FILTER('Data Master'!$D$2:$D1887,'Data Master'!$C$2:$C1887=A1665)))"),"")</f>
        <v/>
      </c>
    </row>
    <row r="1666" hidden="1">
      <c r="C1666" s="40" t="str">
        <f>IFERROR(__xludf.DUMMYFUNCTION("TEXTJOIN("", "",TRUE,UNIQUE(FILTER('Data Master'!$B$2:$B1887,'Data Master'!$C$2:$C1887=A1666)))"),"petani")</f>
        <v>petani</v>
      </c>
      <c r="D1666" s="40" t="str">
        <f>IFERROR(__xludf.DUMMYFUNCTION("TEXTJOIN("", "",TRUE,UNIQUE(FILTER('Data Master'!$D$2:$D1887,'Data Master'!$C$2:$C1887=A1666)))"),"")</f>
        <v/>
      </c>
    </row>
    <row r="1667" hidden="1">
      <c r="C1667" s="40" t="str">
        <f>IFERROR(__xludf.DUMMYFUNCTION("TEXTJOIN("", "",TRUE,UNIQUE(FILTER('Data Master'!$B$2:$B1887,'Data Master'!$C$2:$C1887=A1667)))"),"petani")</f>
        <v>petani</v>
      </c>
      <c r="D1667" s="40" t="str">
        <f>IFERROR(__xludf.DUMMYFUNCTION("TEXTJOIN("", "",TRUE,UNIQUE(FILTER('Data Master'!$D$2:$D1887,'Data Master'!$C$2:$C1887=A1667)))"),"")</f>
        <v/>
      </c>
    </row>
    <row r="1668" hidden="1">
      <c r="C1668" s="40" t="str">
        <f>IFERROR(__xludf.DUMMYFUNCTION("TEXTJOIN("", "",TRUE,UNIQUE(FILTER('Data Master'!$B$2:$B1887,'Data Master'!$C$2:$C1887=A1668)))"),"petani")</f>
        <v>petani</v>
      </c>
      <c r="D1668" s="40" t="str">
        <f>IFERROR(__xludf.DUMMYFUNCTION("TEXTJOIN("", "",TRUE,UNIQUE(FILTER('Data Master'!$D$2:$D1887,'Data Master'!$C$2:$C1887=A1668)))"),"")</f>
        <v/>
      </c>
    </row>
    <row r="1669" hidden="1">
      <c r="C1669" s="40" t="str">
        <f>IFERROR(__xludf.DUMMYFUNCTION("TEXTJOIN("", "",TRUE,UNIQUE(FILTER('Data Master'!$B$2:$B1887,'Data Master'!$C$2:$C1887=A1669)))"),"petani")</f>
        <v>petani</v>
      </c>
      <c r="D1669" s="40" t="str">
        <f>IFERROR(__xludf.DUMMYFUNCTION("TEXTJOIN("", "",TRUE,UNIQUE(FILTER('Data Master'!$D$2:$D1887,'Data Master'!$C$2:$C1887=A1669)))"),"")</f>
        <v/>
      </c>
    </row>
    <row r="1670" hidden="1">
      <c r="C1670" s="40" t="str">
        <f>IFERROR(__xludf.DUMMYFUNCTION("TEXTJOIN("", "",TRUE,UNIQUE(FILTER('Data Master'!$B$2:$B1887,'Data Master'!$C$2:$C1887=A1670)))"),"petani")</f>
        <v>petani</v>
      </c>
      <c r="D1670" s="40" t="str">
        <f>IFERROR(__xludf.DUMMYFUNCTION("TEXTJOIN("", "",TRUE,UNIQUE(FILTER('Data Master'!$D$2:$D1887,'Data Master'!$C$2:$C1887=A1670)))"),"")</f>
        <v/>
      </c>
    </row>
    <row r="1671" hidden="1">
      <c r="C1671" s="40" t="str">
        <f>IFERROR(__xludf.DUMMYFUNCTION("TEXTJOIN("", "",TRUE,UNIQUE(FILTER('Data Master'!$B$2:$B1887,'Data Master'!$C$2:$C1887=A1671)))"),"petani")</f>
        <v>petani</v>
      </c>
      <c r="D1671" s="40" t="str">
        <f>IFERROR(__xludf.DUMMYFUNCTION("TEXTJOIN("", "",TRUE,UNIQUE(FILTER('Data Master'!$D$2:$D1887,'Data Master'!$C$2:$C1887=A1671)))"),"")</f>
        <v/>
      </c>
    </row>
    <row r="1672" hidden="1">
      <c r="C1672" s="40" t="str">
        <f>IFERROR(__xludf.DUMMYFUNCTION("TEXTJOIN("", "",TRUE,UNIQUE(FILTER('Data Master'!$B$2:$B1887,'Data Master'!$C$2:$C1887=A1672)))"),"petani")</f>
        <v>petani</v>
      </c>
      <c r="D1672" s="40" t="str">
        <f>IFERROR(__xludf.DUMMYFUNCTION("TEXTJOIN("", "",TRUE,UNIQUE(FILTER('Data Master'!$D$2:$D1887,'Data Master'!$C$2:$C1887=A1672)))"),"")</f>
        <v/>
      </c>
    </row>
    <row r="1673" hidden="1">
      <c r="C1673" s="40" t="str">
        <f>IFERROR(__xludf.DUMMYFUNCTION("TEXTJOIN("", "",TRUE,UNIQUE(FILTER('Data Master'!$B$2:$B1887,'Data Master'!$C$2:$C1887=A1673)))"),"penyuluh")</f>
        <v>penyuluh</v>
      </c>
      <c r="D1673" s="40" t="str">
        <f>IFERROR(__xludf.DUMMYFUNCTION("TEXTJOIN("", "",TRUE,UNIQUE(FILTER('Data Master'!$D$2:$D1887,'Data Master'!$C$2:$C1887=A1673)))"),"auliatikno81@gmail.com")</f>
        <v>auliatikno81@gmail.com</v>
      </c>
    </row>
    <row r="1674" hidden="1">
      <c r="C1674" s="40" t="str">
        <f>IFERROR(__xludf.DUMMYFUNCTION("TEXTJOIN("", "",TRUE,UNIQUE(FILTER('Data Master'!$B$2:$B1887,'Data Master'!$C$2:$C1887=A1674)))"),"petani")</f>
        <v>petani</v>
      </c>
      <c r="D1674" s="40" t="str">
        <f>IFERROR(__xludf.DUMMYFUNCTION("TEXTJOIN("", "",TRUE,UNIQUE(FILTER('Data Master'!$D$2:$D1887,'Data Master'!$C$2:$C1887=A1674)))"),"")</f>
        <v/>
      </c>
    </row>
    <row r="1675" hidden="1">
      <c r="C1675" s="40" t="str">
        <f>IFERROR(__xludf.DUMMYFUNCTION("TEXTJOIN("", "",TRUE,UNIQUE(FILTER('Data Master'!$B$2:$B1887,'Data Master'!$C$2:$C1887=A1675)))"),"petani")</f>
        <v>petani</v>
      </c>
      <c r="D1675" s="40" t="str">
        <f>IFERROR(__xludf.DUMMYFUNCTION("TEXTJOIN("", "",TRUE,UNIQUE(FILTER('Data Master'!$D$2:$D1887,'Data Master'!$C$2:$C1887=A1675)))"),"")</f>
        <v/>
      </c>
    </row>
    <row r="1676" hidden="1">
      <c r="C1676" s="40" t="str">
        <f>IFERROR(__xludf.DUMMYFUNCTION("TEXTJOIN("", "",TRUE,UNIQUE(FILTER('Data Master'!$B$2:$B1887,'Data Master'!$C$2:$C1887=A1676)))"),"petani")</f>
        <v>petani</v>
      </c>
      <c r="D1676" s="40" t="str">
        <f>IFERROR(__xludf.DUMMYFUNCTION("TEXTJOIN("", "",TRUE,UNIQUE(FILTER('Data Master'!$D$2:$D1887,'Data Master'!$C$2:$C1887=A1676)))"),"")</f>
        <v/>
      </c>
    </row>
    <row r="1677" hidden="1">
      <c r="C1677" s="40" t="str">
        <f>IFERROR(__xludf.DUMMYFUNCTION("TEXTJOIN("", "",TRUE,UNIQUE(FILTER('Data Master'!$B$2:$B1887,'Data Master'!$C$2:$C1887=A1677)))"),"petani")</f>
        <v>petani</v>
      </c>
      <c r="D1677" s="40" t="str">
        <f>IFERROR(__xludf.DUMMYFUNCTION("TEXTJOIN("", "",TRUE,UNIQUE(FILTER('Data Master'!$D$2:$D1887,'Data Master'!$C$2:$C1887=A1677)))"),"")</f>
        <v/>
      </c>
    </row>
    <row r="1678" hidden="1">
      <c r="C1678" s="40" t="str">
        <f>IFERROR(__xludf.DUMMYFUNCTION("TEXTJOIN("", "",TRUE,UNIQUE(FILTER('Data Master'!$B$2:$B1887,'Data Master'!$C$2:$C1887=A1678)))"),"petani")</f>
        <v>petani</v>
      </c>
      <c r="D1678" s="40" t="str">
        <f>IFERROR(__xludf.DUMMYFUNCTION("TEXTJOIN("", "",TRUE,UNIQUE(FILTER('Data Master'!$D$2:$D1887,'Data Master'!$C$2:$C1887=A1678)))"),"")</f>
        <v/>
      </c>
    </row>
    <row r="1679" hidden="1">
      <c r="C1679" s="40" t="str">
        <f>IFERROR(__xludf.DUMMYFUNCTION("TEXTJOIN("", "",TRUE,UNIQUE(FILTER('Data Master'!$B$2:$B1887,'Data Master'!$C$2:$C1887=A1679)))"),"petani")</f>
        <v>petani</v>
      </c>
      <c r="D1679" s="40" t="str">
        <f>IFERROR(__xludf.DUMMYFUNCTION("TEXTJOIN("", "",TRUE,UNIQUE(FILTER('Data Master'!$D$2:$D1887,'Data Master'!$C$2:$C1887=A1679)))"),"")</f>
        <v/>
      </c>
    </row>
    <row r="1680" hidden="1">
      <c r="C1680" s="40" t="str">
        <f>IFERROR(__xludf.DUMMYFUNCTION("TEXTJOIN("", "",TRUE,UNIQUE(FILTER('Data Master'!$B$2:$B1887,'Data Master'!$C$2:$C1887=A1680)))"),"petani")</f>
        <v>petani</v>
      </c>
      <c r="D1680" s="40" t="str">
        <f>IFERROR(__xludf.DUMMYFUNCTION("TEXTJOIN("", "",TRUE,UNIQUE(FILTER('Data Master'!$D$2:$D1887,'Data Master'!$C$2:$C1887=A1680)))"),"")</f>
        <v/>
      </c>
    </row>
    <row r="1681" hidden="1">
      <c r="C1681" s="40" t="str">
        <f>IFERROR(__xludf.DUMMYFUNCTION("TEXTJOIN("", "",TRUE,UNIQUE(FILTER('Data Master'!$B$2:$B1887,'Data Master'!$C$2:$C1887=A1681)))"),"petani")</f>
        <v>petani</v>
      </c>
      <c r="D1681" s="40" t="str">
        <f>IFERROR(__xludf.DUMMYFUNCTION("TEXTJOIN("", "",TRUE,UNIQUE(FILTER('Data Master'!$D$2:$D1887,'Data Master'!$C$2:$C1887=A1681)))"),"")</f>
        <v/>
      </c>
    </row>
    <row r="1682" hidden="1">
      <c r="C1682" s="40" t="str">
        <f>IFERROR(__xludf.DUMMYFUNCTION("TEXTJOIN("", "",TRUE,UNIQUE(FILTER('Data Master'!$B$2:$B1887,'Data Master'!$C$2:$C1887=A1682)))"),"petani")</f>
        <v>petani</v>
      </c>
      <c r="D1682" s="40" t="str">
        <f>IFERROR(__xludf.DUMMYFUNCTION("TEXTJOIN("", "",TRUE,UNIQUE(FILTER('Data Master'!$D$2:$D1887,'Data Master'!$C$2:$C1887=A1682)))"),"null")</f>
        <v>null</v>
      </c>
    </row>
    <row r="1683" hidden="1">
      <c r="C1683" s="40" t="str">
        <f>IFERROR(__xludf.DUMMYFUNCTION("TEXTJOIN("", "",TRUE,UNIQUE(FILTER('Data Master'!$B$2:$B1887,'Data Master'!$C$2:$C1887=A1683)))"),"petani")</f>
        <v>petani</v>
      </c>
      <c r="D1683" s="40" t="str">
        <f>IFERROR(__xludf.DUMMYFUNCTION("TEXTJOIN("", "",TRUE,UNIQUE(FILTER('Data Master'!$D$2:$D1887,'Data Master'!$C$2:$C1887=A1683)))"),"")</f>
        <v/>
      </c>
    </row>
    <row r="1684" hidden="1">
      <c r="C1684" s="40" t="str">
        <f>IFERROR(__xludf.DUMMYFUNCTION("TEXTJOIN("", "",TRUE,UNIQUE(FILTER('Data Master'!$B$2:$B1887,'Data Master'!$C$2:$C1887=A1684)))"),"petani")</f>
        <v>petani</v>
      </c>
      <c r="D1684" s="40" t="str">
        <f>IFERROR(__xludf.DUMMYFUNCTION("TEXTJOIN("", "",TRUE,UNIQUE(FILTER('Data Master'!$D$2:$D1887,'Data Master'!$C$2:$C1887=A1684)))"),"")</f>
        <v/>
      </c>
    </row>
    <row r="1685" hidden="1">
      <c r="C1685" s="40" t="str">
        <f>IFERROR(__xludf.DUMMYFUNCTION("TEXTJOIN("", "",TRUE,UNIQUE(FILTER('Data Master'!$B$2:$B1887,'Data Master'!$C$2:$C1887=A1685)))"),"petani")</f>
        <v>petani</v>
      </c>
      <c r="D1685" s="40" t="str">
        <f>IFERROR(__xludf.DUMMYFUNCTION("TEXTJOIN("", "",TRUE,UNIQUE(FILTER('Data Master'!$D$2:$D1887,'Data Master'!$C$2:$C1887=A1685)))"),"")</f>
        <v/>
      </c>
    </row>
    <row r="1686" hidden="1">
      <c r="C1686" s="40" t="str">
        <f>IFERROR(__xludf.DUMMYFUNCTION("TEXTJOIN("", "",TRUE,UNIQUE(FILTER('Data Master'!$B$2:$B1887,'Data Master'!$C$2:$C1887=A1686)))"),"penyuluh")</f>
        <v>penyuluh</v>
      </c>
      <c r="D1686" s="40" t="str">
        <f>IFERROR(__xludf.DUMMYFUNCTION("TEXTJOIN("", "",TRUE,UNIQUE(FILTER('Data Master'!$D$2:$D1887,'Data Master'!$C$2:$C1887=A1686)))"),"wandisakdermo@gmail.com")</f>
        <v>wandisakdermo@gmail.com</v>
      </c>
    </row>
    <row r="1687" hidden="1">
      <c r="C1687" s="40" t="str">
        <f>IFERROR(__xludf.DUMMYFUNCTION("TEXTJOIN("", "",TRUE,UNIQUE(FILTER('Data Master'!$B$2:$B1887,'Data Master'!$C$2:$C1887=A1687)))"),"penyuluh")</f>
        <v>penyuluh</v>
      </c>
      <c r="D1687" s="40" t="str">
        <f>IFERROR(__xludf.DUMMYFUNCTION("TEXTJOIN("", "",TRUE,UNIQUE(FILTER('Data Master'!$D$2:$D1887,'Data Master'!$C$2:$C1887=A1687)))"),"")</f>
        <v/>
      </c>
    </row>
    <row r="1688" hidden="1">
      <c r="C1688" s="40" t="str">
        <f>IFERROR(__xludf.DUMMYFUNCTION("TEXTJOIN("", "",TRUE,UNIQUE(FILTER('Data Master'!$B$2:$B1887,'Data Master'!$C$2:$C1887=A1688)))"),"petani")</f>
        <v>petani</v>
      </c>
      <c r="D1688" s="40" t="str">
        <f>IFERROR(__xludf.DUMMYFUNCTION("TEXTJOIN("", "",TRUE,UNIQUE(FILTER('Data Master'!$D$2:$D1887,'Data Master'!$C$2:$C1887=A1688)))"),"")</f>
        <v/>
      </c>
    </row>
    <row r="1689" hidden="1">
      <c r="C1689" s="40" t="str">
        <f>IFERROR(__xludf.DUMMYFUNCTION("TEXTJOIN("", "",TRUE,UNIQUE(FILTER('Data Master'!$B$2:$B1887,'Data Master'!$C$2:$C1887=A1689)))"),"petani")</f>
        <v>petani</v>
      </c>
      <c r="D1689" s="40" t="str">
        <f>IFERROR(__xludf.DUMMYFUNCTION("TEXTJOIN("", "",TRUE,UNIQUE(FILTER('Data Master'!$D$2:$D1887,'Data Master'!$C$2:$C1887=A1689)))"),"")</f>
        <v/>
      </c>
    </row>
    <row r="1690" hidden="1">
      <c r="C1690" s="40" t="str">
        <f>IFERROR(__xludf.DUMMYFUNCTION("TEXTJOIN("", "",TRUE,UNIQUE(FILTER('Data Master'!$B$2:$B1887,'Data Master'!$C$2:$C1887=A1690)))"),"petani")</f>
        <v>petani</v>
      </c>
      <c r="D1690" s="40" t="str">
        <f>IFERROR(__xludf.DUMMYFUNCTION("TEXTJOIN("", "",TRUE,UNIQUE(FILTER('Data Master'!$D$2:$D1887,'Data Master'!$C$2:$C1887=A1690)))"),"")</f>
        <v/>
      </c>
    </row>
    <row r="1691" hidden="1">
      <c r="C1691" s="40" t="str">
        <f>IFERROR(__xludf.DUMMYFUNCTION("TEXTJOIN("", "",TRUE,UNIQUE(FILTER('Data Master'!$B$2:$B1887,'Data Master'!$C$2:$C1887=A1691)))"),"petani")</f>
        <v>petani</v>
      </c>
      <c r="D1691" s="40" t="str">
        <f>IFERROR(__xludf.DUMMYFUNCTION("TEXTJOIN("", "",TRUE,UNIQUE(FILTER('Data Master'!$D$2:$D1887,'Data Master'!$C$2:$C1887=A1691)))"),"")</f>
        <v/>
      </c>
    </row>
    <row r="1692" hidden="1">
      <c r="C1692" s="40" t="str">
        <f>IFERROR(__xludf.DUMMYFUNCTION("TEXTJOIN("", "",TRUE,UNIQUE(FILTER('Data Master'!$B$2:$B1887,'Data Master'!$C$2:$C1887=A1692)))"),"penyuluh")</f>
        <v>penyuluh</v>
      </c>
      <c r="D1692" s="40" t="str">
        <f>IFERROR(__xludf.DUMMYFUNCTION("TEXTJOIN("", "",TRUE,UNIQUE(FILTER('Data Master'!$D$2:$D1887,'Data Master'!$C$2:$C1887=A1692)))"),"suwartibpp@gmail.com")</f>
        <v>suwartibpp@gmail.com</v>
      </c>
    </row>
    <row r="1693" hidden="1">
      <c r="C1693" s="40" t="str">
        <f>IFERROR(__xludf.DUMMYFUNCTION("TEXTJOIN("", "",TRUE,UNIQUE(FILTER('Data Master'!$B$2:$B1887,'Data Master'!$C$2:$C1887=A1693)))"),"petani")</f>
        <v>petani</v>
      </c>
      <c r="D1693" s="40" t="str">
        <f>IFERROR(__xludf.DUMMYFUNCTION("TEXTJOIN("", "",TRUE,UNIQUE(FILTER('Data Master'!$D$2:$D1887,'Data Master'!$C$2:$C1887=A1693)))"),"")</f>
        <v/>
      </c>
    </row>
    <row r="1694" hidden="1">
      <c r="C1694" s="40" t="str">
        <f>IFERROR(__xludf.DUMMYFUNCTION("TEXTJOIN("", "",TRUE,UNIQUE(FILTER('Data Master'!$B$2:$B1887,'Data Master'!$C$2:$C1887=A1694)))"),"petani")</f>
        <v>petani</v>
      </c>
      <c r="D1694" s="40" t="str">
        <f>IFERROR(__xludf.DUMMYFUNCTION("TEXTJOIN("", "",TRUE,UNIQUE(FILTER('Data Master'!$D$2:$D1887,'Data Master'!$C$2:$C1887=A1694)))"),"")</f>
        <v/>
      </c>
    </row>
    <row r="1695" hidden="1">
      <c r="C1695" s="40" t="str">
        <f>IFERROR(__xludf.DUMMYFUNCTION("TEXTJOIN("", "",TRUE,UNIQUE(FILTER('Data Master'!$B$2:$B1887,'Data Master'!$C$2:$C1887=A1695)))"),"penyuluh")</f>
        <v>penyuluh</v>
      </c>
      <c r="D1695" s="40" t="str">
        <f>IFERROR(__xludf.DUMMYFUNCTION("TEXTJOIN("", "",TRUE,UNIQUE(FILTER('Data Master'!$D$2:$D1887,'Data Master'!$C$2:$C1887=A1695)))"),"")</f>
        <v/>
      </c>
    </row>
    <row r="1696" hidden="1">
      <c r="C1696" s="40" t="str">
        <f>IFERROR(__xludf.DUMMYFUNCTION("TEXTJOIN("", "",TRUE,UNIQUE(FILTER('Data Master'!$B$2:$B1887,'Data Master'!$C$2:$C1887=A1696)))"),"petani")</f>
        <v>petani</v>
      </c>
      <c r="D1696" s="40" t="str">
        <f>IFERROR(__xludf.DUMMYFUNCTION("TEXTJOIN("", "",TRUE,UNIQUE(FILTER('Data Master'!$D$2:$D1887,'Data Master'!$C$2:$C1887=A1696)))"),"")</f>
        <v/>
      </c>
    </row>
    <row r="1697" hidden="1">
      <c r="C1697" s="40" t="str">
        <f>IFERROR(__xludf.DUMMYFUNCTION("TEXTJOIN("", "",TRUE,UNIQUE(FILTER('Data Master'!$B$2:$B1887,'Data Master'!$C$2:$C1887=A1697)))"),"petani")</f>
        <v>petani</v>
      </c>
      <c r="D1697" s="40" t="str">
        <f>IFERROR(__xludf.DUMMYFUNCTION("TEXTJOIN("", "",TRUE,UNIQUE(FILTER('Data Master'!$D$2:$D1887,'Data Master'!$C$2:$C1887=A1697)))"),"")</f>
        <v/>
      </c>
    </row>
    <row r="1698" hidden="1">
      <c r="C1698" s="40" t="str">
        <f>IFERROR(__xludf.DUMMYFUNCTION("TEXTJOIN("", "",TRUE,UNIQUE(FILTER('Data Master'!$B$2:$B1887,'Data Master'!$C$2:$C1887=A1698)))"),"petani")</f>
        <v>petani</v>
      </c>
      <c r="D1698" s="40" t="str">
        <f>IFERROR(__xludf.DUMMYFUNCTION("TEXTJOIN("", "",TRUE,UNIQUE(FILTER('Data Master'!$D$2:$D1887,'Data Master'!$C$2:$C1887=A1698)))"),"")</f>
        <v/>
      </c>
    </row>
    <row r="1699" hidden="1">
      <c r="C1699" s="40" t="str">
        <f>IFERROR(__xludf.DUMMYFUNCTION("TEXTJOIN("", "",TRUE,UNIQUE(FILTER('Data Master'!$B$2:$B1887,'Data Master'!$C$2:$C1887=A1699)))"),"penyuluh")</f>
        <v>penyuluh</v>
      </c>
      <c r="D1699" s="40" t="str">
        <f>IFERROR(__xludf.DUMMYFUNCTION("TEXTJOIN("", "",TRUE,UNIQUE(FILTER('Data Master'!$D$2:$D1887,'Data Master'!$C$2:$C1887=A1699)))"),"")</f>
        <v/>
      </c>
    </row>
    <row r="1700" hidden="1">
      <c r="C1700" s="40" t="str">
        <f>IFERROR(__xludf.DUMMYFUNCTION("TEXTJOIN("", "",TRUE,UNIQUE(FILTER('Data Master'!$B$2:$B1887,'Data Master'!$C$2:$C1887=A1700)))"),"petani")</f>
        <v>petani</v>
      </c>
      <c r="D1700" s="40" t="str">
        <f>IFERROR(__xludf.DUMMYFUNCTION("TEXTJOIN("", "",TRUE,UNIQUE(FILTER('Data Master'!$D$2:$D1887,'Data Master'!$C$2:$C1887=A1700)))"),"")</f>
        <v/>
      </c>
    </row>
    <row r="1701" hidden="1">
      <c r="C1701" s="40" t="str">
        <f>IFERROR(__xludf.DUMMYFUNCTION("TEXTJOIN("", "",TRUE,UNIQUE(FILTER('Data Master'!$B$2:$B1887,'Data Master'!$C$2:$C1887=A1701)))"),"petani")</f>
        <v>petani</v>
      </c>
      <c r="D1701" s="40" t="str">
        <f>IFERROR(__xludf.DUMMYFUNCTION("TEXTJOIN("", "",TRUE,UNIQUE(FILTER('Data Master'!$D$2:$D1887,'Data Master'!$C$2:$C1887=A1701)))"),"")</f>
        <v/>
      </c>
    </row>
    <row r="1702" hidden="1">
      <c r="C1702" s="40" t="str">
        <f>IFERROR(__xludf.DUMMYFUNCTION("TEXTJOIN("", "",TRUE,UNIQUE(FILTER('Data Master'!$B$2:$B1887,'Data Master'!$C$2:$C1887=A1702)))"),"petani")</f>
        <v>petani</v>
      </c>
      <c r="D1702" s="40" t="str">
        <f>IFERROR(__xludf.DUMMYFUNCTION("TEXTJOIN("", "",TRUE,UNIQUE(FILTER('Data Master'!$D$2:$D1887,'Data Master'!$C$2:$C1887=A1702)))"),"")</f>
        <v/>
      </c>
    </row>
    <row r="1703" hidden="1">
      <c r="C1703" s="40" t="str">
        <f>IFERROR(__xludf.DUMMYFUNCTION("TEXTJOIN("", "",TRUE,UNIQUE(FILTER('Data Master'!$B$2:$B1887,'Data Master'!$C$2:$C1887=A1703)))"),"petani")</f>
        <v>petani</v>
      </c>
      <c r="D1703" s="40" t="str">
        <f>IFERROR(__xludf.DUMMYFUNCTION("TEXTJOIN("", "",TRUE,UNIQUE(FILTER('Data Master'!$D$2:$D1887,'Data Master'!$C$2:$C1887=A1703)))"),"")</f>
        <v/>
      </c>
    </row>
    <row r="1704" hidden="1">
      <c r="C1704" s="40" t="str">
        <f>IFERROR(__xludf.DUMMYFUNCTION("TEXTJOIN("", "",TRUE,UNIQUE(FILTER('Data Master'!$B$2:$B1887,'Data Master'!$C$2:$C1887=A1704)))"),"petani")</f>
        <v>petani</v>
      </c>
      <c r="D1704" s="40" t="str">
        <f>IFERROR(__xludf.DUMMYFUNCTION("TEXTJOIN("", "",TRUE,UNIQUE(FILTER('Data Master'!$D$2:$D1887,'Data Master'!$C$2:$C1887=A1704)))"),"")</f>
        <v/>
      </c>
    </row>
    <row r="1705" hidden="1">
      <c r="C1705" s="40" t="str">
        <f>IFERROR(__xludf.DUMMYFUNCTION("TEXTJOIN("", "",TRUE,UNIQUE(FILTER('Data Master'!$B$2:$B1887,'Data Master'!$C$2:$C1887=A1705)))"),"penyuluh")</f>
        <v>penyuluh</v>
      </c>
      <c r="D1705" s="40" t="str">
        <f>IFERROR(__xludf.DUMMYFUNCTION("TEXTJOIN("", "",TRUE,UNIQUE(FILTER('Data Master'!$D$2:$D1887,'Data Master'!$C$2:$C1887=A1705)))"),"")</f>
        <v/>
      </c>
    </row>
    <row r="1706" hidden="1">
      <c r="C1706" s="40" t="str">
        <f>IFERROR(__xludf.DUMMYFUNCTION("TEXTJOIN("", "",TRUE,UNIQUE(FILTER('Data Master'!$B$2:$B1887,'Data Master'!$C$2:$C1887=A1706)))"),"petani")</f>
        <v>petani</v>
      </c>
      <c r="D1706" s="40" t="str">
        <f>IFERROR(__xludf.DUMMYFUNCTION("TEXTJOIN("", "",TRUE,UNIQUE(FILTER('Data Master'!$D$2:$D1887,'Data Master'!$C$2:$C1887=A1706)))"),"")</f>
        <v/>
      </c>
    </row>
    <row r="1707" hidden="1">
      <c r="C1707" s="40" t="str">
        <f>IFERROR(__xludf.DUMMYFUNCTION("TEXTJOIN("", "",TRUE,UNIQUE(FILTER('Data Master'!$B$2:$B1887,'Data Master'!$C$2:$C1887=A1707)))"),"petani")</f>
        <v>petani</v>
      </c>
      <c r="D1707" s="40" t="str">
        <f>IFERROR(__xludf.DUMMYFUNCTION("TEXTJOIN("", "",TRUE,UNIQUE(FILTER('Data Master'!$D$2:$D1887,'Data Master'!$C$2:$C1887=A1707)))"),"")</f>
        <v/>
      </c>
    </row>
    <row r="1708" hidden="1">
      <c r="C1708" s="40" t="str">
        <f>IFERROR(__xludf.DUMMYFUNCTION("TEXTJOIN("", "",TRUE,UNIQUE(FILTER('Data Master'!$B$2:$B1887,'Data Master'!$C$2:$C1887=A1708)))"),"petani")</f>
        <v>petani</v>
      </c>
      <c r="D1708" s="40" t="str">
        <f>IFERROR(__xludf.DUMMYFUNCTION("TEXTJOIN("", "",TRUE,UNIQUE(FILTER('Data Master'!$D$2:$D1887,'Data Master'!$C$2:$C1887=A1708)))"),"")</f>
        <v/>
      </c>
    </row>
    <row r="1709" hidden="1">
      <c r="C1709" s="40" t="str">
        <f>IFERROR(__xludf.DUMMYFUNCTION("TEXTJOIN("", "",TRUE,UNIQUE(FILTER('Data Master'!$B$2:$B1887,'Data Master'!$C$2:$C1887=A1709)))"),"petani")</f>
        <v>petani</v>
      </c>
      <c r="D1709" s="40" t="str">
        <f>IFERROR(__xludf.DUMMYFUNCTION("TEXTJOIN("", "",TRUE,UNIQUE(FILTER('Data Master'!$D$2:$D1887,'Data Master'!$C$2:$C1887=A1709)))"),"")</f>
        <v/>
      </c>
    </row>
    <row r="1710" hidden="1">
      <c r="C1710" s="40" t="str">
        <f>IFERROR(__xludf.DUMMYFUNCTION("TEXTJOIN("", "",TRUE,UNIQUE(FILTER('Data Master'!$B$2:$B1887,'Data Master'!$C$2:$C1887=A1710)))"),"petani")</f>
        <v>petani</v>
      </c>
      <c r="D1710" s="40" t="str">
        <f>IFERROR(__xludf.DUMMYFUNCTION("TEXTJOIN("", "",TRUE,UNIQUE(FILTER('Data Master'!$D$2:$D1887,'Data Master'!$C$2:$C1887=A1710)))"),"")</f>
        <v/>
      </c>
    </row>
    <row r="1711" hidden="1">
      <c r="C1711" s="40" t="str">
        <f>IFERROR(__xludf.DUMMYFUNCTION("TEXTJOIN("", "",TRUE,UNIQUE(FILTER('Data Master'!$B$2:$B1887,'Data Master'!$C$2:$C1887=A1711)))"),"petani")</f>
        <v>petani</v>
      </c>
      <c r="D1711" s="40" t="str">
        <f>IFERROR(__xludf.DUMMYFUNCTION("TEXTJOIN("", "",TRUE,UNIQUE(FILTER('Data Master'!$D$2:$D1887,'Data Master'!$C$2:$C1887=A1711)))"),"")</f>
        <v/>
      </c>
    </row>
    <row r="1712" hidden="1">
      <c r="C1712" s="40" t="str">
        <f>IFERROR(__xludf.DUMMYFUNCTION("TEXTJOIN("", "",TRUE,UNIQUE(FILTER('Data Master'!$B$2:$B1887,'Data Master'!$C$2:$C1887=A1712)))"),"petani")</f>
        <v>petani</v>
      </c>
      <c r="D1712" s="40" t="str">
        <f>IFERROR(__xludf.DUMMYFUNCTION("TEXTJOIN("", "",TRUE,UNIQUE(FILTER('Data Master'!$D$2:$D1887,'Data Master'!$C$2:$C1887=A1712)))"),"")</f>
        <v/>
      </c>
    </row>
    <row r="1713" hidden="1">
      <c r="C1713" s="40" t="str">
        <f>IFERROR(__xludf.DUMMYFUNCTION("TEXTJOIN("", "",TRUE,UNIQUE(FILTER('Data Master'!$B$2:$B1887,'Data Master'!$C$2:$C1887=A1713)))"),"petani")</f>
        <v>petani</v>
      </c>
      <c r="D1713" s="40" t="str">
        <f>IFERROR(__xludf.DUMMYFUNCTION("TEXTJOIN("", "",TRUE,UNIQUE(FILTER('Data Master'!$D$2:$D1887,'Data Master'!$C$2:$C1887=A1713)))"),"")</f>
        <v/>
      </c>
    </row>
    <row r="1714" hidden="1">
      <c r="C1714" s="40" t="str">
        <f>IFERROR(__xludf.DUMMYFUNCTION("TEXTJOIN("", "",TRUE,UNIQUE(FILTER('Data Master'!$B$2:$B1887,'Data Master'!$C$2:$C1887=A1714)))"),"petani")</f>
        <v>petani</v>
      </c>
      <c r="D1714" s="40" t="str">
        <f>IFERROR(__xludf.DUMMYFUNCTION("TEXTJOIN("", "",TRUE,UNIQUE(FILTER('Data Master'!$D$2:$D1887,'Data Master'!$C$2:$C1887=A1714)))"),"")</f>
        <v/>
      </c>
    </row>
    <row r="1715" hidden="1">
      <c r="C1715" s="40" t="str">
        <f>IFERROR(__xludf.DUMMYFUNCTION("TEXTJOIN("", "",TRUE,UNIQUE(FILTER('Data Master'!$B$2:$B1887,'Data Master'!$C$2:$C1887=A1715)))"),"petani")</f>
        <v>petani</v>
      </c>
      <c r="D1715" s="40" t="str">
        <f>IFERROR(__xludf.DUMMYFUNCTION("TEXTJOIN("", "",TRUE,UNIQUE(FILTER('Data Master'!$D$2:$D1887,'Data Master'!$C$2:$C1887=A1715)))"),"")</f>
        <v/>
      </c>
    </row>
    <row r="1716" hidden="1">
      <c r="C1716" s="40" t="str">
        <f>IFERROR(__xludf.DUMMYFUNCTION("TEXTJOIN("", "",TRUE,UNIQUE(FILTER('Data Master'!$B$2:$B1887,'Data Master'!$C$2:$C1887=A1716)))"),"petani")</f>
        <v>petani</v>
      </c>
      <c r="D1716" s="40" t="str">
        <f>IFERROR(__xludf.DUMMYFUNCTION("TEXTJOIN("", "",TRUE,UNIQUE(FILTER('Data Master'!$D$2:$D1887,'Data Master'!$C$2:$C1887=A1716)))"),"")</f>
        <v/>
      </c>
    </row>
    <row r="1717" hidden="1">
      <c r="C1717" s="40" t="str">
        <f>IFERROR(__xludf.DUMMYFUNCTION("TEXTJOIN("", "",TRUE,UNIQUE(FILTER('Data Master'!$B$2:$B1887,'Data Master'!$C$2:$C1887=A1717)))"),"petani")</f>
        <v>petani</v>
      </c>
      <c r="D1717" s="40" t="str">
        <f>IFERROR(__xludf.DUMMYFUNCTION("TEXTJOIN("", "",TRUE,UNIQUE(FILTER('Data Master'!$D$2:$D1887,'Data Master'!$C$2:$C1887=A1717)))"),"")</f>
        <v/>
      </c>
    </row>
    <row r="1718" hidden="1">
      <c r="C1718" s="40" t="str">
        <f>IFERROR(__xludf.DUMMYFUNCTION("TEXTJOIN("", "",TRUE,UNIQUE(FILTER('Data Master'!$B$2:$B1887,'Data Master'!$C$2:$C1887=A1718)))"),"penyuluh")</f>
        <v>penyuluh</v>
      </c>
      <c r="D1718" s="40" t="str">
        <f>IFERROR(__xludf.DUMMYFUNCTION("TEXTJOIN("", "",TRUE,UNIQUE(FILTER('Data Master'!$D$2:$D1887,'Data Master'!$C$2:$C1887=A1718)))"),"takiya@admin.com")</f>
        <v>takiya@admin.com</v>
      </c>
    </row>
    <row r="1719" hidden="1">
      <c r="C1719" s="40" t="str">
        <f>IFERROR(__xludf.DUMMYFUNCTION("TEXTJOIN("", "",TRUE,UNIQUE(FILTER('Data Master'!$B$2:$B1887,'Data Master'!$C$2:$C1887=A1719)))"),"petani")</f>
        <v>petani</v>
      </c>
      <c r="D1719" s="40" t="str">
        <f>IFERROR(__xludf.DUMMYFUNCTION("TEXTJOIN("", "",TRUE,UNIQUE(FILTER('Data Master'!$D$2:$D1887,'Data Master'!$C$2:$C1887=A1719)))"),"")</f>
        <v/>
      </c>
    </row>
    <row r="1720" hidden="1">
      <c r="C1720" s="40" t="str">
        <f>IFERROR(__xludf.DUMMYFUNCTION("TEXTJOIN("", "",TRUE,UNIQUE(FILTER('Data Master'!$B$2:$B1887,'Data Master'!$C$2:$C1887=A1720)))"),"petani")</f>
        <v>petani</v>
      </c>
      <c r="D1720" s="40" t="str">
        <f>IFERROR(__xludf.DUMMYFUNCTION("TEXTJOIN("", "",TRUE,UNIQUE(FILTER('Data Master'!$D$2:$D1887,'Data Master'!$C$2:$C1887=A1720)))"),"")</f>
        <v/>
      </c>
    </row>
    <row r="1721" hidden="1">
      <c r="C1721" s="40" t="str">
        <f>IFERROR(__xludf.DUMMYFUNCTION("TEXTJOIN("", "",TRUE,UNIQUE(FILTER('Data Master'!$B$2:$B1887,'Data Master'!$C$2:$C1887=A1721)))"),"petani")</f>
        <v>petani</v>
      </c>
      <c r="D1721" s="40" t="str">
        <f>IFERROR(__xludf.DUMMYFUNCTION("TEXTJOIN("", "",TRUE,UNIQUE(FILTER('Data Master'!$D$2:$D1887,'Data Master'!$C$2:$C1887=A1721)))"),"")</f>
        <v/>
      </c>
    </row>
    <row r="1722" hidden="1">
      <c r="C1722" s="40" t="str">
        <f>IFERROR(__xludf.DUMMYFUNCTION("TEXTJOIN("", "",TRUE,UNIQUE(FILTER('Data Master'!$B$2:$B1887,'Data Master'!$C$2:$C1887=A1722)))"),"petani")</f>
        <v>petani</v>
      </c>
      <c r="D1722" s="40" t="str">
        <f>IFERROR(__xludf.DUMMYFUNCTION("TEXTJOIN("", "",TRUE,UNIQUE(FILTER('Data Master'!$D$2:$D1887,'Data Master'!$C$2:$C1887=A1722)))"),"")</f>
        <v/>
      </c>
    </row>
    <row r="1723" hidden="1">
      <c r="C1723" s="40" t="str">
        <f>IFERROR(__xludf.DUMMYFUNCTION("TEXTJOIN("", "",TRUE,UNIQUE(FILTER('Data Master'!$B$2:$B1887,'Data Master'!$C$2:$C1887=A1723)))"),"petani")</f>
        <v>petani</v>
      </c>
      <c r="D1723" s="40" t="str">
        <f>IFERROR(__xludf.DUMMYFUNCTION("TEXTJOIN("", "",TRUE,UNIQUE(FILTER('Data Master'!$D$2:$D1887,'Data Master'!$C$2:$C1887=A1723)))"),"")</f>
        <v/>
      </c>
    </row>
    <row r="1724" hidden="1">
      <c r="C1724" s="40" t="str">
        <f>IFERROR(__xludf.DUMMYFUNCTION("TEXTJOIN("", "",TRUE,UNIQUE(FILTER('Data Master'!$B$2:$B1887,'Data Master'!$C$2:$C1887=A1724)))"),"petani")</f>
        <v>petani</v>
      </c>
      <c r="D1724" s="40" t="str">
        <f>IFERROR(__xludf.DUMMYFUNCTION("TEXTJOIN("", "",TRUE,UNIQUE(FILTER('Data Master'!$D$2:$D1887,'Data Master'!$C$2:$C1887=A1724)))"),"")</f>
        <v/>
      </c>
    </row>
    <row r="1725" hidden="1">
      <c r="C1725" s="40" t="str">
        <f>IFERROR(__xludf.DUMMYFUNCTION("TEXTJOIN("", "",TRUE,UNIQUE(FILTER('Data Master'!$B$2:$B1887,'Data Master'!$C$2:$C1887=A1725)))"),"petani")</f>
        <v>petani</v>
      </c>
      <c r="D1725" s="40" t="str">
        <f>IFERROR(__xludf.DUMMYFUNCTION("TEXTJOIN("", "",TRUE,UNIQUE(FILTER('Data Master'!$D$2:$D1887,'Data Master'!$C$2:$C1887=A1725)))"),"")</f>
        <v/>
      </c>
    </row>
    <row r="1726" hidden="1">
      <c r="C1726" s="40" t="str">
        <f>IFERROR(__xludf.DUMMYFUNCTION("TEXTJOIN("", "",TRUE,UNIQUE(FILTER('Data Master'!$B$2:$B1887,'Data Master'!$C$2:$C1887=A1726)))"),"petani")</f>
        <v>petani</v>
      </c>
      <c r="D1726" s="40" t="str">
        <f>IFERROR(__xludf.DUMMYFUNCTION("TEXTJOIN("", "",TRUE,UNIQUE(FILTER('Data Master'!$D$2:$D1887,'Data Master'!$C$2:$C1887=A1726)))"),"")</f>
        <v/>
      </c>
    </row>
    <row r="1727" hidden="1">
      <c r="C1727" s="40" t="str">
        <f>IFERROR(__xludf.DUMMYFUNCTION("TEXTJOIN("", "",TRUE,UNIQUE(FILTER('Data Master'!$B$2:$B1887,'Data Master'!$C$2:$C1887=A1727)))"),"petani")</f>
        <v>petani</v>
      </c>
      <c r="D1727" s="40" t="str">
        <f>IFERROR(__xludf.DUMMYFUNCTION("TEXTJOIN("", "",TRUE,UNIQUE(FILTER('Data Master'!$D$2:$D1887,'Data Master'!$C$2:$C1887=A1727)))"),"")</f>
        <v/>
      </c>
    </row>
    <row r="1728" hidden="1">
      <c r="C1728" s="40" t="str">
        <f>IFERROR(__xludf.DUMMYFUNCTION("TEXTJOIN("", "",TRUE,UNIQUE(FILTER('Data Master'!$B$2:$B1887,'Data Master'!$C$2:$C1887=A1728)))"),"petani")</f>
        <v>petani</v>
      </c>
      <c r="D1728" s="40" t="str">
        <f>IFERROR(__xludf.DUMMYFUNCTION("TEXTJOIN("", "",TRUE,UNIQUE(FILTER('Data Master'!$D$2:$D1887,'Data Master'!$C$2:$C1887=A1728)))"),"")</f>
        <v/>
      </c>
    </row>
    <row r="1729" hidden="1">
      <c r="C1729" s="40" t="str">
        <f>IFERROR(__xludf.DUMMYFUNCTION("TEXTJOIN("", "",TRUE,UNIQUE(FILTER('Data Master'!$B$2:$B1887,'Data Master'!$C$2:$C1887=A1729)))"),"petani")</f>
        <v>petani</v>
      </c>
      <c r="D1729" s="40" t="str">
        <f>IFERROR(__xludf.DUMMYFUNCTION("TEXTJOIN("", "",TRUE,UNIQUE(FILTER('Data Master'!$D$2:$D1887,'Data Master'!$C$2:$C1887=A1729)))"),"")</f>
        <v/>
      </c>
    </row>
    <row r="1730" hidden="1">
      <c r="C1730" s="40" t="str">
        <f>IFERROR(__xludf.DUMMYFUNCTION("TEXTJOIN("", "",TRUE,UNIQUE(FILTER('Data Master'!$B$2:$B1887,'Data Master'!$C$2:$C1887=A1730)))"),"petani")</f>
        <v>petani</v>
      </c>
      <c r="D1730" s="40" t="str">
        <f>IFERROR(__xludf.DUMMYFUNCTION("TEXTJOIN("", "",TRUE,UNIQUE(FILTER('Data Master'!$D$2:$D1887,'Data Master'!$C$2:$C1887=A1730)))"),"")</f>
        <v/>
      </c>
    </row>
    <row r="1731" hidden="1">
      <c r="C1731" s="40" t="str">
        <f>IFERROR(__xludf.DUMMYFUNCTION("TEXTJOIN("", "",TRUE,UNIQUE(FILTER('Data Master'!$B$2:$B1887,'Data Master'!$C$2:$C1887=A1731)))"),"penyuluh")</f>
        <v>penyuluh</v>
      </c>
      <c r="D1731" s="40" t="str">
        <f>IFERROR(__xludf.DUMMYFUNCTION("TEXTJOIN("", "",TRUE,UNIQUE(FILTER('Data Master'!$D$2:$D1887,'Data Master'!$C$2:$C1887=A1731)))"),"budisuswanto5479@gmail.com")</f>
        <v>budisuswanto5479@gmail.com</v>
      </c>
    </row>
    <row r="1732" hidden="1">
      <c r="C1732" s="40" t="str">
        <f>IFERROR(__xludf.DUMMYFUNCTION("TEXTJOIN("", "",TRUE,UNIQUE(FILTER('Data Master'!$B$2:$B1887,'Data Master'!$C$2:$C1887=A1732)))"),"petani")</f>
        <v>petani</v>
      </c>
      <c r="D1732" s="40" t="str">
        <f>IFERROR(__xludf.DUMMYFUNCTION("TEXTJOIN("", "",TRUE,UNIQUE(FILTER('Data Master'!$D$2:$D1887,'Data Master'!$C$2:$C1887=A1732)))"),"")</f>
        <v/>
      </c>
    </row>
    <row r="1733" hidden="1">
      <c r="C1733" s="40" t="str">
        <f>IFERROR(__xludf.DUMMYFUNCTION("TEXTJOIN("", "",TRUE,UNIQUE(FILTER('Data Master'!$B$2:$B1887,'Data Master'!$C$2:$C1887=A1733)))"),"petani")</f>
        <v>petani</v>
      </c>
      <c r="D1733" s="40" t="str">
        <f>IFERROR(__xludf.DUMMYFUNCTION("TEXTJOIN("", "",TRUE,UNIQUE(FILTER('Data Master'!$D$2:$D1887,'Data Master'!$C$2:$C1887=A1733)))"),"")</f>
        <v/>
      </c>
    </row>
    <row r="1734" hidden="1">
      <c r="C1734" s="40" t="str">
        <f>IFERROR(__xludf.DUMMYFUNCTION("TEXTJOIN("", "",TRUE,UNIQUE(FILTER('Data Master'!$B$2:$B1887,'Data Master'!$C$2:$C1887=A1734)))"),"penyuluh")</f>
        <v>penyuluh</v>
      </c>
      <c r="D1734" s="40" t="str">
        <f>IFERROR(__xludf.DUMMYFUNCTION("TEXTJOIN("", "",TRUE,UNIQUE(FILTER('Data Master'!$D$2:$D1887,'Data Master'!$C$2:$C1887=A1734)))"),"test@gmail.com")</f>
        <v>test@gmail.com</v>
      </c>
    </row>
    <row r="1735" hidden="1">
      <c r="C1735" s="40" t="str">
        <f>IFERROR(__xludf.DUMMYFUNCTION("TEXTJOIN("", "",TRUE,UNIQUE(FILTER('Data Master'!$B$2:$B1887,'Data Master'!$C$2:$C1887=A1735)))"),"penyuluh")</f>
        <v>penyuluh</v>
      </c>
      <c r="D1735" s="40" t="str">
        <f>IFERROR(__xludf.DUMMYFUNCTION("TEXTJOIN("", "",TRUE,UNIQUE(FILTER('Data Master'!$D$2:$D1887,'Data Master'!$C$2:$C1887=A1735)))"),"test@mail.com")</f>
        <v>test@mail.com</v>
      </c>
    </row>
    <row r="1736" hidden="1">
      <c r="C1736" s="40" t="str">
        <f>IFERROR(__xludf.DUMMYFUNCTION("TEXTJOIN("", "",TRUE,UNIQUE(FILTER('Data Master'!$B$2:$B1887,'Data Master'!$C$2:$C1887=A1736)))"),"petani")</f>
        <v>petani</v>
      </c>
      <c r="D1736" s="40" t="str">
        <f>IFERROR(__xludf.DUMMYFUNCTION("TEXTJOIN("", "",TRUE,UNIQUE(FILTER('Data Master'!$D$2:$D1887,'Data Master'!$C$2:$C1887=A1736)))"),"")</f>
        <v/>
      </c>
    </row>
    <row r="1737" hidden="1">
      <c r="C1737" s="40" t="str">
        <f>IFERROR(__xludf.DUMMYFUNCTION("TEXTJOIN("", "",TRUE,UNIQUE(FILTER('Data Master'!$B$2:$B1887,'Data Master'!$C$2:$C1887=A1737)))"),"petani")</f>
        <v>petani</v>
      </c>
      <c r="D1737" s="40" t="str">
        <f>IFERROR(__xludf.DUMMYFUNCTION("TEXTJOIN("", "",TRUE,UNIQUE(FILTER('Data Master'!$D$2:$D1887,'Data Master'!$C$2:$C1887=A1737)))"),"")</f>
        <v/>
      </c>
    </row>
    <row r="1738" hidden="1">
      <c r="C1738" s="40" t="str">
        <f>IFERROR(__xludf.DUMMYFUNCTION("TEXTJOIN("", "",TRUE,UNIQUE(FILTER('Data Master'!$B$2:$B1887,'Data Master'!$C$2:$C1887=A1738)))"),"operator admin")</f>
        <v>operator admin</v>
      </c>
      <c r="D1738" s="40" t="str">
        <f>IFERROR(__xludf.DUMMYFUNCTION("TEXTJOIN("", "",TRUE,UNIQUE(FILTER('Data Master'!$D$2:$D1887,'Data Master'!$C$2:$C1887=A1738)))"),"tiaralistyaningputri@gmail.com")</f>
        <v>tiaralistyaningputri@gmail.com</v>
      </c>
    </row>
    <row r="1739" hidden="1">
      <c r="C1739" s="40" t="str">
        <f>IFERROR(__xludf.DUMMYFUNCTION("TEXTJOIN("", "",TRUE,UNIQUE(FILTER('Data Master'!$B$2:$B1887,'Data Master'!$C$2:$C1887=A1739)))"),"petani")</f>
        <v>petani</v>
      </c>
      <c r="D1739" s="40" t="str">
        <f>IFERROR(__xludf.DUMMYFUNCTION("TEXTJOIN("", "",TRUE,UNIQUE(FILTER('Data Master'!$D$2:$D1887,'Data Master'!$C$2:$C1887=A1739)))"),"")</f>
        <v/>
      </c>
    </row>
    <row r="1740" hidden="1">
      <c r="C1740" s="40" t="str">
        <f>IFERROR(__xludf.DUMMYFUNCTION("TEXTJOIN("", "",TRUE,UNIQUE(FILTER('Data Master'!$B$2:$B1887,'Data Master'!$C$2:$C1887=A1740)))"),"petani")</f>
        <v>petani</v>
      </c>
      <c r="D1740" s="40" t="str">
        <f>IFERROR(__xludf.DUMMYFUNCTION("TEXTJOIN("", "",TRUE,UNIQUE(FILTER('Data Master'!$D$2:$D1887,'Data Master'!$C$2:$C1887=A1740)))"),"")</f>
        <v/>
      </c>
    </row>
    <row r="1741" hidden="1">
      <c r="C1741" s="40" t="str">
        <f>IFERROR(__xludf.DUMMYFUNCTION("TEXTJOIN("", "",TRUE,UNIQUE(FILTER('Data Master'!$B$2:$B1887,'Data Master'!$C$2:$C1887=A1741)))"),"penyuluh")</f>
        <v>penyuluh</v>
      </c>
      <c r="D1741" s="40" t="str">
        <f>IFERROR(__xludf.DUMMYFUNCTION("TEXTJOIN("", "",TRUE,UNIQUE(FILTER('Data Master'!$D$2:$D1887,'Data Master'!$C$2:$C1887=A1741)))"),"")</f>
        <v/>
      </c>
    </row>
    <row r="1742" hidden="1">
      <c r="C1742" s="40" t="str">
        <f>IFERROR(__xludf.DUMMYFUNCTION("TEXTJOIN("", "",TRUE,UNIQUE(FILTER('Data Master'!$B$2:$B1887,'Data Master'!$C$2:$C1887=A1742)))"),"petani")</f>
        <v>petani</v>
      </c>
      <c r="D1742" s="40" t="str">
        <f>IFERROR(__xludf.DUMMYFUNCTION("TEXTJOIN("", "",TRUE,UNIQUE(FILTER('Data Master'!$D$2:$D1887,'Data Master'!$C$2:$C1887=A1742)))"),"")</f>
        <v/>
      </c>
    </row>
    <row r="1743" hidden="1">
      <c r="C1743" s="40" t="str">
        <f>IFERROR(__xludf.DUMMYFUNCTION("TEXTJOIN("", "",TRUE,UNIQUE(FILTER('Data Master'!$B$2:$B1887,'Data Master'!$C$2:$C1887=A1743)))"),"petani")</f>
        <v>petani</v>
      </c>
      <c r="D1743" s="40" t="str">
        <f>IFERROR(__xludf.DUMMYFUNCTION("TEXTJOIN("", "",TRUE,UNIQUE(FILTER('Data Master'!$D$2:$D1887,'Data Master'!$C$2:$C1887=A1743)))"),"")</f>
        <v/>
      </c>
    </row>
    <row r="1744" hidden="1">
      <c r="C1744" s="40" t="str">
        <f>IFERROR(__xludf.DUMMYFUNCTION("TEXTJOIN("", "",TRUE,UNIQUE(FILTER('Data Master'!$B$2:$B1887,'Data Master'!$C$2:$C1887=A1744)))"),"petani")</f>
        <v>petani</v>
      </c>
      <c r="D1744" s="40" t="str">
        <f>IFERROR(__xludf.DUMMYFUNCTION("TEXTJOIN("", "",TRUE,UNIQUE(FILTER('Data Master'!$D$2:$D1887,'Data Master'!$C$2:$C1887=A1744)))"),"")</f>
        <v/>
      </c>
    </row>
    <row r="1745" hidden="1">
      <c r="C1745" s="40" t="str">
        <f>IFERROR(__xludf.DUMMYFUNCTION("TEXTJOIN("", "",TRUE,UNIQUE(FILTER('Data Master'!$B$2:$B1887,'Data Master'!$C$2:$C1887=A1745)))"),"petani")</f>
        <v>petani</v>
      </c>
      <c r="D1745" s="40" t="str">
        <f>IFERROR(__xludf.DUMMYFUNCTION("TEXTJOIN("", "",TRUE,UNIQUE(FILTER('Data Master'!$D$2:$D1887,'Data Master'!$C$2:$C1887=A1745)))"),"")</f>
        <v/>
      </c>
    </row>
    <row r="1746" hidden="1">
      <c r="C1746" s="40" t="str">
        <f>IFERROR(__xludf.DUMMYFUNCTION("TEXTJOIN("", "",TRUE,UNIQUE(FILTER('Data Master'!$B$2:$B1887,'Data Master'!$C$2:$C1887=A1746)))"),"petani")</f>
        <v>petani</v>
      </c>
      <c r="D1746" s="40" t="str">
        <f>IFERROR(__xludf.DUMMYFUNCTION("TEXTJOIN("", "",TRUE,UNIQUE(FILTER('Data Master'!$D$2:$D1887,'Data Master'!$C$2:$C1887=A1746)))"),"")</f>
        <v/>
      </c>
    </row>
    <row r="1747" hidden="1">
      <c r="C1747" s="40" t="str">
        <f>IFERROR(__xludf.DUMMYFUNCTION("TEXTJOIN("", "",TRUE,UNIQUE(FILTER('Data Master'!$B$2:$B1887,'Data Master'!$C$2:$C1887=A1747)))"),"petani")</f>
        <v>petani</v>
      </c>
      <c r="D1747" s="40" t="str">
        <f>IFERROR(__xludf.DUMMYFUNCTION("TEXTJOIN("", "",TRUE,UNIQUE(FILTER('Data Master'!$D$2:$D1887,'Data Master'!$C$2:$C1887=A1747)))"),"")</f>
        <v/>
      </c>
    </row>
    <row r="1748" hidden="1">
      <c r="C1748" s="40" t="str">
        <f>IFERROR(__xludf.DUMMYFUNCTION("TEXTJOIN("", "",TRUE,UNIQUE(FILTER('Data Master'!$B$2:$B1887,'Data Master'!$C$2:$C1887=A1748)))"),"penyuluh")</f>
        <v>penyuluh</v>
      </c>
      <c r="D1748" s="40" t="str">
        <f>IFERROR(__xludf.DUMMYFUNCTION("TEXTJOIN("", "",TRUE,UNIQUE(FILTER('Data Master'!$D$2:$D1887,'Data Master'!$C$2:$C1887=A1748)))"),"")</f>
        <v/>
      </c>
    </row>
    <row r="1749" hidden="1">
      <c r="C1749" s="40" t="str">
        <f>IFERROR(__xludf.DUMMYFUNCTION("TEXTJOIN("", "",TRUE,UNIQUE(FILTER('Data Master'!$B$2:$B1887,'Data Master'!$C$2:$C1887=A1749)))"),"penyuluh")</f>
        <v>penyuluh</v>
      </c>
      <c r="D1749" s="40" t="str">
        <f>IFERROR(__xludf.DUMMYFUNCTION("TEXTJOIN("", "",TRUE,UNIQUE(FILTER('Data Master'!$D$2:$D1887,'Data Master'!$C$2:$C1887=A1749)))"),"")</f>
        <v/>
      </c>
    </row>
    <row r="1750" hidden="1">
      <c r="C1750" s="40" t="str">
        <f>IFERROR(__xludf.DUMMYFUNCTION("TEXTJOIN("", "",TRUE,UNIQUE(FILTER('Data Master'!$B$2:$B1887,'Data Master'!$C$2:$C1887=A1750)))"),"petani")</f>
        <v>petani</v>
      </c>
      <c r="D1750" s="40" t="str">
        <f>IFERROR(__xludf.DUMMYFUNCTION("TEXTJOIN("", "",TRUE,UNIQUE(FILTER('Data Master'!$D$2:$D1887,'Data Master'!$C$2:$C1887=A1750)))"),"")</f>
        <v/>
      </c>
    </row>
    <row r="1751" hidden="1">
      <c r="C1751" s="40" t="str">
        <f>IFERROR(__xludf.DUMMYFUNCTION("TEXTJOIN("", "",TRUE,UNIQUE(FILTER('Data Master'!$B$2:$B1887,'Data Master'!$C$2:$C1887=A1751)))"),"operator admin")</f>
        <v>operator admin</v>
      </c>
      <c r="D1751" s="40" t="str">
        <f>IFERROR(__xludf.DUMMYFUNCTION("TEXTJOIN("", "",TRUE,UNIQUE(FILTER('Data Master'!$D$2:$D1887,'Data Master'!$C$2:$C1887=A1751)))"),"bppwidodaren.official@gmail.com")</f>
        <v>bppwidodaren.official@gmail.com</v>
      </c>
    </row>
    <row r="1752" hidden="1">
      <c r="C1752" s="40" t="str">
        <f>IFERROR(__xludf.DUMMYFUNCTION("TEXTJOIN("", "",TRUE,UNIQUE(FILTER('Data Master'!$B$2:$B1887,'Data Master'!$C$2:$C1887=A1752)))"),"penyuluh")</f>
        <v>penyuluh</v>
      </c>
      <c r="D1752" s="40" t="str">
        <f>IFERROR(__xludf.DUMMYFUNCTION("TEXTJOIN("", "",TRUE,UNIQUE(FILTER('Data Master'!$D$2:$D1887,'Data Master'!$C$2:$C1887=A1752)))"),"trisujatmiko25@gmail.com")</f>
        <v>trisujatmiko25@gmail.com</v>
      </c>
    </row>
    <row r="1753" hidden="1">
      <c r="C1753" s="40" t="str">
        <f>IFERROR(__xludf.DUMMYFUNCTION("TEXTJOIN("", "",TRUE,UNIQUE(FILTER('Data Master'!$B$2:$B1887,'Data Master'!$C$2:$C1887=A1753)))"),"penyuluh")</f>
        <v>penyuluh</v>
      </c>
      <c r="D1753" s="40" t="str">
        <f>IFERROR(__xludf.DUMMYFUNCTION("TEXTJOIN("", "",TRUE,UNIQUE(FILTER('Data Master'!$D$2:$D1887,'Data Master'!$C$2:$C1887=A1753)))"),"")</f>
        <v/>
      </c>
    </row>
    <row r="1754" hidden="1">
      <c r="C1754" s="40" t="str">
        <f>IFERROR(__xludf.DUMMYFUNCTION("TEXTJOIN("", "",TRUE,UNIQUE(FILTER('Data Master'!$B$2:$B1887,'Data Master'!$C$2:$C1887=A1754)))"),"penyuluh")</f>
        <v>penyuluh</v>
      </c>
      <c r="D1754" s="40" t="str">
        <f>IFERROR(__xludf.DUMMYFUNCTION("TEXTJOIN("", "",TRUE,UNIQUE(FILTER('Data Master'!$D$2:$D1887,'Data Master'!$C$2:$C1887=A1754)))"),"trimulyo090576@gmail.com")</f>
        <v>trimulyo090576@gmail.com</v>
      </c>
    </row>
    <row r="1755" hidden="1">
      <c r="C1755" s="40" t="str">
        <f>IFERROR(__xludf.DUMMYFUNCTION("TEXTJOIN("", "",TRUE,UNIQUE(FILTER('Data Master'!$B$2:$B1887,'Data Master'!$C$2:$C1887=A1755)))"),"penyuluh")</f>
        <v>penyuluh</v>
      </c>
      <c r="D1755" s="40" t="str">
        <f>IFERROR(__xludf.DUMMYFUNCTION("TEXTJOIN("", "",TRUE,UNIQUE(FILTER('Data Master'!$D$2:$D1887,'Data Master'!$C$2:$C1887=A1755)))"),"")</f>
        <v/>
      </c>
    </row>
    <row r="1756" hidden="1">
      <c r="C1756" s="40" t="str">
        <f>IFERROR(__xludf.DUMMYFUNCTION("TEXTJOIN("", "",TRUE,UNIQUE(FILTER('Data Master'!$B$2:$B1887,'Data Master'!$C$2:$C1887=A1756)))"),"petani")</f>
        <v>petani</v>
      </c>
      <c r="D1756" s="40" t="str">
        <f>IFERROR(__xludf.DUMMYFUNCTION("TEXTJOIN("", "",TRUE,UNIQUE(FILTER('Data Master'!$D$2:$D1887,'Data Master'!$C$2:$C1887=A1756)))"),"")</f>
        <v/>
      </c>
    </row>
    <row r="1757" hidden="1">
      <c r="C1757" s="40" t="str">
        <f>IFERROR(__xludf.DUMMYFUNCTION("TEXTJOIN("", "",TRUE,UNIQUE(FILTER('Data Master'!$B$2:$B1887,'Data Master'!$C$2:$C1887=A1757)))"),"petani")</f>
        <v>petani</v>
      </c>
      <c r="D1757" s="40" t="str">
        <f>IFERROR(__xludf.DUMMYFUNCTION("TEXTJOIN("", "",TRUE,UNIQUE(FILTER('Data Master'!$D$2:$D1887,'Data Master'!$C$2:$C1887=A1757)))"),"")</f>
        <v/>
      </c>
    </row>
    <row r="1758" hidden="1">
      <c r="C1758" s="40" t="str">
        <f>IFERROR(__xludf.DUMMYFUNCTION("TEXTJOIN("", "",TRUE,UNIQUE(FILTER('Data Master'!$B$2:$B1887,'Data Master'!$C$2:$C1887=A1758)))"),"petani")</f>
        <v>petani</v>
      </c>
      <c r="D1758" s="40" t="str">
        <f>IFERROR(__xludf.DUMMYFUNCTION("TEXTJOIN("", "",TRUE,UNIQUE(FILTER('Data Master'!$D$2:$D1887,'Data Master'!$C$2:$C1887=A1758)))"),"")</f>
        <v/>
      </c>
    </row>
    <row r="1759">
      <c r="C1759" s="43" t="str">
        <f>IFERROR(__xludf.DUMMYFUNCTION("TEXTJOIN("", "",TRUE,UNIQUE(FILTER('Data Master'!$B$2:$B1887,'Data Master'!$C$2:$C1887=A1759)))"),"penyuluh, petani")</f>
        <v>penyuluh, petani</v>
      </c>
      <c r="D1759" s="43" t="str">
        <f>IFERROR(__xludf.DUMMYFUNCTION("TEXTJOIN("", "",TRUE,UNIQUE(FILTER('Data Master'!$D$2:$D1887,'Data Master'!$C$2:$C1887=A1759)))"),"")</f>
        <v/>
      </c>
    </row>
    <row r="1760" hidden="1">
      <c r="C1760" s="40" t="str">
        <f>IFERROR(__xludf.DUMMYFUNCTION("TEXTJOIN("", "",TRUE,UNIQUE(FILTER('Data Master'!$B$2:$B1887,'Data Master'!$C$2:$C1887=A1760)))"),"petani")</f>
        <v>petani</v>
      </c>
      <c r="D1760" s="40" t="str">
        <f>IFERROR(__xludf.DUMMYFUNCTION("TEXTJOIN("", "",TRUE,UNIQUE(FILTER('Data Master'!$D$2:$D1887,'Data Master'!$C$2:$C1887=A1760)))"),"")</f>
        <v/>
      </c>
    </row>
    <row r="1761" hidden="1">
      <c r="C1761" s="40" t="str">
        <f>IFERROR(__xludf.DUMMYFUNCTION("TEXTJOIN("", "",TRUE,UNIQUE(FILTER('Data Master'!$B$2:$B1887,'Data Master'!$C$2:$C1887=A1761)))"),"petani")</f>
        <v>petani</v>
      </c>
      <c r="D1761" s="40" t="str">
        <f>IFERROR(__xludf.DUMMYFUNCTION("TEXTJOIN("", "",TRUE,UNIQUE(FILTER('Data Master'!$D$2:$D1887,'Data Master'!$C$2:$C1887=A1761)))"),"jogorogosiketan@gmail.com")</f>
        <v>jogorogosiketan@gmail.com</v>
      </c>
    </row>
    <row r="1762" hidden="1">
      <c r="C1762" s="40" t="str">
        <f>IFERROR(__xludf.DUMMYFUNCTION("TEXTJOIN("", "",TRUE,UNIQUE(FILTER('Data Master'!$B$2:$B1887,'Data Master'!$C$2:$C1887=A1762)))"),"petani")</f>
        <v>petani</v>
      </c>
      <c r="D1762" s="40" t="str">
        <f>IFERROR(__xludf.DUMMYFUNCTION("TEXTJOIN("", "",TRUE,UNIQUE(FILTER('Data Master'!$D$2:$D1887,'Data Master'!$C$2:$C1887=A1762)))"),"")</f>
        <v/>
      </c>
    </row>
    <row r="1763" hidden="1">
      <c r="C1763" s="40" t="str">
        <f>IFERROR(__xludf.DUMMYFUNCTION("TEXTJOIN("", "",TRUE,UNIQUE(FILTER('Data Master'!$B$2:$B1887,'Data Master'!$C$2:$C1887=A1763)))"),"petani")</f>
        <v>petani</v>
      </c>
      <c r="D1763" s="40" t="str">
        <f>IFERROR(__xludf.DUMMYFUNCTION("TEXTJOIN("", "",TRUE,UNIQUE(FILTER('Data Master'!$D$2:$D1887,'Data Master'!$C$2:$C1887=A1763)))"),"")</f>
        <v/>
      </c>
    </row>
    <row r="1764" hidden="1">
      <c r="C1764" s="40" t="str">
        <f>IFERROR(__xludf.DUMMYFUNCTION("TEXTJOIN("", "",TRUE,UNIQUE(FILTER('Data Master'!$B$2:$B1887,'Data Master'!$C$2:$C1887=A1764)))"),"petani")</f>
        <v>petani</v>
      </c>
      <c r="D1764" s="40" t="str">
        <f>IFERROR(__xludf.DUMMYFUNCTION("TEXTJOIN("", "",TRUE,UNIQUE(FILTER('Data Master'!$D$2:$D1887,'Data Master'!$C$2:$C1887=A1764)))"),"")</f>
        <v/>
      </c>
    </row>
    <row r="1765" hidden="1">
      <c r="C1765" s="40" t="str">
        <f>IFERROR(__xludf.DUMMYFUNCTION("TEXTJOIN("", "",TRUE,UNIQUE(FILTER('Data Master'!$B$2:$B1887,'Data Master'!$C$2:$C1887=A1765)))"),"petani")</f>
        <v>petani</v>
      </c>
      <c r="D1765" s="40" t="str">
        <f>IFERROR(__xludf.DUMMYFUNCTION("TEXTJOIN("", "",TRUE,UNIQUE(FILTER('Data Master'!$D$2:$D1887,'Data Master'!$C$2:$C1887=A1765)))"),"")</f>
        <v/>
      </c>
    </row>
    <row r="1766" hidden="1">
      <c r="C1766" s="40" t="str">
        <f>IFERROR(__xludf.DUMMYFUNCTION("TEXTJOIN("", "",TRUE,UNIQUE(FILTER('Data Master'!$B$2:$B1887,'Data Master'!$C$2:$C1887=A1766)))"),"petani")</f>
        <v>petani</v>
      </c>
      <c r="D1766" s="40" t="str">
        <f>IFERROR(__xludf.DUMMYFUNCTION("TEXTJOIN("", "",TRUE,UNIQUE(FILTER('Data Master'!$D$2:$D1887,'Data Master'!$C$2:$C1887=A1766)))"),"")</f>
        <v/>
      </c>
    </row>
    <row r="1767" hidden="1">
      <c r="C1767" s="40" t="str">
        <f>IFERROR(__xludf.DUMMYFUNCTION("TEXTJOIN("", "",TRUE,UNIQUE(FILTER('Data Master'!$B$2:$B1887,'Data Master'!$C$2:$C1887=A1767)))"),"petani")</f>
        <v>petani</v>
      </c>
      <c r="D1767" s="40" t="str">
        <f>IFERROR(__xludf.DUMMYFUNCTION("TEXTJOIN("", "",TRUE,UNIQUE(FILTER('Data Master'!$D$2:$D1887,'Data Master'!$C$2:$C1887=A1767)))"),"")</f>
        <v/>
      </c>
    </row>
    <row r="1768" hidden="1">
      <c r="C1768" s="40" t="str">
        <f>IFERROR(__xludf.DUMMYFUNCTION("TEXTJOIN("", "",TRUE,UNIQUE(FILTER('Data Master'!$B$2:$B1887,'Data Master'!$C$2:$C1887=A1768)))"),"petani")</f>
        <v>petani</v>
      </c>
      <c r="D1768" s="40" t="str">
        <f>IFERROR(__xludf.DUMMYFUNCTION("TEXTJOIN("", "",TRUE,UNIQUE(FILTER('Data Master'!$D$2:$D1887,'Data Master'!$C$2:$C1887=A1768)))"),"")</f>
        <v/>
      </c>
    </row>
    <row r="1769" hidden="1">
      <c r="C1769" s="40" t="str">
        <f>IFERROR(__xludf.DUMMYFUNCTION("TEXTJOIN("", "",TRUE,UNIQUE(FILTER('Data Master'!$B$2:$B1887,'Data Master'!$C$2:$C1887=A1769)))"),"petani")</f>
        <v>petani</v>
      </c>
      <c r="D1769" s="40" t="str">
        <f>IFERROR(__xludf.DUMMYFUNCTION("TEXTJOIN("", "",TRUE,UNIQUE(FILTER('Data Master'!$D$2:$D1887,'Data Master'!$C$2:$C1887=A1769)))"),"")</f>
        <v/>
      </c>
    </row>
    <row r="1770" hidden="1">
      <c r="C1770" s="40" t="str">
        <f>IFERROR(__xludf.DUMMYFUNCTION("TEXTJOIN("", "",TRUE,UNIQUE(FILTER('Data Master'!$B$2:$B1887,'Data Master'!$C$2:$C1887=A1770)))"),"petani")</f>
        <v>petani</v>
      </c>
      <c r="D1770" s="40" t="str">
        <f>IFERROR(__xludf.DUMMYFUNCTION("TEXTJOIN("", "",TRUE,UNIQUE(FILTER('Data Master'!$D$2:$D1887,'Data Master'!$C$2:$C1887=A1770)))"),"")</f>
        <v/>
      </c>
    </row>
    <row r="1771" hidden="1">
      <c r="C1771" s="40" t="str">
        <f>IFERROR(__xludf.DUMMYFUNCTION("TEXTJOIN("", "",TRUE,UNIQUE(FILTER('Data Master'!$B$2:$B1887,'Data Master'!$C$2:$C1887=A1771)))"),"petani")</f>
        <v>petani</v>
      </c>
      <c r="D1771" s="40" t="str">
        <f>IFERROR(__xludf.DUMMYFUNCTION("TEXTJOIN("", "",TRUE,UNIQUE(FILTER('Data Master'!$D$2:$D1887,'Data Master'!$C$2:$C1887=A1771)))"),"")</f>
        <v/>
      </c>
    </row>
    <row r="1772" hidden="1">
      <c r="C1772" s="40" t="str">
        <f>IFERROR(__xludf.DUMMYFUNCTION("TEXTJOIN("", "",TRUE,UNIQUE(FILTER('Data Master'!$B$2:$B1887,'Data Master'!$C$2:$C1887=A1772)))"),"petani")</f>
        <v>petani</v>
      </c>
      <c r="D1772" s="40" t="str">
        <f>IFERROR(__xludf.DUMMYFUNCTION("TEXTJOIN("", "",TRUE,UNIQUE(FILTER('Data Master'!$D$2:$D1887,'Data Master'!$C$2:$C1887=A1772)))"),"")</f>
        <v/>
      </c>
    </row>
    <row r="1773" hidden="1">
      <c r="C1773" s="40" t="str">
        <f>IFERROR(__xludf.DUMMYFUNCTION("TEXTJOIN("", "",TRUE,UNIQUE(FILTER('Data Master'!$B$2:$B1887,'Data Master'!$C$2:$C1887=A1773)))"),"penyuluh")</f>
        <v>penyuluh</v>
      </c>
      <c r="D1773" s="40" t="str">
        <f>IFERROR(__xludf.DUMMYFUNCTION("TEXTJOIN("", "",TRUE,UNIQUE(FILTER('Data Master'!$D$2:$D1887,'Data Master'!$C$2:$C1887=A1773)))"),"")</f>
        <v/>
      </c>
    </row>
    <row r="1774" hidden="1">
      <c r="C1774" s="40" t="str">
        <f>IFERROR(__xludf.DUMMYFUNCTION("TEXTJOIN("", "",TRUE,UNIQUE(FILTER('Data Master'!$B$2:$B1887,'Data Master'!$C$2:$C1887=A1774)))"),"petani")</f>
        <v>petani</v>
      </c>
      <c r="D1774" s="40" t="str">
        <f>IFERROR(__xludf.DUMMYFUNCTION("TEXTJOIN("", "",TRUE,UNIQUE(FILTER('Data Master'!$D$2:$D1887,'Data Master'!$C$2:$C1887=A1774)))"),"")</f>
        <v/>
      </c>
    </row>
    <row r="1775" hidden="1">
      <c r="C1775" s="40" t="str">
        <f>IFERROR(__xludf.DUMMYFUNCTION("TEXTJOIN("", "",TRUE,UNIQUE(FILTER('Data Master'!$B$2:$B1887,'Data Master'!$C$2:$C1887=A1775)))"),"petani")</f>
        <v>petani</v>
      </c>
      <c r="D1775" s="40" t="str">
        <f>IFERROR(__xludf.DUMMYFUNCTION("TEXTJOIN("", "",TRUE,UNIQUE(FILTER('Data Master'!$D$2:$D1887,'Data Master'!$C$2:$C1887=A1775)))"),"")</f>
        <v/>
      </c>
    </row>
    <row r="1776" hidden="1">
      <c r="C1776" s="40" t="str">
        <f>IFERROR(__xludf.DUMMYFUNCTION("TEXTJOIN("", "",TRUE,UNIQUE(FILTER('Data Master'!$B$2:$B1887,'Data Master'!$C$2:$C1887=A1776)))"),"petani")</f>
        <v>petani</v>
      </c>
      <c r="D1776" s="40" t="str">
        <f>IFERROR(__xludf.DUMMYFUNCTION("TEXTJOIN("", "",TRUE,UNIQUE(FILTER('Data Master'!$D$2:$D1887,'Data Master'!$C$2:$C1887=A1776)))"),"")</f>
        <v/>
      </c>
    </row>
    <row r="1777" hidden="1">
      <c r="C1777" s="40" t="str">
        <f>IFERROR(__xludf.DUMMYFUNCTION("TEXTJOIN("", "",TRUE,UNIQUE(FILTER('Data Master'!$B$2:$B1887,'Data Master'!$C$2:$C1887=A1777)))"),"petani")</f>
        <v>petani</v>
      </c>
      <c r="D1777" s="40" t="str">
        <f>IFERROR(__xludf.DUMMYFUNCTION("TEXTJOIN("", "",TRUE,UNIQUE(FILTER('Data Master'!$D$2:$D1887,'Data Master'!$C$2:$C1887=A1777)))"),"")</f>
        <v/>
      </c>
    </row>
    <row r="1778" hidden="1">
      <c r="C1778" s="40" t="str">
        <f>IFERROR(__xludf.DUMMYFUNCTION("TEXTJOIN("", "",TRUE,UNIQUE(FILTER('Data Master'!$B$2:$B1887,'Data Master'!$C$2:$C1887=A1778)))"),"petani")</f>
        <v>petani</v>
      </c>
      <c r="D1778" s="40" t="str">
        <f>IFERROR(__xludf.DUMMYFUNCTION("TEXTJOIN("", "",TRUE,UNIQUE(FILTER('Data Master'!$D$2:$D1887,'Data Master'!$C$2:$C1887=A1778)))"),"")</f>
        <v/>
      </c>
    </row>
    <row r="1779" hidden="1">
      <c r="C1779" s="40" t="str">
        <f>IFERROR(__xludf.DUMMYFUNCTION("TEXTJOIN("", "",TRUE,UNIQUE(FILTER('Data Master'!$B$2:$B1887,'Data Master'!$C$2:$C1887=A1779)))"),"petani")</f>
        <v>petani</v>
      </c>
      <c r="D1779" s="40" t="str">
        <f>IFERROR(__xludf.DUMMYFUNCTION("TEXTJOIN("", "",TRUE,UNIQUE(FILTER('Data Master'!$D$2:$D1887,'Data Master'!$C$2:$C1887=A1779)))"),"")</f>
        <v/>
      </c>
    </row>
    <row r="1780" hidden="1">
      <c r="C1780" s="40" t="str">
        <f>IFERROR(__xludf.DUMMYFUNCTION("TEXTJOIN("", "",TRUE,UNIQUE(FILTER('Data Master'!$B$2:$B1887,'Data Master'!$C$2:$C1887=A1780)))"),"petani")</f>
        <v>petani</v>
      </c>
      <c r="D1780" s="40" t="str">
        <f>IFERROR(__xludf.DUMMYFUNCTION("TEXTJOIN("", "",TRUE,UNIQUE(FILTER('Data Master'!$D$2:$D1887,'Data Master'!$C$2:$C1887=A1780)))"),"")</f>
        <v/>
      </c>
    </row>
    <row r="1781" hidden="1">
      <c r="C1781" s="40" t="str">
        <f>IFERROR(__xludf.DUMMYFUNCTION("TEXTJOIN("", "",TRUE,UNIQUE(FILTER('Data Master'!$B$2:$B1887,'Data Master'!$C$2:$C1887=A1781)))"),"petani")</f>
        <v>petani</v>
      </c>
      <c r="D1781" s="40" t="str">
        <f>IFERROR(__xludf.DUMMYFUNCTION("TEXTJOIN("", "",TRUE,UNIQUE(FILTER('Data Master'!$D$2:$D1887,'Data Master'!$C$2:$C1887=A1781)))"),"")</f>
        <v/>
      </c>
    </row>
    <row r="1782" hidden="1">
      <c r="C1782" s="40" t="str">
        <f>IFERROR(__xludf.DUMMYFUNCTION("TEXTJOIN("", "",TRUE,UNIQUE(FILTER('Data Master'!$B$2:$B1887,'Data Master'!$C$2:$C1887=A1782)))"),"petani")</f>
        <v>petani</v>
      </c>
      <c r="D1782" s="40" t="str">
        <f>IFERROR(__xludf.DUMMYFUNCTION("TEXTJOIN("", "",TRUE,UNIQUE(FILTER('Data Master'!$D$2:$D1887,'Data Master'!$C$2:$C1887=A1782)))"),"")</f>
        <v/>
      </c>
    </row>
    <row r="1783" hidden="1">
      <c r="C1783" s="40" t="str">
        <f>IFERROR(__xludf.DUMMYFUNCTION("TEXTJOIN("", "",TRUE,UNIQUE(FILTER('Data Master'!$B$2:$B1887,'Data Master'!$C$2:$C1887=A1783)))"),"petani")</f>
        <v>petani</v>
      </c>
      <c r="D1783" s="40" t="str">
        <f>IFERROR(__xludf.DUMMYFUNCTION("TEXTJOIN("", "",TRUE,UNIQUE(FILTER('Data Master'!$D$2:$D1887,'Data Master'!$C$2:$C1887=A1783)))"),"")</f>
        <v/>
      </c>
    </row>
    <row r="1784" hidden="1">
      <c r="C1784" s="40" t="str">
        <f>IFERROR(__xludf.DUMMYFUNCTION("TEXTJOIN("", "",TRUE,UNIQUE(FILTER('Data Master'!$B$2:$B1887,'Data Master'!$C$2:$C1887=A1784)))"),"petani")</f>
        <v>petani</v>
      </c>
      <c r="D1784" s="40" t="str">
        <f>IFERROR(__xludf.DUMMYFUNCTION("TEXTJOIN("", "",TRUE,UNIQUE(FILTER('Data Master'!$D$2:$D1887,'Data Master'!$C$2:$C1887=A1784)))"),"")</f>
        <v/>
      </c>
    </row>
    <row r="1785" hidden="1">
      <c r="C1785" s="40" t="str">
        <f>IFERROR(__xludf.DUMMYFUNCTION("TEXTJOIN("", "",TRUE,UNIQUE(FILTER('Data Master'!$B$2:$B1887,'Data Master'!$C$2:$C1887=A1785)))"),"petani")</f>
        <v>petani</v>
      </c>
      <c r="D1785" s="40" t="str">
        <f>IFERROR(__xludf.DUMMYFUNCTION("TEXTJOIN("", "",TRUE,UNIQUE(FILTER('Data Master'!$D$2:$D1887,'Data Master'!$C$2:$C1887=A1785)))"),"")</f>
        <v/>
      </c>
    </row>
    <row r="1786" hidden="1">
      <c r="C1786" s="40" t="str">
        <f>IFERROR(__xludf.DUMMYFUNCTION("TEXTJOIN("", "",TRUE,UNIQUE(FILTER('Data Master'!$B$2:$B1887,'Data Master'!$C$2:$C1887=A1786)))"),"petani")</f>
        <v>petani</v>
      </c>
      <c r="D1786" s="40" t="str">
        <f>IFERROR(__xludf.DUMMYFUNCTION("TEXTJOIN("", "",TRUE,UNIQUE(FILTER('Data Master'!$D$2:$D1887,'Data Master'!$C$2:$C1887=A1786)))"),"")</f>
        <v/>
      </c>
    </row>
    <row r="1787" hidden="1">
      <c r="C1787" s="40" t="str">
        <f>IFERROR(__xludf.DUMMYFUNCTION("TEXTJOIN("", "",TRUE,UNIQUE(FILTER('Data Master'!$B$2:$B1887,'Data Master'!$C$2:$C1887=A1787)))"),"petani")</f>
        <v>petani</v>
      </c>
      <c r="D1787" s="40" t="str">
        <f>IFERROR(__xludf.DUMMYFUNCTION("TEXTJOIN("", "",TRUE,UNIQUE(FILTER('Data Master'!$D$2:$D1887,'Data Master'!$C$2:$C1887=A1787)))"),"")</f>
        <v/>
      </c>
    </row>
    <row r="1788" hidden="1">
      <c r="C1788" s="40" t="str">
        <f>IFERROR(__xludf.DUMMYFUNCTION("TEXTJOIN("", "",TRUE,UNIQUE(FILTER('Data Master'!$B$2:$B1887,'Data Master'!$C$2:$C1887=A1788)))"),"petani")</f>
        <v>petani</v>
      </c>
      <c r="D1788" s="40" t="str">
        <f>IFERROR(__xludf.DUMMYFUNCTION("TEXTJOIN("", "",TRUE,UNIQUE(FILTER('Data Master'!$D$2:$D1887,'Data Master'!$C$2:$C1887=A1788)))"),"")</f>
        <v/>
      </c>
    </row>
    <row r="1789" hidden="1">
      <c r="C1789" s="40" t="str">
        <f>IFERROR(__xludf.DUMMYFUNCTION("TEXTJOIN("", "",TRUE,UNIQUE(FILTER('Data Master'!$B$2:$B1887,'Data Master'!$C$2:$C1887=A1789)))"),"petani")</f>
        <v>petani</v>
      </c>
      <c r="D1789" s="40" t="str">
        <f>IFERROR(__xludf.DUMMYFUNCTION("TEXTJOIN("", "",TRUE,UNIQUE(FILTER('Data Master'!$D$2:$D1887,'Data Master'!$C$2:$C1887=A1789)))"),"")</f>
        <v/>
      </c>
    </row>
    <row r="1790" hidden="1">
      <c r="C1790" s="40" t="str">
        <f>IFERROR(__xludf.DUMMYFUNCTION("TEXTJOIN("", "",TRUE,UNIQUE(FILTER('Data Master'!$B$2:$B1887,'Data Master'!$C$2:$C1887=A1790)))"),"petani")</f>
        <v>petani</v>
      </c>
      <c r="D1790" s="40" t="str">
        <f>IFERROR(__xludf.DUMMYFUNCTION("TEXTJOIN("", "",TRUE,UNIQUE(FILTER('Data Master'!$D$2:$D1887,'Data Master'!$C$2:$C1887=A1790)))"),"")</f>
        <v/>
      </c>
    </row>
    <row r="1791" hidden="1">
      <c r="C1791" s="40" t="str">
        <f>IFERROR(__xludf.DUMMYFUNCTION("TEXTJOIN("", "",TRUE,UNIQUE(FILTER('Data Master'!$B$2:$B1887,'Data Master'!$C$2:$C1887=A1791)))"),"penyuluh")</f>
        <v>penyuluh</v>
      </c>
      <c r="D1791" s="40" t="str">
        <f>IFERROR(__xludf.DUMMYFUNCTION("TEXTJOIN("", "",TRUE,UNIQUE(FILTER('Data Master'!$D$2:$D1887,'Data Master'!$C$2:$C1887=A1791)))"),"wahyusetiawan471@gmail.com")</f>
        <v>wahyusetiawan471@gmail.com</v>
      </c>
    </row>
    <row r="1792" hidden="1">
      <c r="C1792" s="40" t="str">
        <f>IFERROR(__xludf.DUMMYFUNCTION("TEXTJOIN("", "",TRUE,UNIQUE(FILTER('Data Master'!$B$2:$B1887,'Data Master'!$C$2:$C1887=A1792)))"),"penyuluh")</f>
        <v>penyuluh</v>
      </c>
      <c r="D1792" s="40" t="str">
        <f>IFERROR(__xludf.DUMMYFUNCTION("TEXTJOIN("", "",TRUE,UNIQUE(FILTER('Data Master'!$D$2:$D1887,'Data Master'!$C$2:$C1887=A1792)))"),"")</f>
        <v/>
      </c>
    </row>
    <row r="1793" hidden="1">
      <c r="C1793" s="40" t="str">
        <f>IFERROR(__xludf.DUMMYFUNCTION("TEXTJOIN("", "",TRUE,UNIQUE(FILTER('Data Master'!$B$2:$B1887,'Data Master'!$C$2:$C1887=A1793)))"),"penyuluh")</f>
        <v>penyuluh</v>
      </c>
      <c r="D1793" s="40" t="str">
        <f>IFERROR(__xludf.DUMMYFUNCTION("TEXTJOIN("", "",TRUE,UNIQUE(FILTER('Data Master'!$D$2:$D1887,'Data Master'!$C$2:$C1887=A1793)))"),"wahyu.ahadi19@gmail.com")</f>
        <v>wahyu.ahadi19@gmail.com</v>
      </c>
    </row>
    <row r="1794" hidden="1">
      <c r="C1794" s="40" t="str">
        <f>IFERROR(__xludf.DUMMYFUNCTION("TEXTJOIN("", "",TRUE,UNIQUE(FILTER('Data Master'!$B$2:$B1887,'Data Master'!$C$2:$C1887=A1794)))"),"penyuluh")</f>
        <v>penyuluh</v>
      </c>
      <c r="D1794" s="40" t="str">
        <f>IFERROR(__xludf.DUMMYFUNCTION("TEXTJOIN("", "",TRUE,UNIQUE(FILTER('Data Master'!$D$2:$D1887,'Data Master'!$C$2:$C1887=A1794)))"),"")</f>
        <v/>
      </c>
    </row>
    <row r="1795" hidden="1">
      <c r="C1795" s="40" t="str">
        <f>IFERROR(__xludf.DUMMYFUNCTION("TEXTJOIN("", "",TRUE,UNIQUE(FILTER('Data Master'!$B$2:$B1887,'Data Master'!$C$2:$C1887=A1795)))"),"petani")</f>
        <v>petani</v>
      </c>
      <c r="D1795" s="40" t="str">
        <f>IFERROR(__xludf.DUMMYFUNCTION("TEXTJOIN("", "",TRUE,UNIQUE(FILTER('Data Master'!$D$2:$D1887,'Data Master'!$C$2:$C1887=A1795)))"),"")</f>
        <v/>
      </c>
    </row>
    <row r="1796" hidden="1">
      <c r="C1796" s="40" t="str">
        <f>IFERROR(__xludf.DUMMYFUNCTION("TEXTJOIN("", "",TRUE,UNIQUE(FILTER('Data Master'!$B$2:$B1887,'Data Master'!$C$2:$C1887=A1796)))"),"petani")</f>
        <v>petani</v>
      </c>
      <c r="D1796" s="40" t="str">
        <f>IFERROR(__xludf.DUMMYFUNCTION("TEXTJOIN("", "",TRUE,UNIQUE(FILTER('Data Master'!$D$2:$D1887,'Data Master'!$C$2:$C1887=A1796)))"),"")</f>
        <v/>
      </c>
    </row>
    <row r="1797" hidden="1">
      <c r="C1797" s="40" t="str">
        <f>IFERROR(__xludf.DUMMYFUNCTION("TEXTJOIN("", "",TRUE,UNIQUE(FILTER('Data Master'!$B$2:$B1887,'Data Master'!$C$2:$C1887=A1797)))"),"penyuluh")</f>
        <v>penyuluh</v>
      </c>
      <c r="D1797" s="40" t="str">
        <f>IFERROR(__xludf.DUMMYFUNCTION("TEXTJOIN("", "",TRUE,UNIQUE(FILTER('Data Master'!$D$2:$D1887,'Data Master'!$C$2:$C1887=A1797)))"),"wksihku@gmail.com")</f>
        <v>wksihku@gmail.com</v>
      </c>
    </row>
    <row r="1798" hidden="1">
      <c r="C1798" s="40" t="str">
        <f>IFERROR(__xludf.DUMMYFUNCTION("TEXTJOIN("", "",TRUE,UNIQUE(FILTER('Data Master'!$B$2:$B1887,'Data Master'!$C$2:$C1887=A1798)))"),"petani")</f>
        <v>petani</v>
      </c>
      <c r="D1798" s="40" t="str">
        <f>IFERROR(__xludf.DUMMYFUNCTION("TEXTJOIN("", "",TRUE,UNIQUE(FILTER('Data Master'!$D$2:$D1887,'Data Master'!$C$2:$C1887=A1798)))"),"")</f>
        <v/>
      </c>
    </row>
    <row r="1799" hidden="1">
      <c r="C1799" s="40" t="str">
        <f>IFERROR(__xludf.DUMMYFUNCTION("TEXTJOIN("", "",TRUE,UNIQUE(FILTER('Data Master'!$B$2:$B1887,'Data Master'!$C$2:$C1887=A1799)))"),"petani")</f>
        <v>petani</v>
      </c>
      <c r="D1799" s="40" t="str">
        <f>IFERROR(__xludf.DUMMYFUNCTION("TEXTJOIN("", "",TRUE,UNIQUE(FILTER('Data Master'!$D$2:$D1887,'Data Master'!$C$2:$C1887=A1799)))"),"")</f>
        <v/>
      </c>
    </row>
    <row r="1800" hidden="1">
      <c r="C1800" s="40" t="str">
        <f>IFERROR(__xludf.DUMMYFUNCTION("TEXTJOIN("", "",TRUE,UNIQUE(FILTER('Data Master'!$B$2:$B1887,'Data Master'!$C$2:$C1887=A1800)))"),"petani")</f>
        <v>petani</v>
      </c>
      <c r="D1800" s="40" t="str">
        <f>IFERROR(__xludf.DUMMYFUNCTION("TEXTJOIN("", "",TRUE,UNIQUE(FILTER('Data Master'!$D$2:$D1887,'Data Master'!$C$2:$C1887=A1800)))"),"")</f>
        <v/>
      </c>
    </row>
    <row r="1801" hidden="1">
      <c r="C1801" s="40" t="str">
        <f>IFERROR(__xludf.DUMMYFUNCTION("TEXTJOIN("", "",TRUE,UNIQUE(FILTER('Data Master'!$B$2:$B1887,'Data Master'!$C$2:$C1887=A1801)))"),"petani")</f>
        <v>petani</v>
      </c>
      <c r="D1801" s="40" t="str">
        <f>IFERROR(__xludf.DUMMYFUNCTION("TEXTJOIN("", "",TRUE,UNIQUE(FILTER('Data Master'!$D$2:$D1887,'Data Master'!$C$2:$C1887=A1801)))"),"")</f>
        <v/>
      </c>
    </row>
    <row r="1802" hidden="1">
      <c r="C1802" s="40" t="str">
        <f>IFERROR(__xludf.DUMMYFUNCTION("TEXTJOIN("", "",TRUE,UNIQUE(FILTER('Data Master'!$B$2:$B1887,'Data Master'!$C$2:$C1887=A1802)))"),"petani")</f>
        <v>petani</v>
      </c>
      <c r="D1802" s="40" t="str">
        <f>IFERROR(__xludf.DUMMYFUNCTION("TEXTJOIN("", "",TRUE,UNIQUE(FILTER('Data Master'!$D$2:$D1887,'Data Master'!$C$2:$C1887=A1802)))"),"")</f>
        <v/>
      </c>
    </row>
    <row r="1803" hidden="1">
      <c r="C1803" s="40" t="str">
        <f>IFERROR(__xludf.DUMMYFUNCTION("TEXTJOIN("", "",TRUE,UNIQUE(FILTER('Data Master'!$B$2:$B1887,'Data Master'!$C$2:$C1887=A1803)))"),"petani")</f>
        <v>petani</v>
      </c>
      <c r="D1803" s="40" t="str">
        <f>IFERROR(__xludf.DUMMYFUNCTION("TEXTJOIN("", "",TRUE,UNIQUE(FILTER('Data Master'!$D$2:$D1887,'Data Master'!$C$2:$C1887=A1803)))"),"")</f>
        <v/>
      </c>
    </row>
    <row r="1804" hidden="1">
      <c r="C1804" s="40" t="str">
        <f>IFERROR(__xludf.DUMMYFUNCTION("TEXTJOIN("", "",TRUE,UNIQUE(FILTER('Data Master'!$B$2:$B1887,'Data Master'!$C$2:$C1887=A1804)))"),"petani")</f>
        <v>petani</v>
      </c>
      <c r="D1804" s="40" t="str">
        <f>IFERROR(__xludf.DUMMYFUNCTION("TEXTJOIN("", "",TRUE,UNIQUE(FILTER('Data Master'!$D$2:$D1887,'Data Master'!$C$2:$C1887=A1804)))"),"")</f>
        <v/>
      </c>
    </row>
    <row r="1805" hidden="1">
      <c r="C1805" s="40" t="str">
        <f>IFERROR(__xludf.DUMMYFUNCTION("TEXTJOIN("", "",TRUE,UNIQUE(FILTER('Data Master'!$B$2:$B1887,'Data Master'!$C$2:$C1887=A1805)))"),"petani")</f>
        <v>petani</v>
      </c>
      <c r="D1805" s="40" t="str">
        <f>IFERROR(__xludf.DUMMYFUNCTION("TEXTJOIN("", "",TRUE,UNIQUE(FILTER('Data Master'!$D$2:$D1887,'Data Master'!$C$2:$C1887=A1805)))"),"")</f>
        <v/>
      </c>
    </row>
    <row r="1806" hidden="1">
      <c r="C1806" s="40" t="str">
        <f>IFERROR(__xludf.DUMMYFUNCTION("TEXTJOIN("", "",TRUE,UNIQUE(FILTER('Data Master'!$B$2:$B1887,'Data Master'!$C$2:$C1887=A1806)))"),"petani")</f>
        <v>petani</v>
      </c>
      <c r="D1806" s="40" t="str">
        <f>IFERROR(__xludf.DUMMYFUNCTION("TEXTJOIN("", "",TRUE,UNIQUE(FILTER('Data Master'!$D$2:$D1887,'Data Master'!$C$2:$C1887=A1806)))"),"")</f>
        <v/>
      </c>
    </row>
    <row r="1807" hidden="1">
      <c r="C1807" s="40" t="str">
        <f>IFERROR(__xludf.DUMMYFUNCTION("TEXTJOIN("", "",TRUE,UNIQUE(FILTER('Data Master'!$B$2:$B1887,'Data Master'!$C$2:$C1887=A1807)))"),"petani")</f>
        <v>petani</v>
      </c>
      <c r="D1807" s="40" t="str">
        <f>IFERROR(__xludf.DUMMYFUNCTION("TEXTJOIN("", "",TRUE,UNIQUE(FILTER('Data Master'!$D$2:$D1887,'Data Master'!$C$2:$C1887=A1807)))"),"")</f>
        <v/>
      </c>
    </row>
    <row r="1808" hidden="1">
      <c r="C1808" s="40" t="str">
        <f>IFERROR(__xludf.DUMMYFUNCTION("TEXTJOIN("", "",TRUE,UNIQUE(FILTER('Data Master'!$B$2:$B1887,'Data Master'!$C$2:$C1887=A1808)))"),"petani")</f>
        <v>petani</v>
      </c>
      <c r="D1808" s="40" t="str">
        <f>IFERROR(__xludf.DUMMYFUNCTION("TEXTJOIN("", "",TRUE,UNIQUE(FILTER('Data Master'!$D$2:$D1887,'Data Master'!$C$2:$C1887=A1808)))"),"")</f>
        <v/>
      </c>
    </row>
    <row r="1809" hidden="1">
      <c r="C1809" s="40" t="str">
        <f>IFERROR(__xludf.DUMMYFUNCTION("TEXTJOIN("", "",TRUE,UNIQUE(FILTER('Data Master'!$B$2:$B1887,'Data Master'!$C$2:$C1887=A1809)))"),"petani")</f>
        <v>petani</v>
      </c>
      <c r="D1809" s="40" t="str">
        <f>IFERROR(__xludf.DUMMYFUNCTION("TEXTJOIN("", "",TRUE,UNIQUE(FILTER('Data Master'!$D$2:$D1887,'Data Master'!$C$2:$C1887=A1809)))"),"")</f>
        <v/>
      </c>
    </row>
    <row r="1810" hidden="1">
      <c r="C1810" s="40" t="str">
        <f>IFERROR(__xludf.DUMMYFUNCTION("TEXTJOIN("", "",TRUE,UNIQUE(FILTER('Data Master'!$B$2:$B1887,'Data Master'!$C$2:$C1887=A1810)))"),"petani")</f>
        <v>petani</v>
      </c>
      <c r="D1810" s="40" t="str">
        <f>IFERROR(__xludf.DUMMYFUNCTION("TEXTJOIN("", "",TRUE,UNIQUE(FILTER('Data Master'!$D$2:$D1887,'Data Master'!$C$2:$C1887=A1810)))"),"")</f>
        <v/>
      </c>
    </row>
    <row r="1811" hidden="1">
      <c r="C1811" s="40" t="str">
        <f>IFERROR(__xludf.DUMMYFUNCTION("TEXTJOIN("", "",TRUE,UNIQUE(FILTER('Data Master'!$B$2:$B1887,'Data Master'!$C$2:$C1887=A1811)))"),"petani")</f>
        <v>petani</v>
      </c>
      <c r="D1811" s="40" t="str">
        <f>IFERROR(__xludf.DUMMYFUNCTION("TEXTJOIN("", "",TRUE,UNIQUE(FILTER('Data Master'!$D$2:$D1887,'Data Master'!$C$2:$C1887=A1811)))"),"")</f>
        <v/>
      </c>
    </row>
    <row r="1812" hidden="1">
      <c r="C1812" s="40" t="str">
        <f>IFERROR(__xludf.DUMMYFUNCTION("TEXTJOIN("", "",TRUE,UNIQUE(FILTER('Data Master'!$B$2:$B1887,'Data Master'!$C$2:$C1887=A1812)))"),"petani")</f>
        <v>petani</v>
      </c>
      <c r="D1812" s="40" t="str">
        <f>IFERROR(__xludf.DUMMYFUNCTION("TEXTJOIN("", "",TRUE,UNIQUE(FILTER('Data Master'!$D$2:$D1887,'Data Master'!$C$2:$C1887=A1812)))"),"")</f>
        <v/>
      </c>
    </row>
    <row r="1813" hidden="1">
      <c r="C1813" s="40" t="str">
        <f>IFERROR(__xludf.DUMMYFUNCTION("TEXTJOIN("", "",TRUE,UNIQUE(FILTER('Data Master'!$B$2:$B1887,'Data Master'!$C$2:$C1887=A1813)))"),"petani")</f>
        <v>petani</v>
      </c>
      <c r="D1813" s="40" t="str">
        <f>IFERROR(__xludf.DUMMYFUNCTION("TEXTJOIN("", "",TRUE,UNIQUE(FILTER('Data Master'!$D$2:$D1887,'Data Master'!$C$2:$C1887=A1813)))"),"")</f>
        <v/>
      </c>
    </row>
    <row r="1814" hidden="1">
      <c r="C1814" s="40" t="str">
        <f>IFERROR(__xludf.DUMMYFUNCTION("TEXTJOIN("", "",TRUE,UNIQUE(FILTER('Data Master'!$B$2:$B1887,'Data Master'!$C$2:$C1887=A1814)))"),"petani")</f>
        <v>petani</v>
      </c>
      <c r="D1814" s="40" t="str">
        <f>IFERROR(__xludf.DUMMYFUNCTION("TEXTJOIN("", "",TRUE,UNIQUE(FILTER('Data Master'!$D$2:$D1887,'Data Master'!$C$2:$C1887=A1814)))"),"")</f>
        <v/>
      </c>
    </row>
    <row r="1815" hidden="1">
      <c r="C1815" s="40" t="str">
        <f>IFERROR(__xludf.DUMMYFUNCTION("TEXTJOIN("", "",TRUE,UNIQUE(FILTER('Data Master'!$B$2:$B1887,'Data Master'!$C$2:$C1887=A1815)))"),"petani")</f>
        <v>petani</v>
      </c>
      <c r="D1815" s="40" t="str">
        <f>IFERROR(__xludf.DUMMYFUNCTION("TEXTJOIN("", "",TRUE,UNIQUE(FILTER('Data Master'!$D$2:$D1887,'Data Master'!$C$2:$C1887=A1815)))"),"")</f>
        <v/>
      </c>
    </row>
    <row r="1816" hidden="1">
      <c r="C1816" s="40" t="str">
        <f>IFERROR(__xludf.DUMMYFUNCTION("TEXTJOIN("", "",TRUE,UNIQUE(FILTER('Data Master'!$B$2:$B1887,'Data Master'!$C$2:$C1887=A1816)))"),"petani")</f>
        <v>petani</v>
      </c>
      <c r="D1816" s="40" t="str">
        <f>IFERROR(__xludf.DUMMYFUNCTION("TEXTJOIN("", "",TRUE,UNIQUE(FILTER('Data Master'!$D$2:$D1887,'Data Master'!$C$2:$C1887=A1816)))"),"")</f>
        <v/>
      </c>
    </row>
    <row r="1817" hidden="1">
      <c r="C1817" s="40" t="str">
        <f>IFERROR(__xludf.DUMMYFUNCTION("TEXTJOIN("", "",TRUE,UNIQUE(FILTER('Data Master'!$B$2:$B1887,'Data Master'!$C$2:$C1887=A1817)))"),"penyuluh")</f>
        <v>penyuluh</v>
      </c>
      <c r="D1817" s="40" t="str">
        <f>IFERROR(__xludf.DUMMYFUNCTION("TEXTJOIN("", "",TRUE,UNIQUE(FILTER('Data Master'!$D$2:$D1887,'Data Master'!$C$2:$C1887=A1817)))"),"")</f>
        <v/>
      </c>
    </row>
    <row r="1818" hidden="1">
      <c r="C1818" s="40" t="str">
        <f>IFERROR(__xludf.DUMMYFUNCTION("TEXTJOIN("", "",TRUE,UNIQUE(FILTER('Data Master'!$B$2:$B1887,'Data Master'!$C$2:$C1887=A1818)))"),"petani")</f>
        <v>petani</v>
      </c>
      <c r="D1818" s="40" t="str">
        <f>IFERROR(__xludf.DUMMYFUNCTION("TEXTJOIN("", "",TRUE,UNIQUE(FILTER('Data Master'!$D$2:$D1887,'Data Master'!$C$2:$C1887=A1818)))"),"")</f>
        <v/>
      </c>
    </row>
    <row r="1819" hidden="1">
      <c r="C1819" s="40" t="str">
        <f>IFERROR(__xludf.DUMMYFUNCTION("TEXTJOIN("", "",TRUE,UNIQUE(FILTER('Data Master'!$B$2:$B1887,'Data Master'!$C$2:$C1887=A1819)))"),"penyuluh")</f>
        <v>penyuluh</v>
      </c>
      <c r="D1819" s="40" t="str">
        <f>IFERROR(__xludf.DUMMYFUNCTION("TEXTJOIN("", "",TRUE,UNIQUE(FILTER('Data Master'!$D$2:$D1887,'Data Master'!$C$2:$C1887=A1819)))"),"")</f>
        <v/>
      </c>
    </row>
    <row r="1820" hidden="1">
      <c r="C1820" s="40" t="str">
        <f>IFERROR(__xludf.DUMMYFUNCTION("TEXTJOIN("", "",TRUE,UNIQUE(FILTER('Data Master'!$B$2:$B1887,'Data Master'!$C$2:$C1887=A1820)))"),"penyuluh")</f>
        <v>penyuluh</v>
      </c>
      <c r="D1820" s="40" t="str">
        <f>IFERROR(__xludf.DUMMYFUNCTION("TEXTJOIN("", "",TRUE,UNIQUE(FILTER('Data Master'!$D$2:$D1887,'Data Master'!$C$2:$C1887=A1820)))"),"")</f>
        <v/>
      </c>
    </row>
    <row r="1821" hidden="1">
      <c r="C1821" s="40" t="str">
        <f>IFERROR(__xludf.DUMMYFUNCTION("TEXTJOIN("", "",TRUE,UNIQUE(FILTER('Data Master'!$B$2:$B1887,'Data Master'!$C$2:$C1887=A1821)))"),"petani")</f>
        <v>petani</v>
      </c>
      <c r="D1821" s="40" t="str">
        <f>IFERROR(__xludf.DUMMYFUNCTION("TEXTJOIN("", "",TRUE,UNIQUE(FILTER('Data Master'!$D$2:$D1887,'Data Master'!$C$2:$C1887=A1821)))"),"")</f>
        <v/>
      </c>
    </row>
    <row r="1822" hidden="1">
      <c r="C1822" s="40" t="str">
        <f>IFERROR(__xludf.DUMMYFUNCTION("TEXTJOIN("", "",TRUE,UNIQUE(FILTER('Data Master'!$B$2:$B1887,'Data Master'!$C$2:$C1887=A1822)))"),"petani")</f>
        <v>petani</v>
      </c>
      <c r="D1822" s="40" t="str">
        <f>IFERROR(__xludf.DUMMYFUNCTION("TEXTJOIN("", "",TRUE,UNIQUE(FILTER('Data Master'!$D$2:$D1887,'Data Master'!$C$2:$C1887=A1822)))"),"")</f>
        <v/>
      </c>
    </row>
    <row r="1823" hidden="1">
      <c r="C1823" s="40" t="str">
        <f>IFERROR(__xludf.DUMMYFUNCTION("TEXTJOIN("", "",TRUE,UNIQUE(FILTER('Data Master'!$B$2:$B1887,'Data Master'!$C$2:$C1887=A1823)))"),"petani")</f>
        <v>petani</v>
      </c>
      <c r="D1823" s="40" t="str">
        <f>IFERROR(__xludf.DUMMYFUNCTION("TEXTJOIN("", "",TRUE,UNIQUE(FILTER('Data Master'!$D$2:$D1887,'Data Master'!$C$2:$C1887=A1823)))"),"")</f>
        <v/>
      </c>
    </row>
    <row r="1824" hidden="1">
      <c r="C1824" s="40" t="str">
        <f>IFERROR(__xludf.DUMMYFUNCTION("TEXTJOIN("", "",TRUE,UNIQUE(FILTER('Data Master'!$B$2:$B1887,'Data Master'!$C$2:$C1887=A1824)))"),"petani")</f>
        <v>petani</v>
      </c>
      <c r="D1824" s="40" t="str">
        <f>IFERROR(__xludf.DUMMYFUNCTION("TEXTJOIN("", "",TRUE,UNIQUE(FILTER('Data Master'!$D$2:$D1887,'Data Master'!$C$2:$C1887=A1824)))"),"")</f>
        <v/>
      </c>
    </row>
    <row r="1825" hidden="1">
      <c r="C1825" s="40" t="str">
        <f>IFERROR(__xludf.DUMMYFUNCTION("TEXTJOIN("", "",TRUE,UNIQUE(FILTER('Data Master'!$B$2:$B1887,'Data Master'!$C$2:$C1887=A1825)))"),"petani")</f>
        <v>petani</v>
      </c>
      <c r="D1825" s="40" t="str">
        <f>IFERROR(__xludf.DUMMYFUNCTION("TEXTJOIN("", "",TRUE,UNIQUE(FILTER('Data Master'!$D$2:$D1887,'Data Master'!$C$2:$C1887=A1825)))"),"")</f>
        <v/>
      </c>
    </row>
    <row r="1826">
      <c r="C1826" s="43" t="str">
        <f>IFERROR(__xludf.DUMMYFUNCTION("TEXTJOIN("", "",TRUE,UNIQUE(FILTER('Data Master'!$B$2:$B1887,'Data Master'!$C$2:$C1887=A1826)))"),"operator admin, penyuluh")</f>
        <v>operator admin, penyuluh</v>
      </c>
      <c r="D1826" s="43" t="str">
        <f>IFERROR(__xludf.DUMMYFUNCTION("TEXTJOIN("", "",TRUE,UNIQUE(FILTER('Data Master'!$D$2:$D1887,'Data Master'!$C$2:$C1887=A1826)))"),"wawannurcahyadi@yahoo.co.id")</f>
        <v>wawannurcahyadi@yahoo.co.id</v>
      </c>
    </row>
    <row r="1827" hidden="1">
      <c r="C1827" s="40" t="str">
        <f>IFERROR(__xludf.DUMMYFUNCTION("TEXTJOIN("", "",TRUE,UNIQUE(FILTER('Data Master'!$B$2:$B1887,'Data Master'!$C$2:$C1887=A1827)))"),"penyuluh")</f>
        <v>penyuluh</v>
      </c>
      <c r="D1827" s="40" t="str">
        <f>IFERROR(__xludf.DUMMYFUNCTION("TEXTJOIN("", "",TRUE,UNIQUE(FILTER('Data Master'!$D$2:$D1887,'Data Master'!$C$2:$C1887=A1827)))"),"wibowo452@gmail.com")</f>
        <v>wibowo452@gmail.com</v>
      </c>
    </row>
    <row r="1828" hidden="1">
      <c r="C1828" s="40" t="str">
        <f>IFERROR(__xludf.DUMMYFUNCTION("TEXTJOIN("", "",TRUE,UNIQUE(FILTER('Data Master'!$B$2:$B1887,'Data Master'!$C$2:$C1887=A1828)))"),"petani")</f>
        <v>petani</v>
      </c>
      <c r="D1828" s="40" t="str">
        <f>IFERROR(__xludf.DUMMYFUNCTION("TEXTJOIN("", "",TRUE,UNIQUE(FILTER('Data Master'!$D$2:$D1887,'Data Master'!$C$2:$C1887=A1828)))"),"")</f>
        <v/>
      </c>
    </row>
    <row r="1829" hidden="1">
      <c r="C1829" s="40" t="str">
        <f>IFERROR(__xludf.DUMMYFUNCTION("TEXTJOIN("", "",TRUE,UNIQUE(FILTER('Data Master'!$B$2:$B1887,'Data Master'!$C$2:$C1887=A1829)))"),"petani")</f>
        <v>petani</v>
      </c>
      <c r="D1829" s="40" t="str">
        <f>IFERROR(__xludf.DUMMYFUNCTION("TEXTJOIN("", "",TRUE,UNIQUE(FILTER('Data Master'!$D$2:$D1887,'Data Master'!$C$2:$C1887=A1829)))"),"")</f>
        <v/>
      </c>
    </row>
    <row r="1830" hidden="1">
      <c r="C1830" s="40" t="str">
        <f>IFERROR(__xludf.DUMMYFUNCTION("TEXTJOIN("", "",TRUE,UNIQUE(FILTER('Data Master'!$B$2:$B1887,'Data Master'!$C$2:$C1887=A1830)))"),"petani")</f>
        <v>petani</v>
      </c>
      <c r="D1830" s="40" t="str">
        <f>IFERROR(__xludf.DUMMYFUNCTION("TEXTJOIN("", "",TRUE,UNIQUE(FILTER('Data Master'!$D$2:$D1887,'Data Master'!$C$2:$C1887=A1830)))"),"")</f>
        <v/>
      </c>
    </row>
    <row r="1831" hidden="1">
      <c r="C1831" s="40" t="str">
        <f>IFERROR(__xludf.DUMMYFUNCTION("TEXTJOIN("", "",TRUE,UNIQUE(FILTER('Data Master'!$B$2:$B1887,'Data Master'!$C$2:$C1887=A1831)))"),"petani")</f>
        <v>petani</v>
      </c>
      <c r="D1831" s="40" t="str">
        <f>IFERROR(__xludf.DUMMYFUNCTION("TEXTJOIN("", "",TRUE,UNIQUE(FILTER('Data Master'!$D$2:$D1887,'Data Master'!$C$2:$C1887=A1831)))"),"")</f>
        <v/>
      </c>
    </row>
    <row r="1832" hidden="1">
      <c r="C1832" s="40" t="str">
        <f>IFERROR(__xludf.DUMMYFUNCTION("TEXTJOIN("", "",TRUE,UNIQUE(FILTER('Data Master'!$B$2:$B1887,'Data Master'!$C$2:$C1887=A1832)))"),"penyuluh")</f>
        <v>penyuluh</v>
      </c>
      <c r="D1832" s="40" t="str">
        <f>IFERROR(__xludf.DUMMYFUNCTION("TEXTJOIN("", "",TRUE,UNIQUE(FILTER('Data Master'!$D$2:$D1887,'Data Master'!$C$2:$C1887=A1832)))"),"widyamaharani126@gmail.com")</f>
        <v>widyamaharani126@gmail.com</v>
      </c>
    </row>
    <row r="1833" hidden="1">
      <c r="C1833" s="40" t="str">
        <f>IFERROR(__xludf.DUMMYFUNCTION("TEXTJOIN("", "",TRUE,UNIQUE(FILTER('Data Master'!$B$2:$B1887,'Data Master'!$C$2:$C1887=A1833)))"),"penyuluh")</f>
        <v>penyuluh</v>
      </c>
      <c r="D1833" s="40" t="str">
        <f>IFERROR(__xludf.DUMMYFUNCTION("TEXTJOIN("", "",TRUE,UNIQUE(FILTER('Data Master'!$D$2:$D1887,'Data Master'!$C$2:$C1887=A1833)))"),"")</f>
        <v/>
      </c>
    </row>
    <row r="1834" hidden="1">
      <c r="C1834" s="40" t="str">
        <f>IFERROR(__xludf.DUMMYFUNCTION("TEXTJOIN("", "",TRUE,UNIQUE(FILTER('Data Master'!$B$2:$B1887,'Data Master'!$C$2:$C1887=A1834)))"),"petani")</f>
        <v>petani</v>
      </c>
      <c r="D1834" s="40" t="str">
        <f>IFERROR(__xludf.DUMMYFUNCTION("TEXTJOIN("", "",TRUE,UNIQUE(FILTER('Data Master'!$D$2:$D1887,'Data Master'!$C$2:$C1887=A1834)))"),"")</f>
        <v/>
      </c>
    </row>
    <row r="1835" hidden="1">
      <c r="C1835" s="40" t="str">
        <f>IFERROR(__xludf.DUMMYFUNCTION("TEXTJOIN("", "",TRUE,UNIQUE(FILTER('Data Master'!$B$2:$B1887,'Data Master'!$C$2:$C1887=A1835)))"),"petani")</f>
        <v>petani</v>
      </c>
      <c r="D1835" s="40" t="str">
        <f>IFERROR(__xludf.DUMMYFUNCTION("TEXTJOIN("", "",TRUE,UNIQUE(FILTER('Data Master'!$D$2:$D1887,'Data Master'!$C$2:$C1887=A1835)))"),"dehapurwoko@gmail.com")</f>
        <v>dehapurwoko@gmail.com</v>
      </c>
    </row>
    <row r="1836" hidden="1">
      <c r="C1836" s="40" t="str">
        <f>IFERROR(__xludf.DUMMYFUNCTION("TEXTJOIN("", "",TRUE,UNIQUE(FILTER('Data Master'!$B$2:$B1887,'Data Master'!$C$2:$C1887=A1836)))"),"petani")</f>
        <v>petani</v>
      </c>
      <c r="D1836" s="40" t="str">
        <f>IFERROR(__xludf.DUMMYFUNCTION("TEXTJOIN("", "",TRUE,UNIQUE(FILTER('Data Master'!$D$2:$D1887,'Data Master'!$C$2:$C1887=A1836)))"),"")</f>
        <v/>
      </c>
    </row>
    <row r="1837" hidden="1">
      <c r="C1837" s="40" t="str">
        <f>IFERROR(__xludf.DUMMYFUNCTION("TEXTJOIN("", "",TRUE,UNIQUE(FILTER('Data Master'!$B$2:$B1887,'Data Master'!$C$2:$C1887=A1837)))"),"petani")</f>
        <v>petani</v>
      </c>
      <c r="D1837" s="40" t="str">
        <f>IFERROR(__xludf.DUMMYFUNCTION("TEXTJOIN("", "",TRUE,UNIQUE(FILTER('Data Master'!$D$2:$D1887,'Data Master'!$C$2:$C1887=A1837)))"),"")</f>
        <v/>
      </c>
    </row>
    <row r="1838" hidden="1">
      <c r="C1838" s="40" t="str">
        <f>IFERROR(__xludf.DUMMYFUNCTION("TEXTJOIN("", "",TRUE,UNIQUE(FILTER('Data Master'!$B$2:$B1887,'Data Master'!$C$2:$C1887=A1838)))"),"petani")</f>
        <v>petani</v>
      </c>
      <c r="D1838" s="40" t="str">
        <f>IFERROR(__xludf.DUMMYFUNCTION("TEXTJOIN("", "",TRUE,UNIQUE(FILTER('Data Master'!$D$2:$D1887,'Data Master'!$C$2:$C1887=A1838)))"),"")</f>
        <v/>
      </c>
    </row>
    <row r="1839" hidden="1">
      <c r="C1839" s="40" t="str">
        <f>IFERROR(__xludf.DUMMYFUNCTION("TEXTJOIN("", "",TRUE,UNIQUE(FILTER('Data Master'!$B$2:$B1887,'Data Master'!$C$2:$C1887=A1839)))"),"petani")</f>
        <v>petani</v>
      </c>
      <c r="D1839" s="40" t="str">
        <f>IFERROR(__xludf.DUMMYFUNCTION("TEXTJOIN("", "",TRUE,UNIQUE(FILTER('Data Master'!$D$2:$D1887,'Data Master'!$C$2:$C1887=A1839)))"),"")</f>
        <v/>
      </c>
    </row>
    <row r="1840" hidden="1">
      <c r="C1840" s="40" t="str">
        <f>IFERROR(__xludf.DUMMYFUNCTION("TEXTJOIN("", "",TRUE,UNIQUE(FILTER('Data Master'!$B$2:$B1887,'Data Master'!$C$2:$C1887=A1840)))"),"petani")</f>
        <v>petani</v>
      </c>
      <c r="D1840" s="40" t="str">
        <f>IFERROR(__xludf.DUMMYFUNCTION("TEXTJOIN("", "",TRUE,UNIQUE(FILTER('Data Master'!$D$2:$D1887,'Data Master'!$C$2:$C1887=A1840)))"),"")</f>
        <v/>
      </c>
    </row>
    <row r="1841" hidden="1">
      <c r="C1841" s="40" t="str">
        <f>IFERROR(__xludf.DUMMYFUNCTION("TEXTJOIN("", "",TRUE,UNIQUE(FILTER('Data Master'!$B$2:$B1887,'Data Master'!$C$2:$C1887=A1841)))"),"petani")</f>
        <v>petani</v>
      </c>
      <c r="D1841" s="40" t="str">
        <f>IFERROR(__xludf.DUMMYFUNCTION("TEXTJOIN("", "",TRUE,UNIQUE(FILTER('Data Master'!$D$2:$D1887,'Data Master'!$C$2:$C1887=A1841)))"),"")</f>
        <v/>
      </c>
    </row>
    <row r="1842" hidden="1">
      <c r="C1842" s="40" t="str">
        <f>IFERROR(__xludf.DUMMYFUNCTION("TEXTJOIN("", "",TRUE,UNIQUE(FILTER('Data Master'!$B$2:$B1887,'Data Master'!$C$2:$C1887=A1842)))"),"petani")</f>
        <v>petani</v>
      </c>
      <c r="D1842" s="40" t="str">
        <f>IFERROR(__xludf.DUMMYFUNCTION("TEXTJOIN("", "",TRUE,UNIQUE(FILTER('Data Master'!$D$2:$D1887,'Data Master'!$C$2:$C1887=A1842)))"),"")</f>
        <v/>
      </c>
    </row>
    <row r="1843">
      <c r="C1843" s="43" t="str">
        <f>IFERROR(__xludf.DUMMYFUNCTION("TEXTJOIN("", "",TRUE,UNIQUE(FILTER('Data Master'!$B$2:$B1887,'Data Master'!$C$2:$C1887=A1843)))"),"operator admin, penyuluh")</f>
        <v>operator admin, penyuluh</v>
      </c>
      <c r="D1843" s="43" t="str">
        <f>IFERROR(__xludf.DUMMYFUNCTION("TEXTJOIN("", "",TRUE,UNIQUE(FILTER('Data Master'!$D$2:$D1887,'Data Master'!$C$2:$C1887=A1843)))"),"arshakasuntoro@gmail.com")</f>
        <v>arshakasuntoro@gmail.com</v>
      </c>
    </row>
    <row r="1844" hidden="1">
      <c r="C1844" s="40" t="str">
        <f>IFERROR(__xludf.DUMMYFUNCTION("TEXTJOIN("", "",TRUE,UNIQUE(FILTER('Data Master'!$B$2:$B1887,'Data Master'!$C$2:$C1887=A1844)))"),"penyuluh")</f>
        <v>penyuluh</v>
      </c>
      <c r="D1844" s="40" t="str">
        <f>IFERROR(__xludf.DUMMYFUNCTION("TEXTJOIN("", "",TRUE,UNIQUE(FILTER('Data Master'!$D$2:$D1887,'Data Master'!$C$2:$C1887=A1844)))"),"arshakasuntoro@gmail.com")</f>
        <v>arshakasuntoro@gmail.com</v>
      </c>
    </row>
    <row r="1845" hidden="1">
      <c r="C1845" s="40" t="str">
        <f>IFERROR(__xludf.DUMMYFUNCTION("TEXTJOIN("", "",TRUE,UNIQUE(FILTER('Data Master'!$B$2:$B1887,'Data Master'!$C$2:$C1887=A1845)))"),"petani")</f>
        <v>petani</v>
      </c>
      <c r="D1845" s="40" t="str">
        <f>IFERROR(__xludf.DUMMYFUNCTION("TEXTJOIN("", "",TRUE,UNIQUE(FILTER('Data Master'!$D$2:$D1887,'Data Master'!$C$2:$C1887=A1845)))"),"")</f>
        <v/>
      </c>
    </row>
    <row r="1846" hidden="1">
      <c r="C1846" s="40" t="str">
        <f>IFERROR(__xludf.DUMMYFUNCTION("TEXTJOIN("", "",TRUE,UNIQUE(FILTER('Data Master'!$B$2:$B1887,'Data Master'!$C$2:$C1887=A1846)))"),"petani")</f>
        <v>petani</v>
      </c>
      <c r="D1846" s="40" t="str">
        <f>IFERROR(__xludf.DUMMYFUNCTION("TEXTJOIN("", "",TRUE,UNIQUE(FILTER('Data Master'!$D$2:$D1887,'Data Master'!$C$2:$C1887=A1846)))"),"")</f>
        <v/>
      </c>
    </row>
    <row r="1847" hidden="1">
      <c r="C1847" s="40" t="str">
        <f>IFERROR(__xludf.DUMMYFUNCTION("TEXTJOIN("", "",TRUE,UNIQUE(FILTER('Data Master'!$B$2:$B1887,'Data Master'!$C$2:$C1887=A1847)))"),"petani")</f>
        <v>petani</v>
      </c>
      <c r="D1847" s="40" t="str">
        <f>IFERROR(__xludf.DUMMYFUNCTION("TEXTJOIN("", "",TRUE,UNIQUE(FILTER('Data Master'!$D$2:$D1887,'Data Master'!$C$2:$C1887=A1847)))"),"arshakasuntoro@gmail.com")</f>
        <v>arshakasuntoro@gmail.com</v>
      </c>
    </row>
    <row r="1848" hidden="1">
      <c r="C1848" s="40" t="str">
        <f>IFERROR(__xludf.DUMMYFUNCTION("TEXTJOIN("", "",TRUE,UNIQUE(FILTER('Data Master'!$B$2:$B1887,'Data Master'!$C$2:$C1887=A1848)))"),"petani")</f>
        <v>petani</v>
      </c>
      <c r="D1848" s="40" t="str">
        <f>IFERROR(__xludf.DUMMYFUNCTION("TEXTJOIN("", "",TRUE,UNIQUE(FILTER('Data Master'!$D$2:$D1887,'Data Master'!$C$2:$C1887=A1848)))"),"")</f>
        <v/>
      </c>
    </row>
    <row r="1849" hidden="1">
      <c r="C1849" s="40" t="str">
        <f>IFERROR(__xludf.DUMMYFUNCTION("TEXTJOIN("", "",TRUE,UNIQUE(FILTER('Data Master'!$B$2:$B1887,'Data Master'!$C$2:$C1887=A1849)))"),"petani")</f>
        <v>petani</v>
      </c>
      <c r="D1849" s="40" t="str">
        <f>IFERROR(__xludf.DUMMYFUNCTION("TEXTJOIN("", "",TRUE,UNIQUE(FILTER('Data Master'!$D$2:$D1887,'Data Master'!$C$2:$C1887=A1849)))"),"")</f>
        <v/>
      </c>
    </row>
    <row r="1850" hidden="1">
      <c r="C1850" s="40" t="str">
        <f>IFERROR(__xludf.DUMMYFUNCTION("TEXTJOIN("", "",TRUE,UNIQUE(FILTER('Data Master'!$B$2:$B1887,'Data Master'!$C$2:$C1887=A1850)))"),"petani")</f>
        <v>petani</v>
      </c>
      <c r="D1850" s="40" t="str">
        <f>IFERROR(__xludf.DUMMYFUNCTION("TEXTJOIN("", "",TRUE,UNIQUE(FILTER('Data Master'!$D$2:$D1887,'Data Master'!$C$2:$C1887=A1850)))"),"")</f>
        <v/>
      </c>
    </row>
    <row r="1851" hidden="1">
      <c r="C1851" s="40" t="str">
        <f>IFERROR(__xludf.DUMMYFUNCTION("TEXTJOIN("", "",TRUE,UNIQUE(FILTER('Data Master'!$B$2:$B1887,'Data Master'!$C$2:$C1887=A1851)))"),"petani")</f>
        <v>petani</v>
      </c>
      <c r="D1851" s="40" t="str">
        <f>IFERROR(__xludf.DUMMYFUNCTION("TEXTJOIN("", "",TRUE,UNIQUE(FILTER('Data Master'!$D$2:$D1887,'Data Master'!$C$2:$C1887=A1851)))"),"")</f>
        <v/>
      </c>
    </row>
    <row r="1852" hidden="1">
      <c r="C1852" s="40" t="str">
        <f>IFERROR(__xludf.DUMMYFUNCTION("TEXTJOIN("", "",TRUE,UNIQUE(FILTER('Data Master'!$B$2:$B1887,'Data Master'!$C$2:$C1887=A1852)))"),"petani")</f>
        <v>petani</v>
      </c>
      <c r="D1852" s="40" t="str">
        <f>IFERROR(__xludf.DUMMYFUNCTION("TEXTJOIN("", "",TRUE,UNIQUE(FILTER('Data Master'!$D$2:$D1887,'Data Master'!$C$2:$C1887=A1852)))"),"")</f>
        <v/>
      </c>
    </row>
    <row r="1853" hidden="1">
      <c r="C1853" s="40" t="str">
        <f>IFERROR(__xludf.DUMMYFUNCTION("TEXTJOIN("", "",TRUE,UNIQUE(FILTER('Data Master'!$B$2:$B1887,'Data Master'!$C$2:$C1887=A1853)))"),"petani")</f>
        <v>petani</v>
      </c>
      <c r="D1853" s="40" t="str">
        <f>IFERROR(__xludf.DUMMYFUNCTION("TEXTJOIN("", "",TRUE,UNIQUE(FILTER('Data Master'!$D$2:$D1887,'Data Master'!$C$2:$C1887=A1853)))"),"")</f>
        <v/>
      </c>
    </row>
    <row r="1854" hidden="1">
      <c r="C1854" s="40" t="str">
        <f>IFERROR(__xludf.DUMMYFUNCTION("TEXTJOIN("", "",TRUE,UNIQUE(FILTER('Data Master'!$B$2:$B1887,'Data Master'!$C$2:$C1887=A1854)))"),"petani")</f>
        <v>petani</v>
      </c>
      <c r="D1854" s="40" t="str">
        <f>IFERROR(__xludf.DUMMYFUNCTION("TEXTJOIN("", "",TRUE,UNIQUE(FILTER('Data Master'!$D$2:$D1887,'Data Master'!$C$2:$C1887=A1854)))"),"arshakasuntoro@gmail.com")</f>
        <v>arshakasuntoro@gmail.com</v>
      </c>
    </row>
    <row r="1855" hidden="1">
      <c r="C1855" s="40" t="str">
        <f>IFERROR(__xludf.DUMMYFUNCTION("TEXTJOIN("", "",TRUE,UNIQUE(FILTER('Data Master'!$B$2:$B1887,'Data Master'!$C$2:$C1887=A1855)))"),"petani")</f>
        <v>petani</v>
      </c>
      <c r="D1855" s="40" t="str">
        <f>IFERROR(__xludf.DUMMYFUNCTION("TEXTJOIN("", "",TRUE,UNIQUE(FILTER('Data Master'!$D$2:$D1887,'Data Master'!$C$2:$C1887=A1855)))"),"")</f>
        <v/>
      </c>
    </row>
    <row r="1856" hidden="1">
      <c r="C1856" s="40" t="str">
        <f>IFERROR(__xludf.DUMMYFUNCTION("TEXTJOIN("", "",TRUE,UNIQUE(FILTER('Data Master'!$B$2:$B1887,'Data Master'!$C$2:$C1887=A1856)))"),"petani")</f>
        <v>petani</v>
      </c>
      <c r="D1856" s="40" t="str">
        <f>IFERROR(__xludf.DUMMYFUNCTION("TEXTJOIN("", "",TRUE,UNIQUE(FILTER('Data Master'!$D$2:$D1887,'Data Master'!$C$2:$C1887=A1856)))"),"")</f>
        <v/>
      </c>
    </row>
    <row r="1857" hidden="1">
      <c r="C1857" s="40" t="str">
        <f>IFERROR(__xludf.DUMMYFUNCTION("TEXTJOIN("", "",TRUE,UNIQUE(FILTER('Data Master'!$B$2:$B1887,'Data Master'!$C$2:$C1887=A1857)))"),"petani")</f>
        <v>petani</v>
      </c>
      <c r="D1857" s="40" t="str">
        <f>IFERROR(__xludf.DUMMYFUNCTION("TEXTJOIN("", "",TRUE,UNIQUE(FILTER('Data Master'!$D$2:$D1887,'Data Master'!$C$2:$C1887=A1857)))"),"")</f>
        <v/>
      </c>
    </row>
    <row r="1858" hidden="1">
      <c r="C1858" s="40" t="str">
        <f>IFERROR(__xludf.DUMMYFUNCTION("TEXTJOIN("", "",TRUE,UNIQUE(FILTER('Data Master'!$B$2:$B1887,'Data Master'!$C$2:$C1887=A1858)))"),"petani")</f>
        <v>petani</v>
      </c>
      <c r="D1858" s="40" t="str">
        <f>IFERROR(__xludf.DUMMYFUNCTION("TEXTJOIN("", "",TRUE,UNIQUE(FILTER('Data Master'!$D$2:$D1887,'Data Master'!$C$2:$C1887=A1858)))"),"yfyfyguuh@gmail.com")</f>
        <v>yfyfyguuh@gmail.com</v>
      </c>
    </row>
    <row r="1859" hidden="1">
      <c r="C1859" s="40" t="str">
        <f>IFERROR(__xludf.DUMMYFUNCTION("TEXTJOIN("", "",TRUE,UNIQUE(FILTER('Data Master'!$B$2:$B1887,'Data Master'!$C$2:$C1887=A1859)))"),"petani")</f>
        <v>petani</v>
      </c>
      <c r="D1859" s="40" t="str">
        <f>IFERROR(__xludf.DUMMYFUNCTION("TEXTJOIN("", "",TRUE,UNIQUE(FILTER('Data Master'!$D$2:$D1887,'Data Master'!$C$2:$C1887=A1859)))"),"")</f>
        <v/>
      </c>
    </row>
    <row r="1860" hidden="1">
      <c r="C1860" s="40" t="str">
        <f>IFERROR(__xludf.DUMMYFUNCTION("TEXTJOIN("", "",TRUE,UNIQUE(FILTER('Data Master'!$B$2:$B1887,'Data Master'!$C$2:$C1887=A1860)))"),"petani")</f>
        <v>petani</v>
      </c>
      <c r="D1860" s="40" t="str">
        <f>IFERROR(__xludf.DUMMYFUNCTION("TEXTJOIN("", "",TRUE,UNIQUE(FILTER('Data Master'!$D$2:$D1887,'Data Master'!$C$2:$C1887=A1860)))"),"")</f>
        <v/>
      </c>
    </row>
    <row r="1861" hidden="1">
      <c r="C1861" s="40" t="str">
        <f>IFERROR(__xludf.DUMMYFUNCTION("TEXTJOIN("", "",TRUE,UNIQUE(FILTER('Data Master'!$B$2:$B1887,'Data Master'!$C$2:$C1887=A1861)))"),"petani")</f>
        <v>petani</v>
      </c>
      <c r="D1861" s="40" t="str">
        <f>IFERROR(__xludf.DUMMYFUNCTION("TEXTJOIN("", "",TRUE,UNIQUE(FILTER('Data Master'!$D$2:$D1887,'Data Master'!$C$2:$C1887=A1861)))"),"")</f>
        <v/>
      </c>
    </row>
    <row r="1862" hidden="1">
      <c r="C1862" s="40" t="str">
        <f>IFERROR(__xludf.DUMMYFUNCTION("TEXTJOIN("", "",TRUE,UNIQUE(FILTER('Data Master'!$B$2:$B1887,'Data Master'!$C$2:$C1887=A1862)))"),"petani")</f>
        <v>petani</v>
      </c>
      <c r="D1862" s="40" t="str">
        <f>IFERROR(__xludf.DUMMYFUNCTION("TEXTJOIN("", "",TRUE,UNIQUE(FILTER('Data Master'!$D$2:$D1887,'Data Master'!$C$2:$C1887=A1862)))"),"")</f>
        <v/>
      </c>
    </row>
    <row r="1863" hidden="1">
      <c r="C1863" s="40" t="str">
        <f>IFERROR(__xludf.DUMMYFUNCTION("TEXTJOIN("", "",TRUE,UNIQUE(FILTER('Data Master'!$B$2:$B1887,'Data Master'!$C$2:$C1887=A1863)))"),"petani")</f>
        <v>petani</v>
      </c>
      <c r="D1863" s="40" t="str">
        <f>IFERROR(__xludf.DUMMYFUNCTION("TEXTJOIN("", "",TRUE,UNIQUE(FILTER('Data Master'!$D$2:$D1887,'Data Master'!$C$2:$C1887=A1863)))"),"")</f>
        <v/>
      </c>
    </row>
    <row r="1864" hidden="1">
      <c r="C1864" s="40" t="str">
        <f>IFERROR(__xludf.DUMMYFUNCTION("TEXTJOIN("", "",TRUE,UNIQUE(FILTER('Data Master'!$B$2:$B1887,'Data Master'!$C$2:$C1887=A1864)))"),"petani")</f>
        <v>petani</v>
      </c>
      <c r="D1864" s="40" t="str">
        <f>IFERROR(__xludf.DUMMYFUNCTION("TEXTJOIN("", "",TRUE,UNIQUE(FILTER('Data Master'!$D$2:$D1887,'Data Master'!$C$2:$C1887=A1864)))"),"jogorogosiketan@gmail.com")</f>
        <v>jogorogosiketan@gmail.com</v>
      </c>
    </row>
    <row r="1865" hidden="1">
      <c r="C1865" s="40" t="str">
        <f>IFERROR(__xludf.DUMMYFUNCTION("TEXTJOIN("", "",TRUE,UNIQUE(FILTER('Data Master'!$B$2:$B1887,'Data Master'!$C$2:$C1887=A1865)))"),"petani")</f>
        <v>petani</v>
      </c>
      <c r="D1865" s="40" t="str">
        <f>IFERROR(__xludf.DUMMYFUNCTION("TEXTJOIN("", "",TRUE,UNIQUE(FILTER('Data Master'!$D$2:$D1887,'Data Master'!$C$2:$C1887=A1865)))"),"")</f>
        <v/>
      </c>
    </row>
    <row r="1866" hidden="1">
      <c r="C1866" s="40" t="str">
        <f>IFERROR(__xludf.DUMMYFUNCTION("TEXTJOIN("", "",TRUE,UNIQUE(FILTER('Data Master'!$B$2:$B1887,'Data Master'!$C$2:$C1887=A1866)))"),"petani")</f>
        <v>petani</v>
      </c>
      <c r="D1866" s="40" t="str">
        <f>IFERROR(__xludf.DUMMYFUNCTION("TEXTJOIN("", "",TRUE,UNIQUE(FILTER('Data Master'!$D$2:$D1887,'Data Master'!$C$2:$C1887=A1866)))"),"")</f>
        <v/>
      </c>
    </row>
    <row r="1867" hidden="1">
      <c r="C1867" s="40" t="str">
        <f>IFERROR(__xludf.DUMMYFUNCTION("TEXTJOIN("", "",TRUE,UNIQUE(FILTER('Data Master'!$B$2:$B1887,'Data Master'!$C$2:$C1887=A1867)))"),"petani")</f>
        <v>petani</v>
      </c>
      <c r="D1867" s="40" t="str">
        <f>IFERROR(__xludf.DUMMYFUNCTION("TEXTJOIN("", "",TRUE,UNIQUE(FILTER('Data Master'!$D$2:$D1887,'Data Master'!$C$2:$C1887=A1867)))"),"")</f>
        <v/>
      </c>
    </row>
    <row r="1868" hidden="1">
      <c r="C1868" s="40" t="str">
        <f>IFERROR(__xludf.DUMMYFUNCTION("TEXTJOIN("", "",TRUE,UNIQUE(FILTER('Data Master'!$B$2:$B1887,'Data Master'!$C$2:$C1887=A1868)))"),"petani")</f>
        <v>petani</v>
      </c>
      <c r="D1868" s="40" t="str">
        <f>IFERROR(__xludf.DUMMYFUNCTION("TEXTJOIN("", "",TRUE,UNIQUE(FILTER('Data Master'!$D$2:$D1887,'Data Master'!$C$2:$C1887=A1868)))"),"")</f>
        <v/>
      </c>
    </row>
    <row r="1869" hidden="1">
      <c r="C1869" s="40" t="str">
        <f>IFERROR(__xludf.DUMMYFUNCTION("TEXTJOIN("", "",TRUE,UNIQUE(FILTER('Data Master'!$B$2:$B1887,'Data Master'!$C$2:$C1887=A1869)))"),"petani")</f>
        <v>petani</v>
      </c>
      <c r="D1869" s="40" t="str">
        <f>IFERROR(__xludf.DUMMYFUNCTION("TEXTJOIN("", "",TRUE,UNIQUE(FILTER('Data Master'!$D$2:$D1887,'Data Master'!$C$2:$C1887=A1869)))"),"")</f>
        <v/>
      </c>
    </row>
    <row r="1870" hidden="1">
      <c r="C1870" s="40" t="str">
        <f>IFERROR(__xludf.DUMMYFUNCTION("TEXTJOIN("", "",TRUE,UNIQUE(FILTER('Data Master'!$B$2:$B1887,'Data Master'!$C$2:$C1887=A1870)))"),"petani")</f>
        <v>petani</v>
      </c>
      <c r="D1870" s="40" t="str">
        <f>IFERROR(__xludf.DUMMYFUNCTION("TEXTJOIN("", "",TRUE,UNIQUE(FILTER('Data Master'!$D$2:$D1887,'Data Master'!$C$2:$C1887=A1870)))"),"")</f>
        <v/>
      </c>
    </row>
    <row r="1871" hidden="1">
      <c r="C1871" s="40" t="str">
        <f>IFERROR(__xludf.DUMMYFUNCTION("TEXTJOIN("", "",TRUE,UNIQUE(FILTER('Data Master'!$B$2:$B1887,'Data Master'!$C$2:$C1887=A1871)))"),"penyuluh")</f>
        <v>penyuluh</v>
      </c>
      <c r="D1871" s="40" t="str">
        <f>IFERROR(__xludf.DUMMYFUNCTION("TEXTJOIN("", "",TRUE,UNIQUE(FILTER('Data Master'!$D$2:$D1887,'Data Master'!$C$2:$C1887=A1871)))"),"mbkyuni0102@gmail.com")</f>
        <v>mbkyuni0102@gmail.com</v>
      </c>
    </row>
    <row r="1872" hidden="1">
      <c r="C1872" s="40" t="str">
        <f>IFERROR(__xludf.DUMMYFUNCTION("TEXTJOIN("", "",TRUE,UNIQUE(FILTER('Data Master'!$B$2:$B1887,'Data Master'!$C$2:$C1887=A1872)))"),"operator admin, penyuluh")</f>
        <v>operator admin, penyuluh</v>
      </c>
      <c r="D1872" s="40" t="str">
        <f>IFERROR(__xludf.DUMMYFUNCTION("TEXTJOIN("", "",TRUE,UNIQUE(FILTER('Data Master'!$D$2:$D1887,'Data Master'!$C$2:$C1887=A1872)))"),"rahmawatiyuni@gmail.com, rahmawatiyuni134@gmail.com")</f>
        <v>rahmawatiyuni@gmail.com, rahmawatiyuni134@gmail.com</v>
      </c>
    </row>
    <row r="1873" hidden="1">
      <c r="C1873" s="46" t="str">
        <f>IFERROR(__xludf.DUMMYFUNCTION("TEXTJOIN("", "",TRUE,UNIQUE(FILTER('Data Master'!$B$2:$B1887,'Data Master'!$C$2:$C1887=A1873)))"),"penyuluh")</f>
        <v>penyuluh</v>
      </c>
      <c r="D1873" s="46" t="str">
        <f>IFERROR(__xludf.DUMMYFUNCTION("TEXTJOIN("", "",TRUE,UNIQUE(FILTER('Data Master'!$D$2:$D1887,'Data Master'!$C$2:$C1887=A1873)))"),"")</f>
        <v/>
      </c>
    </row>
    <row r="1874" hidden="1">
      <c r="C1874" s="47" t="str">
        <f>IFERROR(__xludf.DUMMYFUNCTION("TEXTJOIN("", "",TRUE,UNIQUE(FILTER('Data Master'!$B$2:$B1887,'Data Master'!$C$2:$C1887=A1874)))"),"petani")</f>
        <v>petani</v>
      </c>
      <c r="D1874" s="47" t="str">
        <f>IFERROR(__xludf.DUMMYFUNCTION("TEXTJOIN("", "",TRUE,UNIQUE(FILTER('Data Master'!$D$2:$D1887,'Data Master'!$C$2:$C1887=A1874)))"),"")</f>
        <v/>
      </c>
    </row>
    <row r="1875" hidden="1">
      <c r="C1875" s="47" t="str">
        <f>IFERROR(__xludf.DUMMYFUNCTION("TEXTJOIN("", "",TRUE,UNIQUE(FILTER('Data Master'!$B$2:$B1887,'Data Master'!$C$2:$C1887=A1875)))"),"penyuluh")</f>
        <v>penyuluh</v>
      </c>
      <c r="D1875" s="47" t="str">
        <f>IFERROR(__xludf.DUMMYFUNCTION("TEXTJOIN("", "",TRUE,UNIQUE(FILTER('Data Master'!$D$2:$D1887,'Data Master'!$C$2:$C1887=A1875)))"),"yusupefendi935@gmail.com")</f>
        <v>yusupefendi935@gmail.com</v>
      </c>
    </row>
    <row r="1876" hidden="1">
      <c r="C1876" s="47" t="str">
        <f>IFERROR(__xludf.DUMMYFUNCTION("TEXTJOIN("", "",TRUE,UNIQUE(FILTER('Data Master'!$B$2:$B1887,'Data Master'!$C$2:$C1887=A1876)))"),"petani")</f>
        <v>petani</v>
      </c>
      <c r="D1876" s="47" t="str">
        <f>IFERROR(__xludf.DUMMYFUNCTION("TEXTJOIN("", "",TRUE,UNIQUE(FILTER('Data Master'!$D$2:$D1887,'Data Master'!$C$2:$C1887=A1876)))"),"")</f>
        <v/>
      </c>
    </row>
    <row r="1877" hidden="1">
      <c r="C1877" s="47" t="str">
        <f>IFERROR(__xludf.DUMMYFUNCTION("TEXTJOIN("", "",TRUE,UNIQUE(FILTER('Data Master'!$B$2:$B1887,'Data Master'!$C$2:$C1887=A1877)))"),"petani")</f>
        <v>petani</v>
      </c>
      <c r="D1877" s="47" t="str">
        <f>IFERROR(__xludf.DUMMYFUNCTION("TEXTJOIN("", "",TRUE,UNIQUE(FILTER('Data Master'!$D$2:$D1887,'Data Master'!$C$2:$C1887=A1877)))"),"")</f>
        <v/>
      </c>
    </row>
    <row r="1878" hidden="1">
      <c r="C1878" s="47" t="str">
        <f>IFERROR(__xludf.DUMMYFUNCTION("TEXTJOIN("", "",TRUE,UNIQUE(FILTER('Data Master'!$B$2:$B1887,'Data Master'!$C$2:$C1887=A1878)))"),"petani")</f>
        <v>petani</v>
      </c>
      <c r="D1878" s="47" t="str">
        <f>IFERROR(__xludf.DUMMYFUNCTION("TEXTJOIN("", "",TRUE,UNIQUE(FILTER('Data Master'!$D$2:$D1887,'Data Master'!$C$2:$C1887=A1878)))"),"")</f>
        <v/>
      </c>
    </row>
    <row r="1879" hidden="1">
      <c r="C1879" s="47" t="str">
        <f>IFERROR(__xludf.DUMMYFUNCTION("TEXTJOIN("", "",TRUE,UNIQUE(FILTER('Data Master'!$B$2:$B1887,'Data Master'!$C$2:$C1887=A1879)))"),"petani")</f>
        <v>petani</v>
      </c>
      <c r="D1879" s="47" t="str">
        <f>IFERROR(__xludf.DUMMYFUNCTION("TEXTJOIN("", "",TRUE,UNIQUE(FILTER('Data Master'!$D$2:$D1887,'Data Master'!$C$2:$C1887=A1879)))"),"")</f>
        <v/>
      </c>
    </row>
    <row r="1880" hidden="1">
      <c r="C1880" s="47" t="str">
        <f>IFERROR(__xludf.DUMMYFUNCTION("TEXTJOIN("", "",TRUE,UNIQUE(FILTER('Data Master'!$B$2:$B1887,'Data Master'!$C$2:$C1887=A1880)))"),"petani")</f>
        <v>petani</v>
      </c>
      <c r="D1880" s="47" t="str">
        <f>IFERROR(__xludf.DUMMYFUNCTION("TEXTJOIN("", "",TRUE,UNIQUE(FILTER('Data Master'!$D$2:$D1887,'Data Master'!$C$2:$C1887=A1880)))"),"")</f>
        <v/>
      </c>
    </row>
    <row r="1881" hidden="1">
      <c r="C1881" s="47" t="str">
        <f>IFERROR(__xludf.DUMMYFUNCTION("TEXTJOIN("", "",TRUE,UNIQUE(FILTER('Data Master'!$B$2:$B1887,'Data Master'!$C$2:$C1887=A1881)))"),"petani")</f>
        <v>petani</v>
      </c>
      <c r="D1881" s="47" t="str">
        <f>IFERROR(__xludf.DUMMYFUNCTION("TEXTJOIN("", "",TRUE,UNIQUE(FILTER('Data Master'!$D$2:$D1887,'Data Master'!$C$2:$C1887=A1881)))"),"")</f>
        <v/>
      </c>
    </row>
    <row r="1882" hidden="1">
      <c r="C1882" s="47" t="str">
        <f>IFERROR(__xludf.DUMMYFUNCTION("TEXTJOIN("", "",TRUE,UNIQUE(FILTER('Data Master'!$B$2:$B1887,'Data Master'!$C$2:$C1887=A1882)))"),"petani")</f>
        <v>petani</v>
      </c>
      <c r="D1882" s="47" t="str">
        <f>IFERROR(__xludf.DUMMYFUNCTION("TEXTJOIN("", "",TRUE,UNIQUE(FILTER('Data Master'!$D$2:$D1887,'Data Master'!$C$2:$C1887=A1882)))"),"")</f>
        <v/>
      </c>
    </row>
    <row r="1883" hidden="1">
      <c r="C1883" s="47" t="str">
        <f>IFERROR(__xludf.DUMMYFUNCTION("TEXTJOIN("", "",TRUE,UNIQUE(FILTER('Data Master'!$B$2:$B1887,'Data Master'!$C$2:$C1887=A1883)))"),"petani")</f>
        <v>petani</v>
      </c>
      <c r="D1883" s="47" t="str">
        <f>IFERROR(__xludf.DUMMYFUNCTION("TEXTJOIN("", "",TRUE,UNIQUE(FILTER('Data Master'!$D$2:$D1887,'Data Master'!$C$2:$C1887=A1883)))"),"")</f>
        <v/>
      </c>
    </row>
    <row r="1884" hidden="1">
      <c r="C1884" s="47" t="str">
        <f>IFERROR(__xludf.DUMMYFUNCTION("TEXTJOIN("", "",TRUE,UNIQUE(FILTER('Data Master'!$B$2:$B1887,'Data Master'!$C$2:$C1887=A1884)))"),"petani")</f>
        <v>petani</v>
      </c>
      <c r="D1884" s="47" t="str">
        <f>IFERROR(__xludf.DUMMYFUNCTION("TEXTJOIN("", "",TRUE,UNIQUE(FILTER('Data Master'!$D$2:$D1887,'Data Master'!$C$2:$C1887=A1884)))"),"")</f>
        <v/>
      </c>
    </row>
    <row r="1885" hidden="1">
      <c r="C1885" s="47" t="str">
        <f>IFERROR(__xludf.DUMMYFUNCTION("TEXTJOIN("", "",TRUE,UNIQUE(FILTER('Data Master'!$B$2:$B1887,'Data Master'!$C$2:$C1887=A1885)))"),"petani")</f>
        <v>petani</v>
      </c>
      <c r="D1885" s="47" t="str">
        <f>IFERROR(__xludf.DUMMYFUNCTION("TEXTJOIN("", "",TRUE,UNIQUE(FILTER('Data Master'!$D$2:$D1887,'Data Master'!$C$2:$C1887=A1885)))"),"zamzudin@gmail.com")</f>
        <v>zamzudin@gmail.com</v>
      </c>
    </row>
    <row r="1886" hidden="1">
      <c r="C1886" s="47" t="str">
        <f>IFERROR(__xludf.DUMMYFUNCTION("TEXTJOIN("", "",TRUE,UNIQUE(FILTER('Data Master'!$B$2:$B1887,'Data Master'!$C$2:$C1887=A1886)))"),"petani")</f>
        <v>petani</v>
      </c>
      <c r="D1886" s="47" t="str">
        <f>IFERROR(__xludf.DUMMYFUNCTION("TEXTJOIN("", "",TRUE,UNIQUE(FILTER('Data Master'!$D$2:$D1887,'Data Master'!$C$2:$C1887=A1886)))"),"")</f>
        <v/>
      </c>
    </row>
    <row r="1887"/>
  </sheetData>
  <autoFilter ref="$A$1:$D$1886">
    <filterColumn colId="1">
      <filters>
        <filter val="11"/>
        <filter val="12"/>
        <filter val="2"/>
        <filter val="3"/>
        <filter val="4"/>
        <filter val="5"/>
        <filter val="6"/>
        <filter val="17"/>
        <filter val="7"/>
        <filter val="8"/>
      </filters>
    </filterColumn>
    <filterColumn colId="3">
      <colorFilter dxfId="1"/>
    </filterColumn>
  </autoFil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88"/>
    <col customWidth="1" min="2" max="2" width="14.38"/>
    <col customWidth="1" min="3" max="3" width="20.38"/>
  </cols>
  <sheetData>
    <row r="1">
      <c r="C1" s="41" t="s">
        <v>1450</v>
      </c>
    </row>
    <row r="2">
      <c r="C2" s="40"/>
    </row>
    <row r="3" hidden="1">
      <c r="C3" s="40" t="str">
        <f>IFERROR(__xludf.DUMMYFUNCTION("TEXTJOIN("", "",TRUE,UNIQUE(FILTER('Data Master'!$B$2:$B139,'Data Master'!$D$2:$D139=A3)))"),"petani")</f>
        <v>petani</v>
      </c>
    </row>
    <row r="4" hidden="1">
      <c r="C4" s="40" t="str">
        <f>IFERROR(__xludf.DUMMYFUNCTION("TEXTJOIN("", "",TRUE,UNIQUE(FILTER('Data Master'!$B$2:$B139,'Data Master'!$D$2:$D139=A4)))"),"penyuluh")</f>
        <v>penyuluh</v>
      </c>
    </row>
    <row r="5" hidden="1">
      <c r="C5" s="40" t="str">
        <f>IFERROR(__xludf.DUMMYFUNCTION("TEXTJOIN("", "",TRUE,UNIQUE(FILTER('Data Master'!$B$2:$B139,'Data Master'!$D$2:$D139=A5)))"),"operator admin")</f>
        <v>operator admin</v>
      </c>
    </row>
    <row r="6">
      <c r="C6" s="40" t="str">
        <f>IFERROR(__xludf.DUMMYFUNCTION("TEXTJOIN("", "",TRUE,UNIQUE(FILTER('Data Master'!$B$2:$B139,'Data Master'!$D$2:$D139=A6)))"),"penyuluh")</f>
        <v>penyuluh</v>
      </c>
    </row>
    <row r="7" hidden="1">
      <c r="C7" s="40" t="str">
        <f>IFERROR(__xludf.DUMMYFUNCTION("TEXTJOIN("", "",TRUE,UNIQUE(FILTER('Data Master'!$B$2:$B139,'Data Master'!$D$2:$D139=A7)))"),"penyuluh")</f>
        <v>penyuluh</v>
      </c>
    </row>
    <row r="8" hidden="1">
      <c r="C8" s="40" t="str">
        <f>IFERROR(__xludf.DUMMYFUNCTION("TEXTJOIN("", "",TRUE,UNIQUE(FILTER('Data Master'!$B$2:$B139,'Data Master'!$D$2:$D139=A8)))"),"penyuluh")</f>
        <v>penyuluh</v>
      </c>
    </row>
    <row r="9">
      <c r="C9" s="40" t="str">
        <f>IFERROR(__xludf.DUMMYFUNCTION("TEXTJOIN("", "",TRUE,UNIQUE(FILTER('Data Master'!$B$2:$B139,'Data Master'!$D$2:$D139=A9)))"),"operator admin, penyuluh, petani")</f>
        <v>operator admin, penyuluh, petani</v>
      </c>
    </row>
    <row r="10" hidden="1">
      <c r="C10" s="40" t="str">
        <f>IFERROR(__xludf.DUMMYFUNCTION("TEXTJOIN("", "",TRUE,UNIQUE(FILTER('Data Master'!$B$2:$B139,'Data Master'!$D$2:$D139=A10)))"),"penyuluh")</f>
        <v>penyuluh</v>
      </c>
    </row>
    <row r="11" hidden="1">
      <c r="C11" s="40" t="str">
        <f>IFERROR(__xludf.DUMMYFUNCTION("TEXTJOIN("", "",TRUE,UNIQUE(FILTER('Data Master'!$B$2:$B139,'Data Master'!$D$2:$D139=A11)))"),"penyuluh")</f>
        <v>penyuluh</v>
      </c>
    </row>
    <row r="12" hidden="1">
      <c r="C12" s="40" t="str">
        <f>IFERROR(__xludf.DUMMYFUNCTION("TEXTJOIN("", "",TRUE,UNIQUE(FILTER('Data Master'!$B$2:$B139,'Data Master'!$D$2:$D139=A12)))"),"penyuluh")</f>
        <v>penyuluh</v>
      </c>
    </row>
    <row r="13" hidden="1">
      <c r="C13" s="40" t="str">
        <f>IFERROR(__xludf.DUMMYFUNCTION("TEXTJOIN("", "",TRUE,UNIQUE(FILTER('Data Master'!$B$2:$B139,'Data Master'!$D$2:$D139=A13)))"),"penyuluh")</f>
        <v>penyuluh</v>
      </c>
    </row>
    <row r="14" hidden="1">
      <c r="C14" s="40" t="str">
        <f>IFERROR(__xludf.DUMMYFUNCTION("TEXTJOIN("", "",TRUE,UNIQUE(FILTER('Data Master'!$B$2:$B139,'Data Master'!$D$2:$D139=A14)))"),"petani")</f>
        <v>petani</v>
      </c>
    </row>
    <row r="15" hidden="1">
      <c r="C15" s="40" t="str">
        <f>IFERROR(__xludf.DUMMYFUNCTION("TEXTJOIN("", "",TRUE,UNIQUE(FILTER('Data Master'!$B$2:$B139,'Data Master'!$D$2:$D139=A15)))"),"petani")</f>
        <v>petani</v>
      </c>
    </row>
    <row r="16" hidden="1">
      <c r="C16" s="40" t="str">
        <f>IFERROR(__xludf.DUMMYFUNCTION("TEXTJOIN("", "",TRUE,UNIQUE(FILTER('Data Master'!$B$2:$B139,'Data Master'!$D$2:$D139=A16)))"),"operator admin")</f>
        <v>operator admin</v>
      </c>
    </row>
    <row r="17" hidden="1">
      <c r="C17" s="40" t="str">
        <f>IFERROR(__xludf.DUMMYFUNCTION("TEXTJOIN("", "",TRUE,UNIQUE(FILTER('Data Master'!$B$2:$B139,'Data Master'!$D$2:$D139=A17)))"),"operator admin")</f>
        <v>operator admin</v>
      </c>
    </row>
    <row r="18" hidden="1">
      <c r="C18" s="40" t="str">
        <f>IFERROR(__xludf.DUMMYFUNCTION("TEXTJOIN("", "",TRUE,UNIQUE(FILTER('Data Master'!$B$2:$B139,'Data Master'!$D$2:$D139=A18)))"),"operator admin")</f>
        <v>operator admin</v>
      </c>
    </row>
    <row r="19" hidden="1">
      <c r="C19" s="40" t="str">
        <f>IFERROR(__xludf.DUMMYFUNCTION("TEXTJOIN("", "",TRUE,UNIQUE(FILTER('Data Master'!$B$2:$B139,'Data Master'!$D$2:$D139=A19)))"),"operator admin")</f>
        <v>operator admin</v>
      </c>
    </row>
    <row r="20" hidden="1">
      <c r="C20" s="40" t="str">
        <f>IFERROR(__xludf.DUMMYFUNCTION("TEXTJOIN("", "",TRUE,UNIQUE(FILTER('Data Master'!$B$2:$B139,'Data Master'!$D$2:$D139=A20)))"),"penyuluh")</f>
        <v>penyuluh</v>
      </c>
    </row>
    <row r="21" hidden="1">
      <c r="C21" s="40" t="str">
        <f>IFERROR(__xludf.DUMMYFUNCTION("TEXTJOIN("", "",TRUE,UNIQUE(FILTER('Data Master'!$B$2:$B139,'Data Master'!$D$2:$D139=A21)))"),"operator admin")</f>
        <v>operator admin</v>
      </c>
    </row>
    <row r="22" hidden="1">
      <c r="C22" s="40" t="str">
        <f>IFERROR(__xludf.DUMMYFUNCTION("TEXTJOIN("", "",TRUE,UNIQUE(FILTER('Data Master'!$B$2:$B139,'Data Master'!$D$2:$D139=A22)))"),"operator admin")</f>
        <v>operator admin</v>
      </c>
    </row>
    <row r="23" hidden="1">
      <c r="C23" s="40" t="str">
        <f>IFERROR(__xludf.DUMMYFUNCTION("TEXTJOIN("", "",TRUE,UNIQUE(FILTER('Data Master'!$B$2:$B139,'Data Master'!$D$2:$D139=A23)))"),"operator admin")</f>
        <v>operator admin</v>
      </c>
    </row>
    <row r="24" hidden="1">
      <c r="C24" s="40" t="str">
        <f>IFERROR(__xludf.DUMMYFUNCTION("TEXTJOIN("", "",TRUE,UNIQUE(FILTER('Data Master'!$B$2:$B139,'Data Master'!$D$2:$D139=A24)))"),"operator admin")</f>
        <v>operator admin</v>
      </c>
    </row>
    <row r="25" hidden="1">
      <c r="C25" s="40" t="str">
        <f>IFERROR(__xludf.DUMMYFUNCTION("TEXTJOIN("", "",TRUE,UNIQUE(FILTER('Data Master'!$B$2:$B139,'Data Master'!$D$2:$D139=A25)))"),"penyuluh")</f>
        <v>penyuluh</v>
      </c>
    </row>
    <row r="26" hidden="1">
      <c r="C26" s="40" t="str">
        <f>IFERROR(__xludf.DUMMYFUNCTION("TEXTJOIN("", "",TRUE,UNIQUE(FILTER('Data Master'!$B$2:$B139,'Data Master'!$D$2:$D139=A26)))"),"penyuluh")</f>
        <v>penyuluh</v>
      </c>
    </row>
    <row r="27" hidden="1">
      <c r="C27" s="40" t="str">
        <f>IFERROR(__xludf.DUMMYFUNCTION("TEXTJOIN("", "",TRUE,UNIQUE(FILTER('Data Master'!$B$2:$B139,'Data Master'!$D$2:$D139=A27)))"),"penyuluh")</f>
        <v>penyuluh</v>
      </c>
    </row>
    <row r="28" hidden="1">
      <c r="C28" s="40" t="str">
        <f>IFERROR(__xludf.DUMMYFUNCTION("TEXTJOIN("", "",TRUE,UNIQUE(FILTER('Data Master'!$B$2:$B139,'Data Master'!$D$2:$D139=A28)))"),"penyuluh")</f>
        <v>penyuluh</v>
      </c>
    </row>
    <row r="29" hidden="1">
      <c r="C29" s="40" t="str">
        <f>IFERROR(__xludf.DUMMYFUNCTION("TEXTJOIN("", "",TRUE,UNIQUE(FILTER('Data Master'!$B$2:$B139,'Data Master'!$D$2:$D139=A29)))"),"penyuluh")</f>
        <v>penyuluh</v>
      </c>
    </row>
    <row r="30" hidden="1">
      <c r="C30" s="40" t="str">
        <f>IFERROR(__xludf.DUMMYFUNCTION("TEXTJOIN("", "",TRUE,UNIQUE(FILTER('Data Master'!$B$2:$B139,'Data Master'!$D$2:$D139=A30)))"),"petani")</f>
        <v>petani</v>
      </c>
    </row>
    <row r="31">
      <c r="C31" s="40" t="str">
        <f>IFERROR(__xludf.DUMMYFUNCTION("TEXTJOIN("", "",TRUE,UNIQUE(FILTER('Data Master'!$B$2:$B139,'Data Master'!$D$2:$D139=A31)))"),"penyuluh, petani")</f>
        <v>penyuluh, petani</v>
      </c>
    </row>
    <row r="32" hidden="1">
      <c r="C32" s="40" t="str">
        <f>IFERROR(__xludf.DUMMYFUNCTION("TEXTJOIN("", "",TRUE,UNIQUE(FILTER('Data Master'!$B$2:$B139,'Data Master'!$D$2:$D139=A32)))"),"penyuluh")</f>
        <v>penyuluh</v>
      </c>
    </row>
    <row r="33" hidden="1">
      <c r="C33" s="40" t="str">
        <f>IFERROR(__xludf.DUMMYFUNCTION("TEXTJOIN("", "",TRUE,UNIQUE(FILTER('Data Master'!$B$2:$B139,'Data Master'!$D$2:$D139=A33)))"),"penyuluh")</f>
        <v>penyuluh</v>
      </c>
    </row>
    <row r="34" hidden="1">
      <c r="C34" s="40" t="str">
        <f>IFERROR(__xludf.DUMMYFUNCTION("TEXTJOIN("", "",TRUE,UNIQUE(FILTER('Data Master'!$B$2:$B139,'Data Master'!$D$2:$D139=A34)))"),"penyuluh")</f>
        <v>penyuluh</v>
      </c>
    </row>
    <row r="35" hidden="1">
      <c r="C35" s="40" t="str">
        <f>IFERROR(__xludf.DUMMYFUNCTION("TEXTJOIN("", "",TRUE,UNIQUE(FILTER('Data Master'!$B$2:$B139,'Data Master'!$D$2:$D139=A35)))"),"operator admin")</f>
        <v>operator admin</v>
      </c>
    </row>
    <row r="36" hidden="1">
      <c r="C36" s="40" t="str">
        <f>IFERROR(__xludf.DUMMYFUNCTION("TEXTJOIN("", "",TRUE,UNIQUE(FILTER('Data Master'!$B$2:$B139,'Data Master'!$D$2:$D139=A36)))"),"penyuluh")</f>
        <v>penyuluh</v>
      </c>
    </row>
    <row r="37" hidden="1">
      <c r="C37" s="40" t="str">
        <f>IFERROR(__xludf.DUMMYFUNCTION("TEXTJOIN("", "",TRUE,UNIQUE(FILTER('Data Master'!$B$2:$B139,'Data Master'!$D$2:$D139=A37)))"),"penyuluh")</f>
        <v>penyuluh</v>
      </c>
    </row>
    <row r="38">
      <c r="C38" s="40" t="str">
        <f>IFERROR(__xludf.DUMMYFUNCTION("TEXTJOIN("", "",TRUE,UNIQUE(FILTER('Data Master'!$B$2:$B139,'Data Master'!$D$2:$D139=A38)))"),"petani")</f>
        <v>petani</v>
      </c>
    </row>
    <row r="39" hidden="1">
      <c r="C39" s="40" t="str">
        <f>IFERROR(__xludf.DUMMYFUNCTION("TEXTJOIN("", "",TRUE,UNIQUE(FILTER('Data Master'!$B$2:$B139,'Data Master'!$D$2:$D139=A39)))"),"penyuluh")</f>
        <v>penyuluh</v>
      </c>
    </row>
    <row r="40" hidden="1">
      <c r="C40" s="40" t="str">
        <f>IFERROR(__xludf.DUMMYFUNCTION("TEXTJOIN("", "",TRUE,UNIQUE(FILTER('Data Master'!$B$2:$B139,'Data Master'!$D$2:$D139=A40)))"),"petani")</f>
        <v>petani</v>
      </c>
    </row>
    <row r="41" hidden="1">
      <c r="C41" s="40" t="str">
        <f>IFERROR(__xludf.DUMMYFUNCTION("TEXTJOIN("", "",TRUE,UNIQUE(FILTER('Data Master'!$B$2:$B139,'Data Master'!$D$2:$D139=A41)))"),"petani")</f>
        <v>petani</v>
      </c>
    </row>
    <row r="42">
      <c r="C42" s="40" t="str">
        <f>IFERROR(__xludf.DUMMYFUNCTION("TEXTJOIN("", "",TRUE,UNIQUE(FILTER('Data Master'!$B$2:$B139,'Data Master'!$D$2:$D139=A42)))"),"penyuluh")</f>
        <v>penyuluh</v>
      </c>
    </row>
    <row r="43" hidden="1">
      <c r="C43" s="40" t="str">
        <f>IFERROR(__xludf.DUMMYFUNCTION("TEXTJOIN("", "",TRUE,UNIQUE(FILTER('Data Master'!$B$2:$B139,'Data Master'!$D$2:$D139=A43)))"),"operator poktan")</f>
        <v>operator poktan</v>
      </c>
    </row>
    <row r="44" hidden="1">
      <c r="C44" s="40" t="str">
        <f>IFERROR(__xludf.DUMMYFUNCTION("TEXTJOIN("", "",TRUE,UNIQUE(FILTER('Data Master'!$B$2:$B139,'Data Master'!$D$2:$D139=A44)))"),"penyuluh")</f>
        <v>penyuluh</v>
      </c>
    </row>
    <row r="45" hidden="1">
      <c r="C45" s="40" t="str">
        <f>IFERROR(__xludf.DUMMYFUNCTION("TEXTJOIN("", "",TRUE,UNIQUE(FILTER('Data Master'!$B$2:$B139,'Data Master'!$D$2:$D139=A45)))"),"penyuluh")</f>
        <v>penyuluh</v>
      </c>
    </row>
    <row r="46">
      <c r="C46" s="40" t="str">
        <f>IFERROR(__xludf.DUMMYFUNCTION("TEXTJOIN("", "",TRUE,UNIQUE(FILTER('Data Master'!$B$2:$B139,'Data Master'!$D$2:$D139=A46)))"),"penyuluh")</f>
        <v>penyuluh</v>
      </c>
    </row>
    <row r="47" hidden="1">
      <c r="C47" s="40" t="str">
        <f>IFERROR(__xludf.DUMMYFUNCTION("TEXTJOIN("", "",TRUE,UNIQUE(FILTER('Data Master'!$B$2:$B139,'Data Master'!$D$2:$D139=A47)))"),"penyuluh")</f>
        <v>penyuluh</v>
      </c>
    </row>
    <row r="48" hidden="1">
      <c r="C48" s="40" t="str">
        <f>IFERROR(__xludf.DUMMYFUNCTION("TEXTJOIN("", "",TRUE,UNIQUE(FILTER('Data Master'!$B$2:$B139,'Data Master'!$D$2:$D139=A48)))"),"operator poktan")</f>
        <v>operator poktan</v>
      </c>
    </row>
    <row r="49" hidden="1">
      <c r="C49" s="40" t="str">
        <f>IFERROR(__xludf.DUMMYFUNCTION("TEXTJOIN("", "",TRUE,UNIQUE(FILTER('Data Master'!$B$2:$B139,'Data Master'!$D$2:$D139=A49)))"),"penyuluh")</f>
        <v>penyuluh</v>
      </c>
    </row>
    <row r="50" hidden="1">
      <c r="C50" s="40" t="str">
        <f>IFERROR(__xludf.DUMMYFUNCTION("TEXTJOIN("", "",TRUE,UNIQUE(FILTER('Data Master'!$B$2:$B139,'Data Master'!$D$2:$D139=A50)))"),"penyuluh")</f>
        <v>penyuluh</v>
      </c>
    </row>
    <row r="51">
      <c r="C51" s="40" t="str">
        <f>IFERROR(__xludf.DUMMYFUNCTION("TEXTJOIN("", "",TRUE,UNIQUE(FILTER('Data Master'!$B$2:$B139,'Data Master'!$D$2:$D139=A51)))"),"petani")</f>
        <v>petani</v>
      </c>
    </row>
    <row r="52" hidden="1">
      <c r="C52" s="40" t="str">
        <f>IFERROR(__xludf.DUMMYFUNCTION("TEXTJOIN("", "",TRUE,UNIQUE(FILTER('Data Master'!$B$2:$B139,'Data Master'!$D$2:$D139=A52)))"),"operator admin")</f>
        <v>operator admin</v>
      </c>
    </row>
    <row r="53" hidden="1">
      <c r="C53" s="40" t="str">
        <f>IFERROR(__xludf.DUMMYFUNCTION("TEXTJOIN("", "",TRUE,UNIQUE(FILTER('Data Master'!$B$2:$B139,'Data Master'!$D$2:$D139=A53)))"),"penyuluh")</f>
        <v>penyuluh</v>
      </c>
    </row>
    <row r="54" hidden="1">
      <c r="C54" s="40" t="str">
        <f>IFERROR(__xludf.DUMMYFUNCTION("TEXTJOIN("", "",TRUE,UNIQUE(FILTER('Data Master'!$B$2:$B139,'Data Master'!$D$2:$D139=A54)))"),"penyuluh")</f>
        <v>penyuluh</v>
      </c>
    </row>
    <row r="55" hidden="1">
      <c r="C55" s="40" t="str">
        <f>IFERROR(__xludf.DUMMYFUNCTION("TEXTJOIN("", "",TRUE,UNIQUE(FILTER('Data Master'!$B$2:$B139,'Data Master'!$D$2:$D139=A55)))"),"penyuluh")</f>
        <v>penyuluh</v>
      </c>
    </row>
    <row r="56" hidden="1">
      <c r="C56" s="40" t="str">
        <f>IFERROR(__xludf.DUMMYFUNCTION("TEXTJOIN("", "",TRUE,UNIQUE(FILTER('Data Master'!$B$2:$B139,'Data Master'!$D$2:$D139=A56)))"),"operator super admin")</f>
        <v>operator super admin</v>
      </c>
    </row>
    <row r="57" hidden="1">
      <c r="C57" s="40" t="str">
        <f>IFERROR(__xludf.DUMMYFUNCTION("TEXTJOIN("", "",TRUE,UNIQUE(FILTER('Data Master'!$B$2:$B139,'Data Master'!$D$2:$D139=A57)))"),"penyuluh")</f>
        <v>penyuluh</v>
      </c>
    </row>
    <row r="58" hidden="1">
      <c r="C58" s="40" t="str">
        <f>IFERROR(__xludf.DUMMYFUNCTION("TEXTJOIN("", "",TRUE,UNIQUE(FILTER('Data Master'!$B$2:$B139,'Data Master'!$D$2:$D139=A58)))"),"penyuluh")</f>
        <v>penyuluh</v>
      </c>
    </row>
    <row r="59" hidden="1">
      <c r="C59" s="40" t="str">
        <f>IFERROR(__xludf.DUMMYFUNCTION("TEXTJOIN("", "",TRUE,UNIQUE(FILTER('Data Master'!$B$2:$B139,'Data Master'!$D$2:$D139=A59)))"),"operator admin")</f>
        <v>operator admin</v>
      </c>
    </row>
    <row r="60">
      <c r="C60" s="40" t="str">
        <f>IFERROR(__xludf.DUMMYFUNCTION("TEXTJOIN("", "",TRUE,UNIQUE(FILTER('Data Master'!$B$2:$B139,'Data Master'!$D$2:$D139=A60)))"),"petani")</f>
        <v>petani</v>
      </c>
    </row>
    <row r="61" hidden="1">
      <c r="C61" s="40" t="str">
        <f>IFERROR(__xludf.DUMMYFUNCTION("TEXTJOIN("", "",TRUE,UNIQUE(FILTER('Data Master'!$B$2:$B139,'Data Master'!$D$2:$D139=A61)))"),"penyuluh")</f>
        <v>penyuluh</v>
      </c>
    </row>
    <row r="62" hidden="1">
      <c r="C62" s="40" t="str">
        <f>IFERROR(__xludf.DUMMYFUNCTION("TEXTJOIN("", "",TRUE,UNIQUE(FILTER('Data Master'!$B$2:$B139,'Data Master'!$D$2:$D139=A62)))"),"penyuluh")</f>
        <v>penyuluh</v>
      </c>
    </row>
    <row r="63" hidden="1">
      <c r="C63" s="40" t="str">
        <f>IFERROR(__xludf.DUMMYFUNCTION("TEXTJOIN("", "",TRUE,UNIQUE(FILTER('Data Master'!$B$2:$B139,'Data Master'!$D$2:$D139=A63)))"),"operator admin")</f>
        <v>operator admin</v>
      </c>
    </row>
    <row r="64" hidden="1">
      <c r="C64" s="40" t="str">
        <f>IFERROR(__xludf.DUMMYFUNCTION("TEXTJOIN("", "",TRUE,UNIQUE(FILTER('Data Master'!$B$2:$B139,'Data Master'!$D$2:$D139=A64)))"),"operator poktan")</f>
        <v>operator poktan</v>
      </c>
    </row>
    <row r="65" hidden="1">
      <c r="C65" s="40" t="str">
        <f>IFERROR(__xludf.DUMMYFUNCTION("TEXTJOIN("", "",TRUE,UNIQUE(FILTER('Data Master'!$B$2:$B139,'Data Master'!$D$2:$D139=A65)))"),"penyuluh")</f>
        <v>penyuluh</v>
      </c>
    </row>
    <row r="66" hidden="1">
      <c r="C66" s="40" t="str">
        <f>IFERROR(__xludf.DUMMYFUNCTION("TEXTJOIN("", "",TRUE,UNIQUE(FILTER('Data Master'!$B$2:$B139,'Data Master'!$D$2:$D139=A66)))"),"penyuluh")</f>
        <v>penyuluh</v>
      </c>
    </row>
    <row r="67" hidden="1">
      <c r="C67" s="40" t="str">
        <f>IFERROR(__xludf.DUMMYFUNCTION("TEXTJOIN("", "",TRUE,UNIQUE(FILTER('Data Master'!$B$2:$B139,'Data Master'!$D$2:$D139=A67)))"),"penyuluh")</f>
        <v>penyuluh</v>
      </c>
    </row>
    <row r="68" hidden="1">
      <c r="C68" s="40" t="str">
        <f>IFERROR(__xludf.DUMMYFUNCTION("TEXTJOIN("", "",TRUE,UNIQUE(FILTER('Data Master'!$B$2:$B139,'Data Master'!$D$2:$D139=A68)))"),"petani")</f>
        <v>petani</v>
      </c>
    </row>
    <row r="69" hidden="1">
      <c r="C69" s="40" t="str">
        <f>IFERROR(__xludf.DUMMYFUNCTION("TEXTJOIN("", "",TRUE,UNIQUE(FILTER('Data Master'!$B$2:$B139,'Data Master'!$D$2:$D139=A69)))"),"penyuluh")</f>
        <v>penyuluh</v>
      </c>
    </row>
    <row r="70" hidden="1">
      <c r="C70" s="40" t="str">
        <f>IFERROR(__xludf.DUMMYFUNCTION("TEXTJOIN("", "",TRUE,UNIQUE(FILTER('Data Master'!$B$2:$B139,'Data Master'!$D$2:$D139=A70)))"),"penyuluh")</f>
        <v>penyuluh</v>
      </c>
    </row>
    <row r="71" hidden="1">
      <c r="C71" s="40" t="str">
        <f>IFERROR(__xludf.DUMMYFUNCTION("TEXTJOIN("", "",TRUE,UNIQUE(FILTER('Data Master'!$B$2:$B139,'Data Master'!$D$2:$D139=A71)))"),"penyuluh")</f>
        <v>penyuluh</v>
      </c>
    </row>
    <row r="72" hidden="1">
      <c r="C72" s="40" t="str">
        <f>IFERROR(__xludf.DUMMYFUNCTION("TEXTJOIN("", "",TRUE,UNIQUE(FILTER('Data Master'!$B$2:$B139,'Data Master'!$D$2:$D139=A72)))"),"operator admin")</f>
        <v>operator admin</v>
      </c>
    </row>
    <row r="73" hidden="1">
      <c r="C73" s="40" t="str">
        <f>IFERROR(__xludf.DUMMYFUNCTION("TEXTJOIN("", "",TRUE,UNIQUE(FILTER('Data Master'!$B$2:$B139,'Data Master'!$D$2:$D139=A73)))"),"penyuluh")</f>
        <v>penyuluh</v>
      </c>
    </row>
    <row r="74" hidden="1">
      <c r="C74" s="40" t="str">
        <f>IFERROR(__xludf.DUMMYFUNCTION("TEXTJOIN("", "",TRUE,UNIQUE(FILTER('Data Master'!$B$2:$B139,'Data Master'!$D$2:$D139=A74)))"),"penyuluh")</f>
        <v>penyuluh</v>
      </c>
    </row>
    <row r="75" hidden="1">
      <c r="C75" s="40" t="str">
        <f>IFERROR(__xludf.DUMMYFUNCTION("TEXTJOIN("", "",TRUE,UNIQUE(FILTER('Data Master'!$B$2:$B139,'Data Master'!$D$2:$D139=A75)))"),"penyuluh")</f>
        <v>penyuluh</v>
      </c>
    </row>
    <row r="76" hidden="1">
      <c r="C76" s="40" t="str">
        <f>IFERROR(__xludf.DUMMYFUNCTION("TEXTJOIN("", "",TRUE,UNIQUE(FILTER('Data Master'!$B$2:$B139,'Data Master'!$D$2:$D139=A76)))"),"penyuluh")</f>
        <v>penyuluh</v>
      </c>
    </row>
    <row r="77" hidden="1">
      <c r="C77" s="40" t="str">
        <f>IFERROR(__xludf.DUMMYFUNCTION("TEXTJOIN("", "",TRUE,UNIQUE(FILTER('Data Master'!$B$2:$B139,'Data Master'!$D$2:$D139=A77)))"),"penyuluh")</f>
        <v>penyuluh</v>
      </c>
    </row>
    <row r="78">
      <c r="C78" s="40" t="str">
        <f>IFERROR(__xludf.DUMMYFUNCTION("TEXTJOIN("", "",TRUE,UNIQUE(FILTER('Data Master'!$B$2:$B139,'Data Master'!$D$2:$D139=A78)))"),"petani")</f>
        <v>petani</v>
      </c>
    </row>
    <row r="79" hidden="1">
      <c r="C79" s="40" t="str">
        <f>IFERROR(__xludf.DUMMYFUNCTION("TEXTJOIN("", "",TRUE,UNIQUE(FILTER('Data Master'!$B$2:$B139,'Data Master'!$D$2:$D139=A79)))"),"penyuluh")</f>
        <v>penyuluh</v>
      </c>
    </row>
    <row r="80" hidden="1">
      <c r="C80" s="40" t="str">
        <f>IFERROR(__xludf.DUMMYFUNCTION("TEXTJOIN("", "",TRUE,UNIQUE(FILTER('Data Master'!$B$2:$B139,'Data Master'!$D$2:$D139=A80)))"),"penyuluh")</f>
        <v>penyuluh</v>
      </c>
    </row>
    <row r="81">
      <c r="C81" s="40" t="str">
        <f>IFERROR(__xludf.DUMMYFUNCTION("TEXTJOIN("", "",TRUE,UNIQUE(FILTER('Data Master'!$B$2:$B139,'Data Master'!$D$2:$D139=A81)))"),"petani")</f>
        <v>petani</v>
      </c>
    </row>
    <row r="82" hidden="1">
      <c r="C82" s="40" t="str">
        <f>IFERROR(__xludf.DUMMYFUNCTION("TEXTJOIN("", "",TRUE,UNIQUE(FILTER('Data Master'!$B$2:$B139,'Data Master'!$D$2:$D139=A82)))"),"petani")</f>
        <v>petani</v>
      </c>
    </row>
    <row r="83" hidden="1">
      <c r="C83" s="40" t="str">
        <f>IFERROR(__xludf.DUMMYFUNCTION("TEXTJOIN("", "",TRUE,UNIQUE(FILTER('Data Master'!$B$2:$B139,'Data Master'!$D$2:$D139=A83)))"),"petani")</f>
        <v>petani</v>
      </c>
    </row>
    <row r="84" hidden="1">
      <c r="C84" s="40" t="str">
        <f>IFERROR(__xludf.DUMMYFUNCTION("TEXTJOIN("", "",TRUE,UNIQUE(FILTER('Data Master'!$B$2:$B139,'Data Master'!$D$2:$D139=A84)))"),"penyuluh")</f>
        <v>penyuluh</v>
      </c>
    </row>
    <row r="85" hidden="1">
      <c r="C85" s="40" t="str">
        <f>IFERROR(__xludf.DUMMYFUNCTION("TEXTJOIN("", "",TRUE,UNIQUE(FILTER('Data Master'!$B$2:$B139,'Data Master'!$D$2:$D139=A85)))"),"operator admin")</f>
        <v>operator admin</v>
      </c>
    </row>
    <row r="86" hidden="1">
      <c r="C86" s="40" t="str">
        <f>IFERROR(__xludf.DUMMYFUNCTION("TEXTJOIN("", "",TRUE,UNIQUE(FILTER('Data Master'!$B$2:$B139,'Data Master'!$D$2:$D139=A86)))"),"penyuluh")</f>
        <v>penyuluh</v>
      </c>
    </row>
    <row r="87" hidden="1">
      <c r="C87" s="40" t="str">
        <f>IFERROR(__xludf.DUMMYFUNCTION("TEXTJOIN("", "",TRUE,UNIQUE(FILTER('Data Master'!$B$2:$B139,'Data Master'!$D$2:$D139=A87)))"),"operator super admin")</f>
        <v>operator super admin</v>
      </c>
    </row>
    <row r="88" hidden="1">
      <c r="C88" s="40" t="str">
        <f>IFERROR(__xludf.DUMMYFUNCTION("TEXTJOIN("", "",TRUE,UNIQUE(FILTER('Data Master'!$B$2:$B139,'Data Master'!$D$2:$D139=A88)))"),"penyuluh")</f>
        <v>penyuluh</v>
      </c>
    </row>
    <row r="89" hidden="1">
      <c r="C89" s="40" t="str">
        <f>IFERROR(__xludf.DUMMYFUNCTION("TEXTJOIN("", "",TRUE,UNIQUE(FILTER('Data Master'!$B$2:$B139,'Data Master'!$D$2:$D139=A89)))"),"penyuluh_swadaya")</f>
        <v>penyuluh_swadaya</v>
      </c>
    </row>
    <row r="90">
      <c r="C90" s="40" t="str">
        <f>IFERROR(__xludf.DUMMYFUNCTION("TEXTJOIN("", "",TRUE,UNIQUE(FILTER('Data Master'!$B$2:$B139,'Data Master'!$D$2:$D139=A90)))"),"operator admin, penyuluh")</f>
        <v>operator admin, penyuluh</v>
      </c>
    </row>
    <row r="91" hidden="1">
      <c r="C91" s="40" t="str">
        <f>IFERROR(__xludf.DUMMYFUNCTION("TEXTJOIN("", "",TRUE,UNIQUE(FILTER('Data Master'!$B$2:$B139,'Data Master'!$D$2:$D139=A91)))"),"operator super admin")</f>
        <v>operator super admin</v>
      </c>
    </row>
    <row r="92" hidden="1">
      <c r="C92" s="40" t="str">
        <f>IFERROR(__xludf.DUMMYFUNCTION("TEXTJOIN("", "",TRUE,UNIQUE(FILTER('Data Master'!$B$2:$B139,'Data Master'!$D$2:$D139=A92)))"),"penyuluh")</f>
        <v>penyuluh</v>
      </c>
    </row>
    <row r="93" hidden="1">
      <c r="C93" s="40" t="str">
        <f>IFERROR(__xludf.DUMMYFUNCTION("TEXTJOIN("", "",TRUE,UNIQUE(FILTER('Data Master'!$B$2:$B139,'Data Master'!$D$2:$D139=A93)))"),"penyuluh")</f>
        <v>penyuluh</v>
      </c>
    </row>
    <row r="94" hidden="1">
      <c r="C94" s="40" t="str">
        <f>IFERROR(__xludf.DUMMYFUNCTION("TEXTJOIN("", "",TRUE,UNIQUE(FILTER('Data Master'!$B$2:$B139,'Data Master'!$D$2:$D139=A94)))"),"operator admin")</f>
        <v>operator admin</v>
      </c>
    </row>
    <row r="95">
      <c r="C95" s="40" t="str">
        <f>IFERROR(__xludf.DUMMYFUNCTION("TEXTJOIN("", "",TRUE,UNIQUE(FILTER('Data Master'!$B$2:$B139,'Data Master'!$D$2:$D139=A95)))"),"operator admin, petani")</f>
        <v>operator admin, petani</v>
      </c>
    </row>
    <row r="96">
      <c r="C96" s="40" t="str">
        <f>IFERROR(__xludf.DUMMYFUNCTION("TEXTJOIN("", "",TRUE,UNIQUE(FILTER('Data Master'!$B$2:$B139,'Data Master'!$D$2:$D139=A96)))"),"penyuluh, petani")</f>
        <v>penyuluh, petani</v>
      </c>
    </row>
    <row r="97" hidden="1">
      <c r="C97" s="40" t="str">
        <f>IFERROR(__xludf.DUMMYFUNCTION("TEXTJOIN("", "",TRUE,UNIQUE(FILTER('Data Master'!$B$2:$B139,'Data Master'!$D$2:$D139=A97)))"),"petani")</f>
        <v>petani</v>
      </c>
    </row>
    <row r="98" hidden="1">
      <c r="C98" s="40" t="str">
        <f>IFERROR(__xludf.DUMMYFUNCTION("TEXTJOIN("", "",TRUE,UNIQUE(FILTER('Data Master'!$B$2:$B139,'Data Master'!$D$2:$D139=A98)))"),"penyuluh")</f>
        <v>penyuluh</v>
      </c>
    </row>
    <row r="99" hidden="1">
      <c r="C99" s="40" t="str">
        <f>IFERROR(__xludf.DUMMYFUNCTION("TEXTJOIN("", "",TRUE,UNIQUE(FILTER('Data Master'!$B$2:$B139,'Data Master'!$D$2:$D139=A99)))"),"penyuluh")</f>
        <v>penyuluh</v>
      </c>
    </row>
    <row r="100" hidden="1">
      <c r="C100" s="40" t="str">
        <f>IFERROR(__xludf.DUMMYFUNCTION("TEXTJOIN("", "",TRUE,UNIQUE(FILTER('Data Master'!$B$2:$B139,'Data Master'!$D$2:$D139=A100)))"),"petani")</f>
        <v>petani</v>
      </c>
    </row>
    <row r="101" hidden="1">
      <c r="C101" s="40" t="str">
        <f>IFERROR(__xludf.DUMMYFUNCTION("TEXTJOIN("", "",TRUE,UNIQUE(FILTER('Data Master'!$B$2:$B139,'Data Master'!$D$2:$D139=A101)))"),"penyuluh")</f>
        <v>penyuluh</v>
      </c>
    </row>
    <row r="102" hidden="1">
      <c r="C102" s="40" t="str">
        <f>IFERROR(__xludf.DUMMYFUNCTION("TEXTJOIN("", "",TRUE,UNIQUE(FILTER('Data Master'!$B$2:$B139,'Data Master'!$D$2:$D139=A102)))"),"penyuluh")</f>
        <v>penyuluh</v>
      </c>
    </row>
    <row r="103" hidden="1">
      <c r="C103" s="40" t="str">
        <f>IFERROR(__xludf.DUMMYFUNCTION("TEXTJOIN("", "",TRUE,UNIQUE(FILTER('Data Master'!$B$2:$B139,'Data Master'!$D$2:$D139=A103)))"),"penyuluh")</f>
        <v>penyuluh</v>
      </c>
    </row>
    <row r="104" hidden="1">
      <c r="C104" s="40" t="str">
        <f>IFERROR(__xludf.DUMMYFUNCTION("TEXTJOIN("", "",TRUE,UNIQUE(FILTER('Data Master'!$B$2:$B139,'Data Master'!$D$2:$D139=A104)))"),"operator admin")</f>
        <v>operator admin</v>
      </c>
    </row>
    <row r="105" hidden="1">
      <c r="C105" s="40" t="str">
        <f>IFERROR(__xludf.DUMMYFUNCTION("TEXTJOIN("", "",TRUE,UNIQUE(FILTER('Data Master'!$B$2:$B139,'Data Master'!$D$2:$D139=A105)))"),"penyuluh")</f>
        <v>penyuluh</v>
      </c>
    </row>
    <row r="106" hidden="1">
      <c r="C106" s="40" t="str">
        <f>IFERROR(__xludf.DUMMYFUNCTION("TEXTJOIN("", "",TRUE,UNIQUE(FILTER('Data Master'!$B$2:$B139,'Data Master'!$D$2:$D139=A106)))"),"operator admin")</f>
        <v>operator admin</v>
      </c>
    </row>
    <row r="107" hidden="1">
      <c r="C107" s="40" t="str">
        <f>IFERROR(__xludf.DUMMYFUNCTION("TEXTJOIN("", "",TRUE,UNIQUE(FILTER('Data Master'!$B$2:$B139,'Data Master'!$D$2:$D139=A107)))"),"penyuluh")</f>
        <v>penyuluh</v>
      </c>
    </row>
    <row r="108" hidden="1">
      <c r="C108" s="40" t="str">
        <f>IFERROR(__xludf.DUMMYFUNCTION("TEXTJOIN("", "",TRUE,UNIQUE(FILTER('Data Master'!$B$2:$B139,'Data Master'!$D$2:$D139=A108)))"),"penyuluh")</f>
        <v>penyuluh</v>
      </c>
    </row>
    <row r="109">
      <c r="C109" s="40" t="str">
        <f>IFERROR(__xludf.DUMMYFUNCTION("TEXTJOIN("", "",TRUE,UNIQUE(FILTER('Data Master'!$B$2:$B139,'Data Master'!$D$2:$D139=A109)))"),"penyuluh")</f>
        <v>penyuluh</v>
      </c>
    </row>
    <row r="110" hidden="1">
      <c r="C110" s="40" t="str">
        <f>IFERROR(__xludf.DUMMYFUNCTION("TEXTJOIN("", "",TRUE,UNIQUE(FILTER('Data Master'!$B$2:$B139,'Data Master'!$D$2:$D139=A110)))"),"penyuluh")</f>
        <v>penyuluh</v>
      </c>
    </row>
    <row r="111" hidden="1">
      <c r="C111" s="40" t="str">
        <f>IFERROR(__xludf.DUMMYFUNCTION("TEXTJOIN("", "",TRUE,UNIQUE(FILTER('Data Master'!$B$2:$B139,'Data Master'!$D$2:$D139=A111)))"),"penyuluh")</f>
        <v>penyuluh</v>
      </c>
    </row>
    <row r="112" hidden="1">
      <c r="C112" s="40" t="str">
        <f>IFERROR(__xludf.DUMMYFUNCTION("TEXTJOIN("", "",TRUE,UNIQUE(FILTER('Data Master'!$B$2:$B139,'Data Master'!$D$2:$D139=A112)))"),"penyuluh")</f>
        <v>penyuluh</v>
      </c>
    </row>
    <row r="113" hidden="1">
      <c r="C113" s="40" t="str">
        <f>IFERROR(__xludf.DUMMYFUNCTION("TEXTJOIN("", "",TRUE,UNIQUE(FILTER('Data Master'!$B$2:$B139,'Data Master'!$D$2:$D139=A113)))"),"petani")</f>
        <v>petani</v>
      </c>
    </row>
    <row r="114" hidden="1">
      <c r="C114" s="40" t="str">
        <f>IFERROR(__xludf.DUMMYFUNCTION("TEXTJOIN("", "",TRUE,UNIQUE(FILTER('Data Master'!$B$2:$B139,'Data Master'!$D$2:$D139=A114)))"),"petani")</f>
        <v>petani</v>
      </c>
    </row>
    <row r="115" hidden="1">
      <c r="C115" s="40" t="str">
        <f>IFERROR(__xludf.DUMMYFUNCTION("TEXTJOIN("", "",TRUE,UNIQUE(FILTER('Data Master'!$B$2:$B139,'Data Master'!$D$2:$D139=A115)))"),"petani")</f>
        <v>petani</v>
      </c>
    </row>
    <row r="116" hidden="1">
      <c r="C116" s="40" t="str">
        <f>IFERROR(__xludf.DUMMYFUNCTION("TEXTJOIN("", "",TRUE,UNIQUE(FILTER('Data Master'!$B$2:$B139,'Data Master'!$D$2:$D139=A116)))"),"penyuluh")</f>
        <v>penyuluh</v>
      </c>
    </row>
    <row r="117" hidden="1">
      <c r="C117" s="40" t="str">
        <f>IFERROR(__xludf.DUMMYFUNCTION("TEXTJOIN("", "",TRUE,UNIQUE(FILTER('Data Master'!$B$2:$B139,'Data Master'!$D$2:$D139=A117)))"),"penyuluh")</f>
        <v>penyuluh</v>
      </c>
    </row>
    <row r="118" hidden="1">
      <c r="C118" s="40" t="str">
        <f>IFERROR(__xludf.DUMMYFUNCTION("TEXTJOIN("", "",TRUE,UNIQUE(FILTER('Data Master'!$B$2:$B139,'Data Master'!$D$2:$D139=A118)))"),"penyuluh")</f>
        <v>penyuluh</v>
      </c>
    </row>
    <row r="119">
      <c r="C119" s="40" t="str">
        <f>IFERROR(__xludf.DUMMYFUNCTION("TEXTJOIN("", "",TRUE,UNIQUE(FILTER('Data Master'!$B$2:$B139,'Data Master'!$D$2:$D139=A119)))"),"penyuluh")</f>
        <v>penyuluh</v>
      </c>
    </row>
    <row r="120" hidden="1">
      <c r="C120" s="40" t="str">
        <f>IFERROR(__xludf.DUMMYFUNCTION("TEXTJOIN("", "",TRUE,UNIQUE(FILTER('Data Master'!$B$2:$B139,'Data Master'!$D$2:$D139=A120)))"),"penyuluh")</f>
        <v>penyuluh</v>
      </c>
    </row>
    <row r="121" hidden="1">
      <c r="C121" s="40" t="str">
        <f>IFERROR(__xludf.DUMMYFUNCTION("TEXTJOIN("", "",TRUE,UNIQUE(FILTER('Data Master'!$B$2:$B139,'Data Master'!$D$2:$D139=A121)))"),"operator admin")</f>
        <v>operator admin</v>
      </c>
    </row>
    <row r="122" hidden="1">
      <c r="C122" s="40" t="str">
        <f>IFERROR(__xludf.DUMMYFUNCTION("TEXTJOIN("", "",TRUE,UNIQUE(FILTER('Data Master'!$B$2:$B139,'Data Master'!$D$2:$D139=A122)))"),"penyuluh")</f>
        <v>penyuluh</v>
      </c>
    </row>
    <row r="123" hidden="1">
      <c r="C123" s="40" t="str">
        <f>IFERROR(__xludf.DUMMYFUNCTION("TEXTJOIN("", "",TRUE,UNIQUE(FILTER('Data Master'!$B$2:$B139,'Data Master'!$D$2:$D139=A123)))"),"penyuluh")</f>
        <v>penyuluh</v>
      </c>
    </row>
    <row r="124" hidden="1">
      <c r="C124" s="40" t="str">
        <f>IFERROR(__xludf.DUMMYFUNCTION("TEXTJOIN("", "",TRUE,UNIQUE(FILTER('Data Master'!$B$2:$B139,'Data Master'!$D$2:$D139=A124)))"),"penyuluh")</f>
        <v>penyuluh</v>
      </c>
    </row>
    <row r="125" hidden="1">
      <c r="C125" s="40" t="str">
        <f>IFERROR(__xludf.DUMMYFUNCTION("TEXTJOIN("", "",TRUE,UNIQUE(FILTER('Data Master'!$B$2:$B139,'Data Master'!$D$2:$D139=A125)))"),"penyuluh")</f>
        <v>penyuluh</v>
      </c>
    </row>
    <row r="126" hidden="1">
      <c r="C126" s="40" t="str">
        <f>IFERROR(__xludf.DUMMYFUNCTION("TEXTJOIN("", "",TRUE,UNIQUE(FILTER('Data Master'!$B$2:$B139,'Data Master'!$D$2:$D139=A126)))"),"penyuluh")</f>
        <v>penyuluh</v>
      </c>
    </row>
    <row r="127" hidden="1">
      <c r="C127" s="40" t="str">
        <f>IFERROR(__xludf.DUMMYFUNCTION("TEXTJOIN("", "",TRUE,UNIQUE(FILTER('Data Master'!$B$2:$B139,'Data Master'!$D$2:$D139=A127)))"),"penyuluh")</f>
        <v>penyuluh</v>
      </c>
    </row>
    <row r="128" hidden="1">
      <c r="C128" s="40" t="str">
        <f>IFERROR(__xludf.DUMMYFUNCTION("TEXTJOIN("", "",TRUE,UNIQUE(FILTER('Data Master'!$B$2:$B139,'Data Master'!$D$2:$D139=A128)))"),"penyuluh")</f>
        <v>penyuluh</v>
      </c>
    </row>
    <row r="129" hidden="1">
      <c r="C129" s="40" t="str">
        <f>IFERROR(__xludf.DUMMYFUNCTION("TEXTJOIN("", "",TRUE,UNIQUE(FILTER('Data Master'!$B$2:$B139,'Data Master'!$D$2:$D139=A129)))"),"penyuluh")</f>
        <v>penyuluh</v>
      </c>
    </row>
    <row r="130" hidden="1">
      <c r="C130" s="40" t="str">
        <f>IFERROR(__xludf.DUMMYFUNCTION("TEXTJOIN("", "",TRUE,UNIQUE(FILTER('Data Master'!$B$2:$B139,'Data Master'!$D$2:$D139=A130)))"),"operator admin")</f>
        <v>operator admin</v>
      </c>
    </row>
    <row r="131" hidden="1">
      <c r="C131" s="40" t="str">
        <f>IFERROR(__xludf.DUMMYFUNCTION("TEXTJOIN("", "",TRUE,UNIQUE(FILTER('Data Master'!$B$2:$B139,'Data Master'!$D$2:$D139=A131)))"),"penyuluh")</f>
        <v>penyuluh</v>
      </c>
    </row>
    <row r="132" hidden="1">
      <c r="C132" s="40" t="str">
        <f>IFERROR(__xludf.DUMMYFUNCTION("TEXTJOIN("", "",TRUE,UNIQUE(FILTER('Data Master'!$B$2:$B139,'Data Master'!$D$2:$D139=A132)))"),"penyuluh")</f>
        <v>penyuluh</v>
      </c>
    </row>
    <row r="133" hidden="1">
      <c r="C133" s="40" t="str">
        <f>IFERROR(__xludf.DUMMYFUNCTION("TEXTJOIN("", "",TRUE,UNIQUE(FILTER('Data Master'!$B$2:$B139,'Data Master'!$D$2:$D139=A133)))"),"penyuluh")</f>
        <v>penyuluh</v>
      </c>
    </row>
    <row r="134" hidden="1">
      <c r="C134" s="40" t="str">
        <f>IFERROR(__xludf.DUMMYFUNCTION("TEXTJOIN("", "",TRUE,UNIQUE(FILTER('Data Master'!$B$2:$B139,'Data Master'!$D$2:$D139=A134)))"),"penyuluh")</f>
        <v>penyuluh</v>
      </c>
    </row>
    <row r="135" hidden="1">
      <c r="C135" s="40" t="str">
        <f>IFERROR(__xludf.DUMMYFUNCTION("TEXTJOIN("", "",TRUE,UNIQUE(FILTER('Data Master'!$B$2:$B139,'Data Master'!$D$2:$D139=A135)))"),"penyuluh")</f>
        <v>penyuluh</v>
      </c>
    </row>
    <row r="136" hidden="1">
      <c r="C136" s="40" t="str">
        <f>IFERROR(__xludf.DUMMYFUNCTION("TEXTJOIN("", "",TRUE,UNIQUE(FILTER('Data Master'!$B$2:$B139,'Data Master'!$D$2:$D139=A136)))"),"petani")</f>
        <v>petani</v>
      </c>
    </row>
    <row r="137" hidden="1">
      <c r="C137" s="40" t="str">
        <f>IFERROR(__xludf.DUMMYFUNCTION("TEXTJOIN("", "",TRUE,UNIQUE(FILTER('Data Master'!$B$2:$B139,'Data Master'!$D$2:$D139=A137)))"),"penyuluh")</f>
        <v>penyuluh</v>
      </c>
    </row>
    <row r="138" hidden="1">
      <c r="C138" s="40" t="str">
        <f>IFERROR(__xludf.DUMMYFUNCTION("TEXTJOIN("", "",TRUE,UNIQUE(FILTER('Data Master'!$B$2:$B139,'Data Master'!$D$2:$D139=A138)))"),"petani")</f>
        <v>petani</v>
      </c>
    </row>
    <row r="139">
      <c r="C139" s="40"/>
    </row>
  </sheetData>
  <autoFilter ref="$A$1:$C$139">
    <filterColumn colId="1">
      <filters>
        <filter val="2"/>
        <filter val="3"/>
        <filter val="2402"/>
        <filter val="4"/>
        <filter val="8"/>
        <filter val="2231"/>
        <filter val="9"/>
      </filters>
    </filterColumn>
  </autoFilter>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88"/>
    <col customWidth="1" min="2" max="2" width="14.38"/>
    <col customWidth="1" min="3" max="3" width="37.13"/>
  </cols>
  <sheetData>
    <row r="1">
      <c r="C1" s="41" t="s">
        <v>1450</v>
      </c>
    </row>
    <row r="2" hidden="1">
      <c r="C2" s="40"/>
    </row>
    <row r="3" hidden="1">
      <c r="C3" s="40" t="str">
        <f>IFERROR(__xludf.DUMMYFUNCTION("TEXTJOIN("", "",TRUE,UNIQUE(FILTER('Data Master'!$B$2:$B1570,'Data Master'!$E$2:$E1570=A3)))"),"petani")</f>
        <v>petani</v>
      </c>
    </row>
    <row r="4" hidden="1">
      <c r="C4" s="43" t="str">
        <f>IFERROR(__xludf.DUMMYFUNCTION("TEXTJOIN("", "",TRUE,UNIQUE(FILTER('Data Master'!$B$2:$B1570,'Data Master'!$E$2:$E1570=A4)))"),"petani")</f>
        <v>petani</v>
      </c>
    </row>
    <row r="5" hidden="1">
      <c r="C5" s="43" t="str">
        <f>IFERROR(__xludf.DUMMYFUNCTION("TEXTJOIN("", "",TRUE,UNIQUE(FILTER('Data Master'!$B$2:$B1570,'Data Master'!$E$2:$E1570=A5)))"),"petani")</f>
        <v>petani</v>
      </c>
    </row>
    <row r="6" hidden="1">
      <c r="C6" s="43" t="str">
        <f>IFERROR(__xludf.DUMMYFUNCTION("TEXTJOIN("", "",TRUE,UNIQUE(FILTER('Data Master'!$B$2:$B1570,'Data Master'!$E$2:$E1570=A6)))"),"petani")</f>
        <v>petani</v>
      </c>
    </row>
    <row r="7" hidden="1">
      <c r="C7" s="40" t="str">
        <f>IFERROR(__xludf.DUMMYFUNCTION("TEXTJOIN("", "",TRUE,UNIQUE(FILTER('Data Master'!$B$2:$B1570,'Data Master'!$E$2:$E1570=A7)))"),"petani")</f>
        <v>petani</v>
      </c>
    </row>
    <row r="8" hidden="1">
      <c r="C8" s="40" t="str">
        <f>IFERROR(__xludf.DUMMYFUNCTION("TEXTJOIN("", "",TRUE,UNIQUE(FILTER('Data Master'!$B$2:$B1570,'Data Master'!$E$2:$E1570=A8)))"),"penyuluh")</f>
        <v>penyuluh</v>
      </c>
    </row>
    <row r="9" hidden="1">
      <c r="C9" s="40" t="str">
        <f>IFERROR(__xludf.DUMMYFUNCTION("TEXTJOIN("", "",TRUE,UNIQUE(FILTER('Data Master'!$B$2:$B1570,'Data Master'!$E$2:$E1570=A9)))"),"petani")</f>
        <v>petani</v>
      </c>
    </row>
    <row r="10" hidden="1">
      <c r="C10" s="40" t="str">
        <f>IFERROR(__xludf.DUMMYFUNCTION("TEXTJOIN("", "",TRUE,UNIQUE(FILTER('Data Master'!$B$2:$B1570,'Data Master'!$E$2:$E1570=A10)))"),"petani")</f>
        <v>petani</v>
      </c>
    </row>
    <row r="11">
      <c r="C11" s="43" t="str">
        <f>IFERROR(__xludf.DUMMYFUNCTION("TEXTJOIN("", "",TRUE,UNIQUE(FILTER('Data Master'!$B$2:$B1570,'Data Master'!$E$2:$E1570=A11)))"),"penyuluh")</f>
        <v>penyuluh</v>
      </c>
    </row>
    <row r="12" hidden="1">
      <c r="C12" s="43" t="str">
        <f>IFERROR(__xludf.DUMMYFUNCTION("TEXTJOIN("", "",TRUE,UNIQUE(FILTER('Data Master'!$B$2:$B1570,'Data Master'!$E$2:$E1570=A12)))"),"petani")</f>
        <v>petani</v>
      </c>
    </row>
    <row r="13" hidden="1">
      <c r="C13" s="40" t="str">
        <f>IFERROR(__xludf.DUMMYFUNCTION("TEXTJOIN("", "",TRUE,UNIQUE(FILTER('Data Master'!$B$2:$B1570,'Data Master'!$E$2:$E1570=A13)))"),"petani")</f>
        <v>petani</v>
      </c>
    </row>
    <row r="14" hidden="1">
      <c r="C14" s="43" t="str">
        <f>IFERROR(__xludf.DUMMYFUNCTION("TEXTJOIN("", "",TRUE,UNIQUE(FILTER('Data Master'!$B$2:$B1570,'Data Master'!$E$2:$E1570=A14)))"),"petani")</f>
        <v>petani</v>
      </c>
    </row>
    <row r="15" hidden="1">
      <c r="C15" s="40" t="str">
        <f>IFERROR(__xludf.DUMMYFUNCTION("TEXTJOIN("", "",TRUE,UNIQUE(FILTER('Data Master'!$B$2:$B1570,'Data Master'!$E$2:$E1570=A15)))"),"penyuluh")</f>
        <v>penyuluh</v>
      </c>
    </row>
    <row r="16" hidden="1">
      <c r="C16" s="40" t="str">
        <f>IFERROR(__xludf.DUMMYFUNCTION("TEXTJOIN("", "",TRUE,UNIQUE(FILTER('Data Master'!$B$2:$B1570,'Data Master'!$E$2:$E1570=A16)))"),"petani")</f>
        <v>petani</v>
      </c>
    </row>
    <row r="17" hidden="1">
      <c r="C17" s="40" t="str">
        <f>IFERROR(__xludf.DUMMYFUNCTION("TEXTJOIN("", "",TRUE,UNIQUE(FILTER('Data Master'!$B$2:$B1570,'Data Master'!$E$2:$E1570=A17)))"),"petani")</f>
        <v>petani</v>
      </c>
    </row>
    <row r="18" hidden="1">
      <c r="C18" s="40" t="str">
        <f>IFERROR(__xludf.DUMMYFUNCTION("TEXTJOIN("", "",TRUE,UNIQUE(FILTER('Data Master'!$B$2:$B1570,'Data Master'!$E$2:$E1570=A18)))"),"petani")</f>
        <v>petani</v>
      </c>
    </row>
    <row r="19" hidden="1">
      <c r="C19" s="40" t="str">
        <f>IFERROR(__xludf.DUMMYFUNCTION("TEXTJOIN("", "",TRUE,UNIQUE(FILTER('Data Master'!$B$2:$B1570,'Data Master'!$E$2:$E1570=A19)))"),"penyuluh")</f>
        <v>penyuluh</v>
      </c>
    </row>
    <row r="20" hidden="1">
      <c r="C20" s="40" t="str">
        <f>IFERROR(__xludf.DUMMYFUNCTION("TEXTJOIN("", "",TRUE,UNIQUE(FILTER('Data Master'!$B$2:$B1570,'Data Master'!$E$2:$E1570=A20)))"),"penyuluh")</f>
        <v>penyuluh</v>
      </c>
    </row>
    <row r="21" hidden="1">
      <c r="C21" s="40" t="str">
        <f>IFERROR(__xludf.DUMMYFUNCTION("TEXTJOIN("", "",TRUE,UNIQUE(FILTER('Data Master'!$B$2:$B1570,'Data Master'!$E$2:$E1570=A21)))"),"petani")</f>
        <v>petani</v>
      </c>
    </row>
    <row r="22" hidden="1">
      <c r="C22" s="40" t="str">
        <f>IFERROR(__xludf.DUMMYFUNCTION("TEXTJOIN("", "",TRUE,UNIQUE(FILTER('Data Master'!$B$2:$B1570,'Data Master'!$E$2:$E1570=A22)))"),"petani")</f>
        <v>petani</v>
      </c>
    </row>
    <row r="23" hidden="1">
      <c r="C23" s="43" t="str">
        <f>IFERROR(__xludf.DUMMYFUNCTION("TEXTJOIN("", "",TRUE,UNIQUE(FILTER('Data Master'!$B$2:$B1570,'Data Master'!$E$2:$E1570=A23)))"),"petani")</f>
        <v>petani</v>
      </c>
    </row>
    <row r="24" hidden="1">
      <c r="C24" s="40" t="str">
        <f>IFERROR(__xludf.DUMMYFUNCTION("TEXTJOIN("", "",TRUE,UNIQUE(FILTER('Data Master'!$B$2:$B1570,'Data Master'!$E$2:$E1570=A24)))"),"petani")</f>
        <v>petani</v>
      </c>
    </row>
    <row r="25" hidden="1">
      <c r="C25" s="40" t="str">
        <f>IFERROR(__xludf.DUMMYFUNCTION("TEXTJOIN("", "",TRUE,UNIQUE(FILTER('Data Master'!$B$2:$B1570,'Data Master'!$E$2:$E1570=A25)))"),"petani")</f>
        <v>petani</v>
      </c>
    </row>
    <row r="26" hidden="1">
      <c r="C26" s="40" t="str">
        <f>IFERROR(__xludf.DUMMYFUNCTION("TEXTJOIN("", "",TRUE,UNIQUE(FILTER('Data Master'!$B$2:$B1570,'Data Master'!$E$2:$E1570=A26)))"),"operator admin")</f>
        <v>operator admin</v>
      </c>
    </row>
    <row r="27" hidden="1">
      <c r="C27" s="40" t="str">
        <f>IFERROR(__xludf.DUMMYFUNCTION("TEXTJOIN("", "",TRUE,UNIQUE(FILTER('Data Master'!$B$2:$B1570,'Data Master'!$E$2:$E1570=A27)))"),"penyuluh")</f>
        <v>penyuluh</v>
      </c>
    </row>
    <row r="28" hidden="1">
      <c r="C28" s="40" t="str">
        <f>IFERROR(__xludf.DUMMYFUNCTION("TEXTJOIN("", "",TRUE,UNIQUE(FILTER('Data Master'!$B$2:$B1570,'Data Master'!$E$2:$E1570=A28)))"),"penyuluh")</f>
        <v>penyuluh</v>
      </c>
    </row>
    <row r="29" hidden="1">
      <c r="C29" s="40" t="str">
        <f>IFERROR(__xludf.DUMMYFUNCTION("TEXTJOIN("", "",TRUE,UNIQUE(FILTER('Data Master'!$B$2:$B1570,'Data Master'!$E$2:$E1570=A29)))"),"penyuluh")</f>
        <v>penyuluh</v>
      </c>
    </row>
    <row r="30" hidden="1">
      <c r="C30" s="43" t="str">
        <f>IFERROR(__xludf.DUMMYFUNCTION("TEXTJOIN("", "",TRUE,UNIQUE(FILTER('Data Master'!$B$2:$B1570,'Data Master'!$E$2:$E1570=A30)))"),"petani")</f>
        <v>petani</v>
      </c>
    </row>
    <row r="31" hidden="1">
      <c r="C31" s="43" t="str">
        <f>IFERROR(__xludf.DUMMYFUNCTION("TEXTJOIN("", "",TRUE,UNIQUE(FILTER('Data Master'!$B$2:$B1570,'Data Master'!$E$2:$E1570=A31)))"),"petani")</f>
        <v>petani</v>
      </c>
    </row>
    <row r="32" hidden="1">
      <c r="C32" s="43" t="str">
        <f>IFERROR(__xludf.DUMMYFUNCTION("TEXTJOIN("", "",TRUE,UNIQUE(FILTER('Data Master'!$B$2:$B1570,'Data Master'!$E$2:$E1570=A32)))"),"petani")</f>
        <v>petani</v>
      </c>
    </row>
    <row r="33" hidden="1">
      <c r="C33" s="43" t="str">
        <f>IFERROR(__xludf.DUMMYFUNCTION("TEXTJOIN("", "",TRUE,UNIQUE(FILTER('Data Master'!$B$2:$B1570,'Data Master'!$E$2:$E1570=A33)))"),"petani")</f>
        <v>petani</v>
      </c>
    </row>
    <row r="34" hidden="1">
      <c r="C34" s="43" t="str">
        <f>IFERROR(__xludf.DUMMYFUNCTION("TEXTJOIN("", "",TRUE,UNIQUE(FILTER('Data Master'!$B$2:$B1570,'Data Master'!$E$2:$E1570=A34)))"),"petani")</f>
        <v>petani</v>
      </c>
    </row>
    <row r="35" hidden="1">
      <c r="C35" s="40" t="str">
        <f>IFERROR(__xludf.DUMMYFUNCTION("TEXTJOIN("", "",TRUE,UNIQUE(FILTER('Data Master'!$B$2:$B1570,'Data Master'!$E$2:$E1570=A35)))"),"petani")</f>
        <v>petani</v>
      </c>
    </row>
    <row r="36" hidden="1">
      <c r="C36" s="40" t="str">
        <f>IFERROR(__xludf.DUMMYFUNCTION("TEXTJOIN("", "",TRUE,UNIQUE(FILTER('Data Master'!$B$2:$B1570,'Data Master'!$E$2:$E1570=A36)))"),"penyuluh")</f>
        <v>penyuluh</v>
      </c>
    </row>
    <row r="37" hidden="1">
      <c r="C37" s="43" t="str">
        <f>IFERROR(__xludf.DUMMYFUNCTION("TEXTJOIN("", "",TRUE,UNIQUE(FILTER('Data Master'!$B$2:$B1570,'Data Master'!$E$2:$E1570=A37)))"),"petani")</f>
        <v>petani</v>
      </c>
    </row>
    <row r="38" hidden="1">
      <c r="C38" s="40" t="str">
        <f>IFERROR(__xludf.DUMMYFUNCTION("TEXTJOIN("", "",TRUE,UNIQUE(FILTER('Data Master'!$B$2:$B1570,'Data Master'!$E$2:$E1570=A38)))"),"petani")</f>
        <v>petani</v>
      </c>
    </row>
    <row r="39" hidden="1">
      <c r="C39" s="40" t="str">
        <f>IFERROR(__xludf.DUMMYFUNCTION("TEXTJOIN("", "",TRUE,UNIQUE(FILTER('Data Master'!$B$2:$B1570,'Data Master'!$E$2:$E1570=A39)))"),"petani")</f>
        <v>petani</v>
      </c>
    </row>
    <row r="40" hidden="1">
      <c r="C40" s="40" t="str">
        <f>IFERROR(__xludf.DUMMYFUNCTION("TEXTJOIN("", "",TRUE,UNIQUE(FILTER('Data Master'!$B$2:$B1570,'Data Master'!$E$2:$E1570=A40)))"),"petani")</f>
        <v>petani</v>
      </c>
    </row>
    <row r="41" hidden="1">
      <c r="C41" s="40" t="str">
        <f>IFERROR(__xludf.DUMMYFUNCTION("TEXTJOIN("", "",TRUE,UNIQUE(FILTER('Data Master'!$B$2:$B1570,'Data Master'!$E$2:$E1570=A41)))"),"petani")</f>
        <v>petani</v>
      </c>
    </row>
    <row r="42" hidden="1">
      <c r="C42" s="40" t="str">
        <f>IFERROR(__xludf.DUMMYFUNCTION("TEXTJOIN("", "",TRUE,UNIQUE(FILTER('Data Master'!$B$2:$B1570,'Data Master'!$E$2:$E1570=A42)))"),"penyuluh")</f>
        <v>penyuluh</v>
      </c>
    </row>
    <row r="43" hidden="1">
      <c r="C43" s="40" t="str">
        <f>IFERROR(__xludf.DUMMYFUNCTION("TEXTJOIN("", "",TRUE,UNIQUE(FILTER('Data Master'!$B$2:$B1570,'Data Master'!$E$2:$E1570=A43)))"),"petani")</f>
        <v>petani</v>
      </c>
    </row>
    <row r="44" hidden="1">
      <c r="C44" s="40" t="str">
        <f>IFERROR(__xludf.DUMMYFUNCTION("TEXTJOIN("", "",TRUE,UNIQUE(FILTER('Data Master'!$B$2:$B1570,'Data Master'!$E$2:$E1570=A44)))"),"petani")</f>
        <v>petani</v>
      </c>
    </row>
    <row r="45" hidden="1">
      <c r="C45" s="40" t="str">
        <f>IFERROR(__xludf.DUMMYFUNCTION("TEXTJOIN("", "",TRUE,UNIQUE(FILTER('Data Master'!$B$2:$B1570,'Data Master'!$E$2:$E1570=A45)))"),"operator admin")</f>
        <v>operator admin</v>
      </c>
    </row>
    <row r="46" hidden="1">
      <c r="C46" s="40" t="str">
        <f>IFERROR(__xludf.DUMMYFUNCTION("TEXTJOIN("", "",TRUE,UNIQUE(FILTER('Data Master'!$B$2:$B1570,'Data Master'!$E$2:$E1570=A46)))"),"petani")</f>
        <v>petani</v>
      </c>
    </row>
    <row r="47" hidden="1">
      <c r="C47" s="40" t="str">
        <f>IFERROR(__xludf.DUMMYFUNCTION("TEXTJOIN("", "",TRUE,UNIQUE(FILTER('Data Master'!$B$2:$B1570,'Data Master'!$E$2:$E1570=A47)))"),"petani")</f>
        <v>petani</v>
      </c>
    </row>
    <row r="48" hidden="1">
      <c r="C48" s="40" t="str">
        <f>IFERROR(__xludf.DUMMYFUNCTION("TEXTJOIN("", "",TRUE,UNIQUE(FILTER('Data Master'!$B$2:$B1570,'Data Master'!$E$2:$E1570=A48)))"),"petani")</f>
        <v>petani</v>
      </c>
    </row>
    <row r="49" hidden="1">
      <c r="C49" s="40" t="str">
        <f>IFERROR(__xludf.DUMMYFUNCTION("TEXTJOIN("", "",TRUE,UNIQUE(FILTER('Data Master'!$B$2:$B1570,'Data Master'!$E$2:$E1570=A49)))"),"penyuluh")</f>
        <v>penyuluh</v>
      </c>
    </row>
    <row r="50" hidden="1">
      <c r="C50" s="40" t="str">
        <f>IFERROR(__xludf.DUMMYFUNCTION("TEXTJOIN("", "",TRUE,UNIQUE(FILTER('Data Master'!$B$2:$B1570,'Data Master'!$E$2:$E1570=A50)))"),"penyuluh")</f>
        <v>penyuluh</v>
      </c>
    </row>
    <row r="51" hidden="1">
      <c r="C51" s="43" t="str">
        <f>IFERROR(__xludf.DUMMYFUNCTION("TEXTJOIN("", "",TRUE,UNIQUE(FILTER('Data Master'!$B$2:$B1570,'Data Master'!$E$2:$E1570=A51)))"),"penyuluh, petani")</f>
        <v>penyuluh, petani</v>
      </c>
    </row>
    <row r="52" hidden="1">
      <c r="C52" s="40" t="str">
        <f>IFERROR(__xludf.DUMMYFUNCTION("TEXTJOIN("", "",TRUE,UNIQUE(FILTER('Data Master'!$B$2:$B1570,'Data Master'!$E$2:$E1570=A52)))"),"penyuluh")</f>
        <v>penyuluh</v>
      </c>
    </row>
    <row r="53" hidden="1">
      <c r="C53" s="40" t="str">
        <f>IFERROR(__xludf.DUMMYFUNCTION("TEXTJOIN("", "",TRUE,UNIQUE(FILTER('Data Master'!$B$2:$B1570,'Data Master'!$E$2:$E1570=A53)))"),"petani")</f>
        <v>petani</v>
      </c>
    </row>
    <row r="54" hidden="1">
      <c r="C54" s="40" t="str">
        <f>IFERROR(__xludf.DUMMYFUNCTION("TEXTJOIN("", "",TRUE,UNIQUE(FILTER('Data Master'!$B$2:$B1570,'Data Master'!$E$2:$E1570=A54)))"),"petani")</f>
        <v>petani</v>
      </c>
    </row>
    <row r="55" hidden="1">
      <c r="C55" s="40" t="str">
        <f>IFERROR(__xludf.DUMMYFUNCTION("TEXTJOIN("", "",TRUE,UNIQUE(FILTER('Data Master'!$B$2:$B1570,'Data Master'!$E$2:$E1570=A55)))"),"petani")</f>
        <v>petani</v>
      </c>
    </row>
    <row r="56" hidden="1">
      <c r="C56" s="40" t="str">
        <f>IFERROR(__xludf.DUMMYFUNCTION("TEXTJOIN("", "",TRUE,UNIQUE(FILTER('Data Master'!$B$2:$B1570,'Data Master'!$E$2:$E1570=A56)))"),"petani")</f>
        <v>petani</v>
      </c>
    </row>
    <row r="57" hidden="1">
      <c r="C57" s="40" t="str">
        <f>IFERROR(__xludf.DUMMYFUNCTION("TEXTJOIN("", "",TRUE,UNIQUE(FILTER('Data Master'!$B$2:$B1570,'Data Master'!$E$2:$E1570=A57)))"),"petani")</f>
        <v>petani</v>
      </c>
    </row>
    <row r="58" hidden="1">
      <c r="C58" s="40" t="str">
        <f>IFERROR(__xludf.DUMMYFUNCTION("TEXTJOIN("", "",TRUE,UNIQUE(FILTER('Data Master'!$B$2:$B1570,'Data Master'!$E$2:$E1570=A58)))"),"petani")</f>
        <v>petani</v>
      </c>
    </row>
    <row r="59" hidden="1">
      <c r="C59" s="40" t="str">
        <f>IFERROR(__xludf.DUMMYFUNCTION("TEXTJOIN("", "",TRUE,UNIQUE(FILTER('Data Master'!$B$2:$B1570,'Data Master'!$E$2:$E1570=A59)))"),"petani")</f>
        <v>petani</v>
      </c>
    </row>
    <row r="60" hidden="1">
      <c r="C60" s="40" t="str">
        <f>IFERROR(__xludf.DUMMYFUNCTION("TEXTJOIN("", "",TRUE,UNIQUE(FILTER('Data Master'!$B$2:$B1570,'Data Master'!$E$2:$E1570=A60)))"),"petani")</f>
        <v>petani</v>
      </c>
    </row>
    <row r="61" hidden="1">
      <c r="C61" s="40" t="str">
        <f>IFERROR(__xludf.DUMMYFUNCTION("TEXTJOIN("", "",TRUE,UNIQUE(FILTER('Data Master'!$B$2:$B1570,'Data Master'!$E$2:$E1570=A61)))"),"penyuluh")</f>
        <v>penyuluh</v>
      </c>
    </row>
    <row r="62" hidden="1">
      <c r="C62" s="40" t="str">
        <f>IFERROR(__xludf.DUMMYFUNCTION("TEXTJOIN("", "",TRUE,UNIQUE(FILTER('Data Master'!$B$2:$B1570,'Data Master'!$E$2:$E1570=A62)))"),"petani")</f>
        <v>petani</v>
      </c>
    </row>
    <row r="63" hidden="1">
      <c r="C63" s="40" t="str">
        <f>IFERROR(__xludf.DUMMYFUNCTION("TEXTJOIN("", "",TRUE,UNIQUE(FILTER('Data Master'!$B$2:$B1570,'Data Master'!$E$2:$E1570=A63)))"),"petani")</f>
        <v>petani</v>
      </c>
    </row>
    <row r="64" hidden="1">
      <c r="C64" s="40" t="str">
        <f>IFERROR(__xludf.DUMMYFUNCTION("TEXTJOIN("", "",TRUE,UNIQUE(FILTER('Data Master'!$B$2:$B1570,'Data Master'!$E$2:$E1570=A64)))"),"petani")</f>
        <v>petani</v>
      </c>
    </row>
    <row r="65" hidden="1">
      <c r="C65" s="40" t="str">
        <f>IFERROR(__xludf.DUMMYFUNCTION("TEXTJOIN("", "",TRUE,UNIQUE(FILTER('Data Master'!$B$2:$B1570,'Data Master'!$E$2:$E1570=A65)))"),"petani")</f>
        <v>petani</v>
      </c>
    </row>
    <row r="66" hidden="1">
      <c r="C66" s="40" t="str">
        <f>IFERROR(__xludf.DUMMYFUNCTION("TEXTJOIN("", "",TRUE,UNIQUE(FILTER('Data Master'!$B$2:$B1570,'Data Master'!$E$2:$E1570=A66)))"),"petani")</f>
        <v>petani</v>
      </c>
    </row>
    <row r="67" hidden="1">
      <c r="C67" s="40" t="str">
        <f>IFERROR(__xludf.DUMMYFUNCTION("TEXTJOIN("", "",TRUE,UNIQUE(FILTER('Data Master'!$B$2:$B1570,'Data Master'!$E$2:$E1570=A67)))"),"petani")</f>
        <v>petani</v>
      </c>
    </row>
    <row r="68" hidden="1">
      <c r="C68" s="40" t="str">
        <f>IFERROR(__xludf.DUMMYFUNCTION("TEXTJOIN("", "",TRUE,UNIQUE(FILTER('Data Master'!$B$2:$B1570,'Data Master'!$E$2:$E1570=A68)))"),"petani")</f>
        <v>petani</v>
      </c>
    </row>
    <row r="69" hidden="1">
      <c r="C69" s="40" t="str">
        <f>IFERROR(__xludf.DUMMYFUNCTION("TEXTJOIN("", "",TRUE,UNIQUE(FILTER('Data Master'!$B$2:$B1570,'Data Master'!$E$2:$E1570=A69)))"),"petani")</f>
        <v>petani</v>
      </c>
    </row>
    <row r="70" hidden="1">
      <c r="C70" s="40" t="str">
        <f>IFERROR(__xludf.DUMMYFUNCTION("TEXTJOIN("", "",TRUE,UNIQUE(FILTER('Data Master'!$B$2:$B1570,'Data Master'!$E$2:$E1570=A70)))"),"petani")</f>
        <v>petani</v>
      </c>
    </row>
    <row r="71" hidden="1">
      <c r="C71" s="40" t="str">
        <f>IFERROR(__xludf.DUMMYFUNCTION("TEXTJOIN("", "",TRUE,UNIQUE(FILTER('Data Master'!$B$2:$B1570,'Data Master'!$E$2:$E1570=A71)))"),"petani")</f>
        <v>petani</v>
      </c>
    </row>
    <row r="72" hidden="1">
      <c r="C72" s="40" t="str">
        <f>IFERROR(__xludf.DUMMYFUNCTION("TEXTJOIN("", "",TRUE,UNIQUE(FILTER('Data Master'!$B$2:$B1570,'Data Master'!$E$2:$E1570=A72)))"),"petani")</f>
        <v>petani</v>
      </c>
    </row>
    <row r="73" hidden="1">
      <c r="C73" s="40" t="str">
        <f>IFERROR(__xludf.DUMMYFUNCTION("TEXTJOIN("", "",TRUE,UNIQUE(FILTER('Data Master'!$B$2:$B1570,'Data Master'!$E$2:$E1570=A73)))"),"petani")</f>
        <v>petani</v>
      </c>
    </row>
    <row r="74" hidden="1">
      <c r="C74" s="40" t="str">
        <f>IFERROR(__xludf.DUMMYFUNCTION("TEXTJOIN("", "",TRUE,UNIQUE(FILTER('Data Master'!$B$2:$B1570,'Data Master'!$E$2:$E1570=A74)))"),"petani")</f>
        <v>petani</v>
      </c>
    </row>
    <row r="75" hidden="1">
      <c r="C75" s="40" t="str">
        <f>IFERROR(__xludf.DUMMYFUNCTION("TEXTJOIN("", "",TRUE,UNIQUE(FILTER('Data Master'!$B$2:$B1570,'Data Master'!$E$2:$E1570=A75)))"),"petani")</f>
        <v>petani</v>
      </c>
    </row>
    <row r="76" hidden="1">
      <c r="C76" s="40" t="str">
        <f>IFERROR(__xludf.DUMMYFUNCTION("TEXTJOIN("", "",TRUE,UNIQUE(FILTER('Data Master'!$B$2:$B1570,'Data Master'!$E$2:$E1570=A76)))"),"petani")</f>
        <v>petani</v>
      </c>
    </row>
    <row r="77" hidden="1">
      <c r="C77" s="40" t="str">
        <f>IFERROR(__xludf.DUMMYFUNCTION("TEXTJOIN("", "",TRUE,UNIQUE(FILTER('Data Master'!$B$2:$B1570,'Data Master'!$E$2:$E1570=A77)))"),"petani")</f>
        <v>petani</v>
      </c>
    </row>
    <row r="78" hidden="1">
      <c r="C78" s="40" t="str">
        <f>IFERROR(__xludf.DUMMYFUNCTION("TEXTJOIN("", "",TRUE,UNIQUE(FILTER('Data Master'!$B$2:$B1570,'Data Master'!$E$2:$E1570=A78)))"),"petani")</f>
        <v>petani</v>
      </c>
    </row>
    <row r="79" hidden="1">
      <c r="C79" s="40" t="str">
        <f>IFERROR(__xludf.DUMMYFUNCTION("TEXTJOIN("", "",TRUE,UNIQUE(FILTER('Data Master'!$B$2:$B1570,'Data Master'!$E$2:$E1570=A79)))"),"petani")</f>
        <v>petani</v>
      </c>
    </row>
    <row r="80" hidden="1">
      <c r="C80" s="40" t="str">
        <f>IFERROR(__xludf.DUMMYFUNCTION("TEXTJOIN("", "",TRUE,UNIQUE(FILTER('Data Master'!$B$2:$B1570,'Data Master'!$E$2:$E1570=A80)))"),"petani")</f>
        <v>petani</v>
      </c>
    </row>
    <row r="81" hidden="1">
      <c r="C81" s="40" t="str">
        <f>IFERROR(__xludf.DUMMYFUNCTION("TEXTJOIN("", "",TRUE,UNIQUE(FILTER('Data Master'!$B$2:$B1570,'Data Master'!$E$2:$E1570=A81)))"),"petani")</f>
        <v>petani</v>
      </c>
    </row>
    <row r="82" hidden="1">
      <c r="C82" s="40" t="str">
        <f>IFERROR(__xludf.DUMMYFUNCTION("TEXTJOIN("", "",TRUE,UNIQUE(FILTER('Data Master'!$B$2:$B1570,'Data Master'!$E$2:$E1570=A82)))"),"petani")</f>
        <v>petani</v>
      </c>
    </row>
    <row r="83" hidden="1">
      <c r="C83" s="40" t="str">
        <f>IFERROR(__xludf.DUMMYFUNCTION("TEXTJOIN("", "",TRUE,UNIQUE(FILTER('Data Master'!$B$2:$B1570,'Data Master'!$E$2:$E1570=A83)))"),"petani")</f>
        <v>petani</v>
      </c>
    </row>
    <row r="84" hidden="1">
      <c r="C84" s="40" t="str">
        <f>IFERROR(__xludf.DUMMYFUNCTION("TEXTJOIN("", "",TRUE,UNIQUE(FILTER('Data Master'!$B$2:$B1570,'Data Master'!$E$2:$E1570=A84)))"),"petani")</f>
        <v>petani</v>
      </c>
    </row>
    <row r="85" hidden="1">
      <c r="C85" s="40" t="str">
        <f>IFERROR(__xludf.DUMMYFUNCTION("TEXTJOIN("", "",TRUE,UNIQUE(FILTER('Data Master'!$B$2:$B1570,'Data Master'!$E$2:$E1570=A85)))"),"petani")</f>
        <v>petani</v>
      </c>
    </row>
    <row r="86" hidden="1">
      <c r="C86" s="40" t="str">
        <f>IFERROR(__xludf.DUMMYFUNCTION("TEXTJOIN("", "",TRUE,UNIQUE(FILTER('Data Master'!$B$2:$B1570,'Data Master'!$E$2:$E1570=A86)))"),"petani")</f>
        <v>petani</v>
      </c>
    </row>
    <row r="87" hidden="1">
      <c r="C87" s="40" t="str">
        <f>IFERROR(__xludf.DUMMYFUNCTION("TEXTJOIN("", "",TRUE,UNIQUE(FILTER('Data Master'!$B$2:$B1570,'Data Master'!$E$2:$E1570=A87)))"),"petani")</f>
        <v>petani</v>
      </c>
    </row>
    <row r="88" hidden="1">
      <c r="C88" s="40" t="str">
        <f>IFERROR(__xludf.DUMMYFUNCTION("TEXTJOIN("", "",TRUE,UNIQUE(FILTER('Data Master'!$B$2:$B1570,'Data Master'!$E$2:$E1570=A88)))"),"operator admin")</f>
        <v>operator admin</v>
      </c>
    </row>
    <row r="89" hidden="1">
      <c r="C89" s="40" t="str">
        <f>IFERROR(__xludf.DUMMYFUNCTION("TEXTJOIN("", "",TRUE,UNIQUE(FILTER('Data Master'!$B$2:$B1570,'Data Master'!$E$2:$E1570=A89)))"),"penyuluh")</f>
        <v>penyuluh</v>
      </c>
    </row>
    <row r="90" hidden="1">
      <c r="C90" s="40" t="str">
        <f>IFERROR(__xludf.DUMMYFUNCTION("TEXTJOIN("", "",TRUE,UNIQUE(FILTER('Data Master'!$B$2:$B1570,'Data Master'!$E$2:$E1570=A90)))"),"penyuluh")</f>
        <v>penyuluh</v>
      </c>
    </row>
    <row r="91" hidden="1">
      <c r="C91" s="40" t="str">
        <f>IFERROR(__xludf.DUMMYFUNCTION("TEXTJOIN("", "",TRUE,UNIQUE(FILTER('Data Master'!$B$2:$B1570,'Data Master'!$E$2:$E1570=A91)))"),"petani")</f>
        <v>petani</v>
      </c>
    </row>
    <row r="92" hidden="1">
      <c r="C92" s="40" t="str">
        <f>IFERROR(__xludf.DUMMYFUNCTION("TEXTJOIN("", "",TRUE,UNIQUE(FILTER('Data Master'!$B$2:$B1570,'Data Master'!$E$2:$E1570=A92)))"),"petani")</f>
        <v>petani</v>
      </c>
    </row>
    <row r="93" hidden="1">
      <c r="C93" s="40" t="str">
        <f>IFERROR(__xludf.DUMMYFUNCTION("TEXTJOIN("", "",TRUE,UNIQUE(FILTER('Data Master'!$B$2:$B1570,'Data Master'!$E$2:$E1570=A93)))"),"petani")</f>
        <v>petani</v>
      </c>
    </row>
    <row r="94" hidden="1">
      <c r="C94" s="40" t="str">
        <f>IFERROR(__xludf.DUMMYFUNCTION("TEXTJOIN("", "",TRUE,UNIQUE(FILTER('Data Master'!$B$2:$B1570,'Data Master'!$E$2:$E1570=A94)))"),"penyuluh")</f>
        <v>penyuluh</v>
      </c>
    </row>
    <row r="95" hidden="1">
      <c r="C95" s="40" t="str">
        <f>IFERROR(__xludf.DUMMYFUNCTION("TEXTJOIN("", "",TRUE,UNIQUE(FILTER('Data Master'!$B$2:$B1570,'Data Master'!$E$2:$E1570=A95)))"),"petani")</f>
        <v>petani</v>
      </c>
    </row>
    <row r="96" hidden="1">
      <c r="C96" s="40" t="str">
        <f>IFERROR(__xludf.DUMMYFUNCTION("TEXTJOIN("", "",TRUE,UNIQUE(FILTER('Data Master'!$B$2:$B1570,'Data Master'!$E$2:$E1570=A96)))"),"petani")</f>
        <v>petani</v>
      </c>
    </row>
    <row r="97" hidden="1">
      <c r="C97" s="40" t="str">
        <f>IFERROR(__xludf.DUMMYFUNCTION("TEXTJOIN("", "",TRUE,UNIQUE(FILTER('Data Master'!$B$2:$B1570,'Data Master'!$E$2:$E1570=A97)))"),"petani")</f>
        <v>petani</v>
      </c>
    </row>
    <row r="98" hidden="1">
      <c r="C98" s="40" t="str">
        <f>IFERROR(__xludf.DUMMYFUNCTION("TEXTJOIN("", "",TRUE,UNIQUE(FILTER('Data Master'!$B$2:$B1570,'Data Master'!$E$2:$E1570=A98)))"),"petani")</f>
        <v>petani</v>
      </c>
    </row>
    <row r="99" hidden="1">
      <c r="C99" s="40" t="str">
        <f>IFERROR(__xludf.DUMMYFUNCTION("TEXTJOIN("", "",TRUE,UNIQUE(FILTER('Data Master'!$B$2:$B1570,'Data Master'!$E$2:$E1570=A99)))"),"petani")</f>
        <v>petani</v>
      </c>
    </row>
    <row r="100" hidden="1">
      <c r="C100" s="40" t="str">
        <f>IFERROR(__xludf.DUMMYFUNCTION("TEXTJOIN("", "",TRUE,UNIQUE(FILTER('Data Master'!$B$2:$B1570,'Data Master'!$E$2:$E1570=A100)))"),"petani")</f>
        <v>petani</v>
      </c>
    </row>
    <row r="101" hidden="1">
      <c r="C101" s="40" t="str">
        <f>IFERROR(__xludf.DUMMYFUNCTION("TEXTJOIN("", "",TRUE,UNIQUE(FILTER('Data Master'!$B$2:$B1570,'Data Master'!$E$2:$E1570=A101)))"),"petani")</f>
        <v>petani</v>
      </c>
    </row>
    <row r="102" hidden="1">
      <c r="C102" s="40" t="str">
        <f>IFERROR(__xludf.DUMMYFUNCTION("TEXTJOIN("", "",TRUE,UNIQUE(FILTER('Data Master'!$B$2:$B1570,'Data Master'!$E$2:$E1570=A102)))"),"petani")</f>
        <v>petani</v>
      </c>
    </row>
    <row r="103" hidden="1">
      <c r="C103" s="40" t="str">
        <f>IFERROR(__xludf.DUMMYFUNCTION("TEXTJOIN("", "",TRUE,UNIQUE(FILTER('Data Master'!$B$2:$B1570,'Data Master'!$E$2:$E1570=A103)))"),"petani")</f>
        <v>petani</v>
      </c>
    </row>
    <row r="104" hidden="1">
      <c r="C104" s="40" t="str">
        <f>IFERROR(__xludf.DUMMYFUNCTION("TEXTJOIN("", "",TRUE,UNIQUE(FILTER('Data Master'!$B$2:$B1570,'Data Master'!$E$2:$E1570=A104)))"),"petani")</f>
        <v>petani</v>
      </c>
    </row>
    <row r="105" hidden="1">
      <c r="C105" s="40" t="str">
        <f>IFERROR(__xludf.DUMMYFUNCTION("TEXTJOIN("", "",TRUE,UNIQUE(FILTER('Data Master'!$B$2:$B1570,'Data Master'!$E$2:$E1570=A105)))"),"penyuluh")</f>
        <v>penyuluh</v>
      </c>
    </row>
    <row r="106" hidden="1">
      <c r="C106" s="40" t="str">
        <f>IFERROR(__xludf.DUMMYFUNCTION("TEXTJOIN("", "",TRUE,UNIQUE(FILTER('Data Master'!$B$2:$B1570,'Data Master'!$E$2:$E1570=A106)))"),"petani")</f>
        <v>petani</v>
      </c>
    </row>
    <row r="107" hidden="1">
      <c r="C107" s="40" t="str">
        <f>IFERROR(__xludf.DUMMYFUNCTION("TEXTJOIN("", "",TRUE,UNIQUE(FILTER('Data Master'!$B$2:$B1570,'Data Master'!$E$2:$E1570=A107)))"),"petani")</f>
        <v>petani</v>
      </c>
    </row>
    <row r="108" hidden="1">
      <c r="C108" s="40" t="str">
        <f>IFERROR(__xludf.DUMMYFUNCTION("TEXTJOIN("", "",TRUE,UNIQUE(FILTER('Data Master'!$B$2:$B1570,'Data Master'!$E$2:$E1570=A108)))"),"petani")</f>
        <v>petani</v>
      </c>
    </row>
    <row r="109" hidden="1">
      <c r="C109" s="40" t="str">
        <f>IFERROR(__xludf.DUMMYFUNCTION("TEXTJOIN("", "",TRUE,UNIQUE(FILTER('Data Master'!$B$2:$B1570,'Data Master'!$E$2:$E1570=A109)))"),"petani")</f>
        <v>petani</v>
      </c>
    </row>
    <row r="110" hidden="1">
      <c r="C110" s="40" t="str">
        <f>IFERROR(__xludf.DUMMYFUNCTION("TEXTJOIN("", "",TRUE,UNIQUE(FILTER('Data Master'!$B$2:$B1570,'Data Master'!$E$2:$E1570=A110)))"),"petani")</f>
        <v>petani</v>
      </c>
    </row>
    <row r="111" hidden="1">
      <c r="C111" s="40" t="str">
        <f>IFERROR(__xludf.DUMMYFUNCTION("TEXTJOIN("", "",TRUE,UNIQUE(FILTER('Data Master'!$B$2:$B1570,'Data Master'!$E$2:$E1570=A111)))"),"petani")</f>
        <v>petani</v>
      </c>
    </row>
    <row r="112" hidden="1">
      <c r="C112" s="40" t="str">
        <f>IFERROR(__xludf.DUMMYFUNCTION("TEXTJOIN("", "",TRUE,UNIQUE(FILTER('Data Master'!$B$2:$B1570,'Data Master'!$E$2:$E1570=A112)))"),"petani")</f>
        <v>petani</v>
      </c>
    </row>
    <row r="113" hidden="1">
      <c r="C113" s="40" t="str">
        <f>IFERROR(__xludf.DUMMYFUNCTION("TEXTJOIN("", "",TRUE,UNIQUE(FILTER('Data Master'!$B$2:$B1570,'Data Master'!$E$2:$E1570=A113)))"),"petani")</f>
        <v>petani</v>
      </c>
    </row>
    <row r="114" hidden="1">
      <c r="C114" s="40" t="str">
        <f>IFERROR(__xludf.DUMMYFUNCTION("TEXTJOIN("", "",TRUE,UNIQUE(FILTER('Data Master'!$B$2:$B1570,'Data Master'!$E$2:$E1570=A114)))"),"petani")</f>
        <v>petani</v>
      </c>
    </row>
    <row r="115" hidden="1">
      <c r="C115" s="40" t="str">
        <f>IFERROR(__xludf.DUMMYFUNCTION("TEXTJOIN("", "",TRUE,UNIQUE(FILTER('Data Master'!$B$2:$B1570,'Data Master'!$E$2:$E1570=A115)))"),"petani")</f>
        <v>petani</v>
      </c>
    </row>
    <row r="116" hidden="1">
      <c r="C116" s="40" t="str">
        <f>IFERROR(__xludf.DUMMYFUNCTION("TEXTJOIN("", "",TRUE,UNIQUE(FILTER('Data Master'!$B$2:$B1570,'Data Master'!$E$2:$E1570=A116)))"),"petani")</f>
        <v>petani</v>
      </c>
    </row>
    <row r="117" hidden="1">
      <c r="C117" s="40" t="str">
        <f>IFERROR(__xludf.DUMMYFUNCTION("TEXTJOIN("", "",TRUE,UNIQUE(FILTER('Data Master'!$B$2:$B1570,'Data Master'!$E$2:$E1570=A117)))"),"petani")</f>
        <v>petani</v>
      </c>
    </row>
    <row r="118" hidden="1">
      <c r="C118" s="40" t="str">
        <f>IFERROR(__xludf.DUMMYFUNCTION("TEXTJOIN("", "",TRUE,UNIQUE(FILTER('Data Master'!$B$2:$B1570,'Data Master'!$E$2:$E1570=A118)))"),"petani")</f>
        <v>petani</v>
      </c>
    </row>
    <row r="119" hidden="1">
      <c r="C119" s="40" t="str">
        <f>IFERROR(__xludf.DUMMYFUNCTION("TEXTJOIN("", "",TRUE,UNIQUE(FILTER('Data Master'!$B$2:$B1570,'Data Master'!$E$2:$E1570=A119)))"),"petani")</f>
        <v>petani</v>
      </c>
    </row>
    <row r="120" hidden="1">
      <c r="C120" s="40" t="str">
        <f>IFERROR(__xludf.DUMMYFUNCTION("TEXTJOIN("", "",TRUE,UNIQUE(FILTER('Data Master'!$B$2:$B1570,'Data Master'!$E$2:$E1570=A120)))"),"petani")</f>
        <v>petani</v>
      </c>
    </row>
    <row r="121">
      <c r="C121" s="43" t="str">
        <f>IFERROR(__xludf.DUMMYFUNCTION("TEXTJOIN("", "",TRUE,UNIQUE(FILTER('Data Master'!$B$2:$B1570,'Data Master'!$E$2:$E1570=A121)))"),"penyuluh")</f>
        <v>penyuluh</v>
      </c>
    </row>
    <row r="122" hidden="1">
      <c r="C122" s="40" t="str">
        <f>IFERROR(__xludf.DUMMYFUNCTION("TEXTJOIN("", "",TRUE,UNIQUE(FILTER('Data Master'!$B$2:$B1570,'Data Master'!$E$2:$E1570=A122)))"),"petani")</f>
        <v>petani</v>
      </c>
    </row>
    <row r="123" hidden="1">
      <c r="C123" s="43" t="str">
        <f>IFERROR(__xludf.DUMMYFUNCTION("TEXTJOIN("", "",TRUE,UNIQUE(FILTER('Data Master'!$B$2:$B1570,'Data Master'!$E$2:$E1570=A123)))"),"operator poktan, operator super admin, penyuluh")</f>
        <v>operator poktan, operator super admin, penyuluh</v>
      </c>
    </row>
    <row r="124" hidden="1">
      <c r="C124" s="40" t="str">
        <f>IFERROR(__xludf.DUMMYFUNCTION("TEXTJOIN("", "",TRUE,UNIQUE(FILTER('Data Master'!$B$2:$B1570,'Data Master'!$E$2:$E1570=A124)))"),"penyuluh")</f>
        <v>penyuluh</v>
      </c>
    </row>
    <row r="125" hidden="1">
      <c r="C125" s="40" t="str">
        <f>IFERROR(__xludf.DUMMYFUNCTION("TEXTJOIN("", "",TRUE,UNIQUE(FILTER('Data Master'!$B$2:$B1570,'Data Master'!$E$2:$E1570=A125)))"),"operator super admin")</f>
        <v>operator super admin</v>
      </c>
    </row>
    <row r="126" hidden="1">
      <c r="C126" s="40" t="str">
        <f>IFERROR(__xludf.DUMMYFUNCTION("TEXTJOIN("", "",TRUE,UNIQUE(FILTER('Data Master'!$B$2:$B1570,'Data Master'!$E$2:$E1570=A126)))"),"petani")</f>
        <v>petani</v>
      </c>
    </row>
    <row r="127" hidden="1">
      <c r="C127" s="43" t="str">
        <f>IFERROR(__xludf.DUMMYFUNCTION("TEXTJOIN("", "",TRUE,UNIQUE(FILTER('Data Master'!$B$2:$B1570,'Data Master'!$E$2:$E1570=A127)))"),"penyuluh, petani")</f>
        <v>penyuluh, petani</v>
      </c>
    </row>
    <row r="128" hidden="1">
      <c r="C128" s="40" t="str">
        <f>IFERROR(__xludf.DUMMYFUNCTION("TEXTJOIN("", "",TRUE,UNIQUE(FILTER('Data Master'!$B$2:$B1570,'Data Master'!$E$2:$E1570=A128)))"),"penyuluh_swadaya")</f>
        <v>penyuluh_swadaya</v>
      </c>
    </row>
    <row r="129" hidden="1">
      <c r="C129" s="40" t="str">
        <f>IFERROR(__xludf.DUMMYFUNCTION("TEXTJOIN("", "",TRUE,UNIQUE(FILTER('Data Master'!$B$2:$B1570,'Data Master'!$E$2:$E1570=A129)))"),"penyuluh")</f>
        <v>penyuluh</v>
      </c>
    </row>
    <row r="130" hidden="1">
      <c r="C130" s="40" t="str">
        <f>IFERROR(__xludf.DUMMYFUNCTION("TEXTJOIN("", "",TRUE,UNIQUE(FILTER('Data Master'!$B$2:$B1570,'Data Master'!$E$2:$E1570=A130)))"),"petani")</f>
        <v>petani</v>
      </c>
    </row>
    <row r="131" hidden="1">
      <c r="C131" s="40" t="str">
        <f>IFERROR(__xludf.DUMMYFUNCTION("TEXTJOIN("", "",TRUE,UNIQUE(FILTER('Data Master'!$B$2:$B1570,'Data Master'!$E$2:$E1570=A131)))"),"penyuluh")</f>
        <v>penyuluh</v>
      </c>
    </row>
    <row r="132" hidden="1">
      <c r="C132" s="40" t="str">
        <f>IFERROR(__xludf.DUMMYFUNCTION("TEXTJOIN("", "",TRUE,UNIQUE(FILTER('Data Master'!$B$2:$B1570,'Data Master'!$E$2:$E1570=A132)))"),"petani")</f>
        <v>petani</v>
      </c>
    </row>
    <row r="133" hidden="1">
      <c r="C133" s="40" t="str">
        <f>IFERROR(__xludf.DUMMYFUNCTION("TEXTJOIN("", "",TRUE,UNIQUE(FILTER('Data Master'!$B$2:$B1570,'Data Master'!$E$2:$E1570=A133)))"),"petani")</f>
        <v>petani</v>
      </c>
    </row>
    <row r="134" hidden="1">
      <c r="C134" s="40" t="str">
        <f>IFERROR(__xludf.DUMMYFUNCTION("TEXTJOIN("", "",TRUE,UNIQUE(FILTER('Data Master'!$B$2:$B1570,'Data Master'!$E$2:$E1570=A134)))"),"petani")</f>
        <v>petani</v>
      </c>
    </row>
    <row r="135" hidden="1">
      <c r="C135" s="40" t="str">
        <f>IFERROR(__xludf.DUMMYFUNCTION("TEXTJOIN("", "",TRUE,UNIQUE(FILTER('Data Master'!$B$2:$B1570,'Data Master'!$E$2:$E1570=A135)))"),"petani")</f>
        <v>petani</v>
      </c>
    </row>
    <row r="136" hidden="1">
      <c r="C136" s="40" t="str">
        <f>IFERROR(__xludf.DUMMYFUNCTION("TEXTJOIN("", "",TRUE,UNIQUE(FILTER('Data Master'!$B$2:$B1570,'Data Master'!$E$2:$E1570=A136)))"),"petani")</f>
        <v>petani</v>
      </c>
    </row>
    <row r="137" hidden="1">
      <c r="C137" s="40" t="str">
        <f>IFERROR(__xludf.DUMMYFUNCTION("TEXTJOIN("", "",TRUE,UNIQUE(FILTER('Data Master'!$B$2:$B1570,'Data Master'!$E$2:$E1570=A137)))"),"petani")</f>
        <v>petani</v>
      </c>
    </row>
    <row r="138" hidden="1">
      <c r="C138" s="40" t="str">
        <f>IFERROR(__xludf.DUMMYFUNCTION("TEXTJOIN("", "",TRUE,UNIQUE(FILTER('Data Master'!$B$2:$B1570,'Data Master'!$E$2:$E1570=A138)))"),"petani")</f>
        <v>petani</v>
      </c>
    </row>
    <row r="139" hidden="1">
      <c r="C139" s="40" t="str">
        <f>IFERROR(__xludf.DUMMYFUNCTION("TEXTJOIN("", "",TRUE,UNIQUE(FILTER('Data Master'!$B$2:$B1570,'Data Master'!$E$2:$E1570=A139)))"),"petani")</f>
        <v>petani</v>
      </c>
    </row>
    <row r="140" hidden="1">
      <c r="C140" s="40" t="str">
        <f>IFERROR(__xludf.DUMMYFUNCTION("TEXTJOIN("", "",TRUE,UNIQUE(FILTER('Data Master'!$B$2:$B1570,'Data Master'!$E$2:$E1570=A140)))"),"petani")</f>
        <v>petani</v>
      </c>
    </row>
    <row r="141" hidden="1">
      <c r="C141" s="40" t="str">
        <f>IFERROR(__xludf.DUMMYFUNCTION("TEXTJOIN("", "",TRUE,UNIQUE(FILTER('Data Master'!$B$2:$B1570,'Data Master'!$E$2:$E1570=A141)))"),"petani")</f>
        <v>petani</v>
      </c>
    </row>
    <row r="142" hidden="1">
      <c r="C142" s="40" t="str">
        <f>IFERROR(__xludf.DUMMYFUNCTION("TEXTJOIN("", "",TRUE,UNIQUE(FILTER('Data Master'!$B$2:$B1570,'Data Master'!$E$2:$E1570=A142)))"),"petani")</f>
        <v>petani</v>
      </c>
    </row>
    <row r="143" hidden="1">
      <c r="C143" s="40" t="str">
        <f>IFERROR(__xludf.DUMMYFUNCTION("TEXTJOIN("", "",TRUE,UNIQUE(FILTER('Data Master'!$B$2:$B1570,'Data Master'!$E$2:$E1570=A143)))"),"petani")</f>
        <v>petani</v>
      </c>
    </row>
    <row r="144" hidden="1">
      <c r="C144" s="40" t="str">
        <f>IFERROR(__xludf.DUMMYFUNCTION("TEXTJOIN("", "",TRUE,UNIQUE(FILTER('Data Master'!$B$2:$B1570,'Data Master'!$E$2:$E1570=A144)))"),"petani")</f>
        <v>petani</v>
      </c>
    </row>
    <row r="145" hidden="1">
      <c r="C145" s="40" t="str">
        <f>IFERROR(__xludf.DUMMYFUNCTION("TEXTJOIN("", "",TRUE,UNIQUE(FILTER('Data Master'!$B$2:$B1570,'Data Master'!$E$2:$E1570=A145)))"),"petani")</f>
        <v>petani</v>
      </c>
    </row>
    <row r="146">
      <c r="C146" s="43" t="str">
        <f>IFERROR(__xludf.DUMMYFUNCTION("TEXTJOIN("", "",TRUE,UNIQUE(FILTER('Data Master'!$B$2:$B1570,'Data Master'!$E$2:$E1570=A146)))"),"operator super admin, penyuluh")</f>
        <v>operator super admin, penyuluh</v>
      </c>
    </row>
    <row r="147" hidden="1">
      <c r="C147" s="40" t="str">
        <f>IFERROR(__xludf.DUMMYFUNCTION("TEXTJOIN("", "",TRUE,UNIQUE(FILTER('Data Master'!$B$2:$B1570,'Data Master'!$E$2:$E1570=A147)))"),"petani")</f>
        <v>petani</v>
      </c>
    </row>
    <row r="148" hidden="1">
      <c r="C148" s="40" t="str">
        <f>IFERROR(__xludf.DUMMYFUNCTION("TEXTJOIN("", "",TRUE,UNIQUE(FILTER('Data Master'!$B$2:$B1570,'Data Master'!$E$2:$E1570=A148)))"),"petani")</f>
        <v>petani</v>
      </c>
    </row>
    <row r="149" hidden="1">
      <c r="C149" s="40" t="str">
        <f>IFERROR(__xludf.DUMMYFUNCTION("TEXTJOIN("", "",TRUE,UNIQUE(FILTER('Data Master'!$B$2:$B1570,'Data Master'!$E$2:$E1570=A149)))"),"petani")</f>
        <v>petani</v>
      </c>
    </row>
    <row r="150" hidden="1">
      <c r="C150" s="40" t="str">
        <f>IFERROR(__xludf.DUMMYFUNCTION("TEXTJOIN("", "",TRUE,UNIQUE(FILTER('Data Master'!$B$2:$B1570,'Data Master'!$E$2:$E1570=A150)))"),"petani")</f>
        <v>petani</v>
      </c>
    </row>
    <row r="151" hidden="1">
      <c r="C151" s="40" t="str">
        <f>IFERROR(__xludf.DUMMYFUNCTION("TEXTJOIN("", "",TRUE,UNIQUE(FILTER('Data Master'!$B$2:$B1570,'Data Master'!$E$2:$E1570=A151)))"),"petani")</f>
        <v>petani</v>
      </c>
    </row>
    <row r="152" hidden="1">
      <c r="C152" s="40" t="str">
        <f>IFERROR(__xludf.DUMMYFUNCTION("TEXTJOIN("", "",TRUE,UNIQUE(FILTER('Data Master'!$B$2:$B1570,'Data Master'!$E$2:$E1570=A152)))"),"petani")</f>
        <v>petani</v>
      </c>
    </row>
    <row r="153" hidden="1">
      <c r="C153" s="40" t="str">
        <f>IFERROR(__xludf.DUMMYFUNCTION("TEXTJOIN("", "",TRUE,UNIQUE(FILTER('Data Master'!$B$2:$B1570,'Data Master'!$E$2:$E1570=A153)))"),"petani")</f>
        <v>petani</v>
      </c>
    </row>
    <row r="154" hidden="1">
      <c r="C154" s="40" t="str">
        <f>IFERROR(__xludf.DUMMYFUNCTION("TEXTJOIN("", "",TRUE,UNIQUE(FILTER('Data Master'!$B$2:$B1570,'Data Master'!$E$2:$E1570=A154)))"),"petani")</f>
        <v>petani</v>
      </c>
    </row>
    <row r="155" hidden="1">
      <c r="C155" s="40" t="str">
        <f>IFERROR(__xludf.DUMMYFUNCTION("TEXTJOIN("", "",TRUE,UNIQUE(FILTER('Data Master'!$B$2:$B1570,'Data Master'!$E$2:$E1570=A155)))"),"petani")</f>
        <v>petani</v>
      </c>
    </row>
    <row r="156" hidden="1">
      <c r="C156" s="40" t="str">
        <f>IFERROR(__xludf.DUMMYFUNCTION("TEXTJOIN("", "",TRUE,UNIQUE(FILTER('Data Master'!$B$2:$B1570,'Data Master'!$E$2:$E1570=A156)))"),"petani")</f>
        <v>petani</v>
      </c>
    </row>
    <row r="157" hidden="1">
      <c r="C157" s="40" t="str">
        <f>IFERROR(__xludf.DUMMYFUNCTION("TEXTJOIN("", "",TRUE,UNIQUE(FILTER('Data Master'!$B$2:$B1570,'Data Master'!$E$2:$E1570=A157)))"),"petani")</f>
        <v>petani</v>
      </c>
    </row>
    <row r="158" hidden="1">
      <c r="C158" s="40" t="str">
        <f>IFERROR(__xludf.DUMMYFUNCTION("TEXTJOIN("", "",TRUE,UNIQUE(FILTER('Data Master'!$B$2:$B1570,'Data Master'!$E$2:$E1570=A158)))"),"petani")</f>
        <v>petani</v>
      </c>
    </row>
    <row r="159" hidden="1">
      <c r="C159" s="40" t="str">
        <f>IFERROR(__xludf.DUMMYFUNCTION("TEXTJOIN("", "",TRUE,UNIQUE(FILTER('Data Master'!$B$2:$B1570,'Data Master'!$E$2:$E1570=A159)))"),"petani")</f>
        <v>petani</v>
      </c>
    </row>
    <row r="160" hidden="1">
      <c r="C160" s="40" t="str">
        <f>IFERROR(__xludf.DUMMYFUNCTION("TEXTJOIN("", "",TRUE,UNIQUE(FILTER('Data Master'!$B$2:$B1570,'Data Master'!$E$2:$E1570=A160)))"),"petani")</f>
        <v>petani</v>
      </c>
    </row>
    <row r="161" hidden="1">
      <c r="C161" s="40" t="str">
        <f>IFERROR(__xludf.DUMMYFUNCTION("TEXTJOIN("", "",TRUE,UNIQUE(FILTER('Data Master'!$B$2:$B1570,'Data Master'!$E$2:$E1570=A161)))"),"petani")</f>
        <v>petani</v>
      </c>
    </row>
    <row r="162" hidden="1">
      <c r="C162" s="40" t="str">
        <f>IFERROR(__xludf.DUMMYFUNCTION("TEXTJOIN("", "",TRUE,UNIQUE(FILTER('Data Master'!$B$2:$B1570,'Data Master'!$E$2:$E1570=A162)))"),"petani")</f>
        <v>petani</v>
      </c>
    </row>
    <row r="163" hidden="1">
      <c r="C163" s="40" t="str">
        <f>IFERROR(__xludf.DUMMYFUNCTION("TEXTJOIN("", "",TRUE,UNIQUE(FILTER('Data Master'!$B$2:$B1570,'Data Master'!$E$2:$E1570=A163)))"),"petani")</f>
        <v>petani</v>
      </c>
    </row>
    <row r="164" hidden="1">
      <c r="C164" s="40" t="str">
        <f>IFERROR(__xludf.DUMMYFUNCTION("TEXTJOIN("", "",TRUE,UNIQUE(FILTER('Data Master'!$B$2:$B1570,'Data Master'!$E$2:$E1570=A164)))"),"petani")</f>
        <v>petani</v>
      </c>
    </row>
    <row r="165" hidden="1">
      <c r="C165" s="40" t="str">
        <f>IFERROR(__xludf.DUMMYFUNCTION("TEXTJOIN("", "",TRUE,UNIQUE(FILTER('Data Master'!$B$2:$B1570,'Data Master'!$E$2:$E1570=A165)))"),"petani")</f>
        <v>petani</v>
      </c>
    </row>
    <row r="166" hidden="1">
      <c r="C166" s="40" t="str">
        <f>IFERROR(__xludf.DUMMYFUNCTION("TEXTJOIN("", "",TRUE,UNIQUE(FILTER('Data Master'!$B$2:$B1570,'Data Master'!$E$2:$E1570=A166)))"),"petani")</f>
        <v>petani</v>
      </c>
    </row>
    <row r="167" hidden="1">
      <c r="C167" s="40" t="str">
        <f>IFERROR(__xludf.DUMMYFUNCTION("TEXTJOIN("", "",TRUE,UNIQUE(FILTER('Data Master'!$B$2:$B1570,'Data Master'!$E$2:$E1570=A167)))"),"petani")</f>
        <v>petani</v>
      </c>
    </row>
    <row r="168" hidden="1">
      <c r="C168" s="40" t="str">
        <f>IFERROR(__xludf.DUMMYFUNCTION("TEXTJOIN("", "",TRUE,UNIQUE(FILTER('Data Master'!$B$2:$B1570,'Data Master'!$E$2:$E1570=A168)))"),"petani")</f>
        <v>petani</v>
      </c>
    </row>
    <row r="169">
      <c r="C169" s="43" t="str">
        <f>IFERROR(__xludf.DUMMYFUNCTION("TEXTJOIN("", "",TRUE,UNIQUE(FILTER('Data Master'!$B$2:$B1570,'Data Master'!$E$2:$E1570=A169)))"),"penyuluh")</f>
        <v>penyuluh</v>
      </c>
    </row>
    <row r="170" hidden="1">
      <c r="C170" s="40" t="str">
        <f>IFERROR(__xludf.DUMMYFUNCTION("TEXTJOIN("", "",TRUE,UNIQUE(FILTER('Data Master'!$B$2:$B1570,'Data Master'!$E$2:$E1570=A170)))"),"petani")</f>
        <v>petani</v>
      </c>
    </row>
    <row r="171" hidden="1">
      <c r="C171" s="40" t="str">
        <f>IFERROR(__xludf.DUMMYFUNCTION("TEXTJOIN("", "",TRUE,UNIQUE(FILTER('Data Master'!$B$2:$B1570,'Data Master'!$E$2:$E1570=A171)))"),"petani")</f>
        <v>petani</v>
      </c>
    </row>
    <row r="172" hidden="1">
      <c r="C172" s="40" t="str">
        <f>IFERROR(__xludf.DUMMYFUNCTION("TEXTJOIN("", "",TRUE,UNIQUE(FILTER('Data Master'!$B$2:$B1570,'Data Master'!$E$2:$E1570=A172)))"),"petani")</f>
        <v>petani</v>
      </c>
    </row>
    <row r="173" hidden="1">
      <c r="C173" s="40" t="str">
        <f>IFERROR(__xludf.DUMMYFUNCTION("TEXTJOIN("", "",TRUE,UNIQUE(FILTER('Data Master'!$B$2:$B1570,'Data Master'!$E$2:$E1570=A173)))"),"penyuluh")</f>
        <v>penyuluh</v>
      </c>
    </row>
    <row r="174" hidden="1">
      <c r="C174" s="40" t="str">
        <f>IFERROR(__xludf.DUMMYFUNCTION("TEXTJOIN("", "",TRUE,UNIQUE(FILTER('Data Master'!$B$2:$B1570,'Data Master'!$E$2:$E1570=A174)))"),"petani")</f>
        <v>petani</v>
      </c>
    </row>
    <row r="175" hidden="1">
      <c r="C175" s="40" t="str">
        <f>IFERROR(__xludf.DUMMYFUNCTION("TEXTJOIN("", "",TRUE,UNIQUE(FILTER('Data Master'!$B$2:$B1570,'Data Master'!$E$2:$E1570=A175)))"),"petani")</f>
        <v>petani</v>
      </c>
    </row>
    <row r="176" hidden="1">
      <c r="C176" s="40" t="str">
        <f>IFERROR(__xludf.DUMMYFUNCTION("TEXTJOIN("", "",TRUE,UNIQUE(FILTER('Data Master'!$B$2:$B1570,'Data Master'!$E$2:$E1570=A176)))"),"petani")</f>
        <v>petani</v>
      </c>
    </row>
    <row r="177" hidden="1">
      <c r="C177" s="40" t="str">
        <f>IFERROR(__xludf.DUMMYFUNCTION("TEXTJOIN("", "",TRUE,UNIQUE(FILTER('Data Master'!$B$2:$B1570,'Data Master'!$E$2:$E1570=A177)))"),"petani")</f>
        <v>petani</v>
      </c>
    </row>
    <row r="178" hidden="1">
      <c r="C178" s="40" t="str">
        <f>IFERROR(__xludf.DUMMYFUNCTION("TEXTJOIN("", "",TRUE,UNIQUE(FILTER('Data Master'!$B$2:$B1570,'Data Master'!$E$2:$E1570=A178)))"),"petani")</f>
        <v>petani</v>
      </c>
    </row>
    <row r="179" hidden="1">
      <c r="C179" s="40" t="str">
        <f>IFERROR(__xludf.DUMMYFUNCTION("TEXTJOIN("", "",TRUE,UNIQUE(FILTER('Data Master'!$B$2:$B1570,'Data Master'!$E$2:$E1570=A179)))"),"petani")</f>
        <v>petani</v>
      </c>
    </row>
    <row r="180" hidden="1">
      <c r="C180" s="40" t="str">
        <f>IFERROR(__xludf.DUMMYFUNCTION("TEXTJOIN("", "",TRUE,UNIQUE(FILTER('Data Master'!$B$2:$B1570,'Data Master'!$E$2:$E1570=A180)))"),"petani")</f>
        <v>petani</v>
      </c>
    </row>
    <row r="181" hidden="1">
      <c r="C181" s="40" t="str">
        <f>IFERROR(__xludf.DUMMYFUNCTION("TEXTJOIN("", "",TRUE,UNIQUE(FILTER('Data Master'!$B$2:$B1570,'Data Master'!$E$2:$E1570=A181)))"),"petani")</f>
        <v>petani</v>
      </c>
    </row>
    <row r="182" hidden="1">
      <c r="C182" s="40" t="str">
        <f>IFERROR(__xludf.DUMMYFUNCTION("TEXTJOIN("", "",TRUE,UNIQUE(FILTER('Data Master'!$B$2:$B1570,'Data Master'!$E$2:$E1570=A182)))"),"petani")</f>
        <v>petani</v>
      </c>
    </row>
    <row r="183" hidden="1">
      <c r="C183" s="40" t="str">
        <f>IFERROR(__xludf.DUMMYFUNCTION("TEXTJOIN("", "",TRUE,UNIQUE(FILTER('Data Master'!$B$2:$B1570,'Data Master'!$E$2:$E1570=A183)))"),"petani")</f>
        <v>petani</v>
      </c>
    </row>
    <row r="184" hidden="1">
      <c r="C184" s="40" t="str">
        <f>IFERROR(__xludf.DUMMYFUNCTION("TEXTJOIN("", "",TRUE,UNIQUE(FILTER('Data Master'!$B$2:$B1570,'Data Master'!$E$2:$E1570=A184)))"),"petani")</f>
        <v>petani</v>
      </c>
    </row>
    <row r="185" hidden="1">
      <c r="C185" s="40" t="str">
        <f>IFERROR(__xludf.DUMMYFUNCTION("TEXTJOIN("", "",TRUE,UNIQUE(FILTER('Data Master'!$B$2:$B1570,'Data Master'!$E$2:$E1570=A185)))"),"penyuluh")</f>
        <v>penyuluh</v>
      </c>
    </row>
    <row r="186" hidden="1">
      <c r="C186" s="40" t="str">
        <f>IFERROR(__xludf.DUMMYFUNCTION("TEXTJOIN("", "",TRUE,UNIQUE(FILTER('Data Master'!$B$2:$B1570,'Data Master'!$E$2:$E1570=A186)))"),"penyuluh")</f>
        <v>penyuluh</v>
      </c>
    </row>
    <row r="187" hidden="1">
      <c r="C187" s="40" t="str">
        <f>IFERROR(__xludf.DUMMYFUNCTION("TEXTJOIN("", "",TRUE,UNIQUE(FILTER('Data Master'!$B$2:$B1570,'Data Master'!$E$2:$E1570=A187)))"),"petani")</f>
        <v>petani</v>
      </c>
    </row>
    <row r="188" hidden="1">
      <c r="C188" s="40" t="str">
        <f>IFERROR(__xludf.DUMMYFUNCTION("TEXTJOIN("", "",TRUE,UNIQUE(FILTER('Data Master'!$B$2:$B1570,'Data Master'!$E$2:$E1570=A188)))"),"petani")</f>
        <v>petani</v>
      </c>
    </row>
    <row r="189" hidden="1">
      <c r="C189" s="40" t="str">
        <f>IFERROR(__xludf.DUMMYFUNCTION("TEXTJOIN("", "",TRUE,UNIQUE(FILTER('Data Master'!$B$2:$B1570,'Data Master'!$E$2:$E1570=A189)))"),"petani")</f>
        <v>petani</v>
      </c>
    </row>
    <row r="190" hidden="1">
      <c r="C190" s="40" t="str">
        <f>IFERROR(__xludf.DUMMYFUNCTION("TEXTJOIN("", "",TRUE,UNIQUE(FILTER('Data Master'!$B$2:$B1570,'Data Master'!$E$2:$E1570=A190)))"),"petani")</f>
        <v>petani</v>
      </c>
    </row>
    <row r="191" hidden="1">
      <c r="C191" s="40" t="str">
        <f>IFERROR(__xludf.DUMMYFUNCTION("TEXTJOIN("", "",TRUE,UNIQUE(FILTER('Data Master'!$B$2:$B1570,'Data Master'!$E$2:$E1570=A191)))"),"petani")</f>
        <v>petani</v>
      </c>
    </row>
    <row r="192" hidden="1">
      <c r="C192" s="40" t="str">
        <f>IFERROR(__xludf.DUMMYFUNCTION("TEXTJOIN("", "",TRUE,UNIQUE(FILTER('Data Master'!$B$2:$B1570,'Data Master'!$E$2:$E1570=A192)))"),"petani")</f>
        <v>petani</v>
      </c>
    </row>
    <row r="193" hidden="1">
      <c r="C193" s="40" t="str">
        <f>IFERROR(__xludf.DUMMYFUNCTION("TEXTJOIN("", "",TRUE,UNIQUE(FILTER('Data Master'!$B$2:$B1570,'Data Master'!$E$2:$E1570=A193)))"),"petani")</f>
        <v>petani</v>
      </c>
    </row>
    <row r="194" hidden="1">
      <c r="C194" s="40" t="str">
        <f>IFERROR(__xludf.DUMMYFUNCTION("TEXTJOIN("", "",TRUE,UNIQUE(FILTER('Data Master'!$B$2:$B1570,'Data Master'!$E$2:$E1570=A194)))"),"petani")</f>
        <v>petani</v>
      </c>
    </row>
    <row r="195" hidden="1">
      <c r="C195" s="40" t="str">
        <f>IFERROR(__xludf.DUMMYFUNCTION("TEXTJOIN("", "",TRUE,UNIQUE(FILTER('Data Master'!$B$2:$B1570,'Data Master'!$E$2:$E1570=A195)))"),"penyuluh")</f>
        <v>penyuluh</v>
      </c>
    </row>
    <row r="196" hidden="1">
      <c r="C196" s="40" t="str">
        <f>IFERROR(__xludf.DUMMYFUNCTION("TEXTJOIN("", "",TRUE,UNIQUE(FILTER('Data Master'!$B$2:$B1570,'Data Master'!$E$2:$E1570=A196)))"),"petani")</f>
        <v>petani</v>
      </c>
    </row>
    <row r="197">
      <c r="C197" s="43" t="str">
        <f>IFERROR(__xludf.DUMMYFUNCTION("TEXTJOIN("", "",TRUE,UNIQUE(FILTER('Data Master'!$B$2:$B1570,'Data Master'!$E$2:$E1570=A197)))"),"penyuluh")</f>
        <v>penyuluh</v>
      </c>
    </row>
    <row r="198" hidden="1">
      <c r="C198" s="40" t="str">
        <f>IFERROR(__xludf.DUMMYFUNCTION("TEXTJOIN("", "",TRUE,UNIQUE(FILTER('Data Master'!$B$2:$B1570,'Data Master'!$E$2:$E1570=A198)))"),"petani")</f>
        <v>petani</v>
      </c>
    </row>
    <row r="199" hidden="1">
      <c r="C199" s="40" t="str">
        <f>IFERROR(__xludf.DUMMYFUNCTION("TEXTJOIN("", "",TRUE,UNIQUE(FILTER('Data Master'!$B$2:$B1570,'Data Master'!$E$2:$E1570=A199)))"),"petani")</f>
        <v>petani</v>
      </c>
    </row>
    <row r="200" hidden="1">
      <c r="C200" s="40" t="str">
        <f>IFERROR(__xludf.DUMMYFUNCTION("TEXTJOIN("", "",TRUE,UNIQUE(FILTER('Data Master'!$B$2:$B1570,'Data Master'!$E$2:$E1570=A200)))"),"operator admin")</f>
        <v>operator admin</v>
      </c>
    </row>
    <row r="201" hidden="1">
      <c r="C201" s="40" t="str">
        <f>IFERROR(__xludf.DUMMYFUNCTION("TEXTJOIN("", "",TRUE,UNIQUE(FILTER('Data Master'!$B$2:$B1570,'Data Master'!$E$2:$E1570=A201)))"),"petani")</f>
        <v>petani</v>
      </c>
    </row>
    <row r="202" hidden="1">
      <c r="C202" s="40" t="str">
        <f>IFERROR(__xludf.DUMMYFUNCTION("TEXTJOIN("", "",TRUE,UNIQUE(FILTER('Data Master'!$B$2:$B1570,'Data Master'!$E$2:$E1570=A202)))"),"petani")</f>
        <v>petani</v>
      </c>
    </row>
    <row r="203" hidden="1">
      <c r="C203" s="40" t="str">
        <f>IFERROR(__xludf.DUMMYFUNCTION("TEXTJOIN("", "",TRUE,UNIQUE(FILTER('Data Master'!$B$2:$B1570,'Data Master'!$E$2:$E1570=A203)))"),"penyuluh")</f>
        <v>penyuluh</v>
      </c>
    </row>
    <row r="204" hidden="1">
      <c r="C204" s="40" t="str">
        <f>IFERROR(__xludf.DUMMYFUNCTION("TEXTJOIN("", "",TRUE,UNIQUE(FILTER('Data Master'!$B$2:$B1570,'Data Master'!$E$2:$E1570=A204)))"),"petani")</f>
        <v>petani</v>
      </c>
    </row>
    <row r="205">
      <c r="C205" s="43" t="str">
        <f>IFERROR(__xludf.DUMMYFUNCTION("TEXTJOIN("", "",TRUE,UNIQUE(FILTER('Data Master'!$B$2:$B1570,'Data Master'!$E$2:$E1570=A205)))"),"penyuluh")</f>
        <v>penyuluh</v>
      </c>
    </row>
    <row r="206" hidden="1">
      <c r="C206" s="40" t="str">
        <f>IFERROR(__xludf.DUMMYFUNCTION("TEXTJOIN("", "",TRUE,UNIQUE(FILTER('Data Master'!$B$2:$B1570,'Data Master'!$E$2:$E1570=A206)))"),"petani")</f>
        <v>petani</v>
      </c>
    </row>
    <row r="207" hidden="1">
      <c r="C207" s="40" t="str">
        <f>IFERROR(__xludf.DUMMYFUNCTION("TEXTJOIN("", "",TRUE,UNIQUE(FILTER('Data Master'!$B$2:$B1570,'Data Master'!$E$2:$E1570=A207)))"),"petani")</f>
        <v>petani</v>
      </c>
    </row>
    <row r="208" hidden="1">
      <c r="C208" s="40" t="str">
        <f>IFERROR(__xludf.DUMMYFUNCTION("TEXTJOIN("", "",TRUE,UNIQUE(FILTER('Data Master'!$B$2:$B1570,'Data Master'!$E$2:$E1570=A208)))"),"petani")</f>
        <v>petani</v>
      </c>
    </row>
    <row r="209" hidden="1">
      <c r="C209" s="40" t="str">
        <f>IFERROR(__xludf.DUMMYFUNCTION("TEXTJOIN("", "",TRUE,UNIQUE(FILTER('Data Master'!$B$2:$B1570,'Data Master'!$E$2:$E1570=A209)))"),"petani")</f>
        <v>petani</v>
      </c>
    </row>
    <row r="210" hidden="1">
      <c r="C210" s="40" t="str">
        <f>IFERROR(__xludf.DUMMYFUNCTION("TEXTJOIN("", "",TRUE,UNIQUE(FILTER('Data Master'!$B$2:$B1570,'Data Master'!$E$2:$E1570=A210)))"),"petani")</f>
        <v>petani</v>
      </c>
    </row>
    <row r="211" hidden="1">
      <c r="C211" s="40" t="str">
        <f>IFERROR(__xludf.DUMMYFUNCTION("TEXTJOIN("", "",TRUE,UNIQUE(FILTER('Data Master'!$B$2:$B1570,'Data Master'!$E$2:$E1570=A211)))"),"penyuluh")</f>
        <v>penyuluh</v>
      </c>
    </row>
    <row r="212" hidden="1">
      <c r="C212" s="40" t="str">
        <f>IFERROR(__xludf.DUMMYFUNCTION("TEXTJOIN("", "",TRUE,UNIQUE(FILTER('Data Master'!$B$2:$B1570,'Data Master'!$E$2:$E1570=A212)))"),"petani")</f>
        <v>petani</v>
      </c>
    </row>
    <row r="213" hidden="1">
      <c r="C213" s="40" t="str">
        <f>IFERROR(__xludf.DUMMYFUNCTION("TEXTJOIN("", "",TRUE,UNIQUE(FILTER('Data Master'!$B$2:$B1570,'Data Master'!$E$2:$E1570=A213)))"),"petani")</f>
        <v>petani</v>
      </c>
    </row>
    <row r="214" hidden="1">
      <c r="C214" s="40" t="str">
        <f>IFERROR(__xludf.DUMMYFUNCTION("TEXTJOIN("", "",TRUE,UNIQUE(FILTER('Data Master'!$B$2:$B1570,'Data Master'!$E$2:$E1570=A214)))"),"penyuluh")</f>
        <v>penyuluh</v>
      </c>
    </row>
    <row r="215" hidden="1">
      <c r="C215" s="40" t="str">
        <f>IFERROR(__xludf.DUMMYFUNCTION("TEXTJOIN("", "",TRUE,UNIQUE(FILTER('Data Master'!$B$2:$B1570,'Data Master'!$E$2:$E1570=A215)))"),"petani")</f>
        <v>petani</v>
      </c>
    </row>
    <row r="216" hidden="1">
      <c r="C216" s="40" t="str">
        <f>IFERROR(__xludf.DUMMYFUNCTION("TEXTJOIN("", "",TRUE,UNIQUE(FILTER('Data Master'!$B$2:$B1570,'Data Master'!$E$2:$E1570=A216)))"),"petani")</f>
        <v>petani</v>
      </c>
    </row>
    <row r="217" hidden="1">
      <c r="C217" s="40" t="str">
        <f>IFERROR(__xludf.DUMMYFUNCTION("TEXTJOIN("", "",TRUE,UNIQUE(FILTER('Data Master'!$B$2:$B1570,'Data Master'!$E$2:$E1570=A217)))"),"petani")</f>
        <v>petani</v>
      </c>
    </row>
    <row r="218" hidden="1">
      <c r="C218" s="40" t="str">
        <f>IFERROR(__xludf.DUMMYFUNCTION("TEXTJOIN("", "",TRUE,UNIQUE(FILTER('Data Master'!$B$2:$B1570,'Data Master'!$E$2:$E1570=A218)))"),"petani")</f>
        <v>petani</v>
      </c>
    </row>
    <row r="219" hidden="1">
      <c r="C219" s="40" t="str">
        <f>IFERROR(__xludf.DUMMYFUNCTION("TEXTJOIN("", "",TRUE,UNIQUE(FILTER('Data Master'!$B$2:$B1570,'Data Master'!$E$2:$E1570=A219)))"),"petani")</f>
        <v>petani</v>
      </c>
    </row>
    <row r="220" hidden="1">
      <c r="C220" s="40" t="str">
        <f>IFERROR(__xludf.DUMMYFUNCTION("TEXTJOIN("", "",TRUE,UNIQUE(FILTER('Data Master'!$B$2:$B1570,'Data Master'!$E$2:$E1570=A220)))"),"petani")</f>
        <v>petani</v>
      </c>
    </row>
    <row r="221" hidden="1">
      <c r="C221" s="40" t="str">
        <f>IFERROR(__xludf.DUMMYFUNCTION("TEXTJOIN("", "",TRUE,UNIQUE(FILTER('Data Master'!$B$2:$B1570,'Data Master'!$E$2:$E1570=A221)))"),"petani")</f>
        <v>petani</v>
      </c>
    </row>
    <row r="222" hidden="1">
      <c r="C222" s="40" t="str">
        <f>IFERROR(__xludf.DUMMYFUNCTION("TEXTJOIN("", "",TRUE,UNIQUE(FILTER('Data Master'!$B$2:$B1570,'Data Master'!$E$2:$E1570=A222)))"),"petani")</f>
        <v>petani</v>
      </c>
    </row>
    <row r="223" hidden="1">
      <c r="C223" s="40" t="str">
        <f>IFERROR(__xludf.DUMMYFUNCTION("TEXTJOIN("", "",TRUE,UNIQUE(FILTER('Data Master'!$B$2:$B1570,'Data Master'!$E$2:$E1570=A223)))"),"petani")</f>
        <v>petani</v>
      </c>
    </row>
    <row r="224" hidden="1">
      <c r="C224" s="40" t="str">
        <f>IFERROR(__xludf.DUMMYFUNCTION("TEXTJOIN("", "",TRUE,UNIQUE(FILTER('Data Master'!$B$2:$B1570,'Data Master'!$E$2:$E1570=A224)))"),"petani")</f>
        <v>petani</v>
      </c>
    </row>
    <row r="225" hidden="1">
      <c r="C225" s="40" t="str">
        <f>IFERROR(__xludf.DUMMYFUNCTION("TEXTJOIN("", "",TRUE,UNIQUE(FILTER('Data Master'!$B$2:$B1570,'Data Master'!$E$2:$E1570=A225)))"),"petani")</f>
        <v>petani</v>
      </c>
    </row>
    <row r="226" hidden="1">
      <c r="C226" s="40" t="str">
        <f>IFERROR(__xludf.DUMMYFUNCTION("TEXTJOIN("", "",TRUE,UNIQUE(FILTER('Data Master'!$B$2:$B1570,'Data Master'!$E$2:$E1570=A226)))"),"petani")</f>
        <v>petani</v>
      </c>
    </row>
    <row r="227" hidden="1">
      <c r="C227" s="40" t="str">
        <f>IFERROR(__xludf.DUMMYFUNCTION("TEXTJOIN("", "",TRUE,UNIQUE(FILTER('Data Master'!$B$2:$B1570,'Data Master'!$E$2:$E1570=A227)))"),"petani")</f>
        <v>petani</v>
      </c>
    </row>
    <row r="228" hidden="1">
      <c r="C228" s="40" t="str">
        <f>IFERROR(__xludf.DUMMYFUNCTION("TEXTJOIN("", "",TRUE,UNIQUE(FILTER('Data Master'!$B$2:$B1570,'Data Master'!$E$2:$E1570=A228)))"),"petani")</f>
        <v>petani</v>
      </c>
    </row>
    <row r="229" hidden="1">
      <c r="C229" s="40" t="str">
        <f>IFERROR(__xludf.DUMMYFUNCTION("TEXTJOIN("", "",TRUE,UNIQUE(FILTER('Data Master'!$B$2:$B1570,'Data Master'!$E$2:$E1570=A229)))"),"petani")</f>
        <v>petani</v>
      </c>
    </row>
    <row r="230" hidden="1">
      <c r="C230" s="40" t="str">
        <f>IFERROR(__xludf.DUMMYFUNCTION("TEXTJOIN("", "",TRUE,UNIQUE(FILTER('Data Master'!$B$2:$B1570,'Data Master'!$E$2:$E1570=A230)))"),"petani")</f>
        <v>petani</v>
      </c>
    </row>
    <row r="231" hidden="1">
      <c r="C231" s="40" t="str">
        <f>IFERROR(__xludf.DUMMYFUNCTION("TEXTJOIN("", "",TRUE,UNIQUE(FILTER('Data Master'!$B$2:$B1570,'Data Master'!$E$2:$E1570=A231)))"),"petani")</f>
        <v>petani</v>
      </c>
    </row>
    <row r="232" hidden="1">
      <c r="C232" s="40" t="str">
        <f>IFERROR(__xludf.DUMMYFUNCTION("TEXTJOIN("", "",TRUE,UNIQUE(FILTER('Data Master'!$B$2:$B1570,'Data Master'!$E$2:$E1570=A232)))"),"petani")</f>
        <v>petani</v>
      </c>
    </row>
    <row r="233" hidden="1">
      <c r="C233" s="40" t="str">
        <f>IFERROR(__xludf.DUMMYFUNCTION("TEXTJOIN("", "",TRUE,UNIQUE(FILTER('Data Master'!$B$2:$B1570,'Data Master'!$E$2:$E1570=A233)))"),"petani")</f>
        <v>petani</v>
      </c>
    </row>
    <row r="234" hidden="1">
      <c r="C234" s="40" t="str">
        <f>IFERROR(__xludf.DUMMYFUNCTION("TEXTJOIN("", "",TRUE,UNIQUE(FILTER('Data Master'!$B$2:$B1570,'Data Master'!$E$2:$E1570=A234)))"),"petani")</f>
        <v>petani</v>
      </c>
    </row>
    <row r="235" hidden="1">
      <c r="C235" s="40" t="str">
        <f>IFERROR(__xludf.DUMMYFUNCTION("TEXTJOIN("", "",TRUE,UNIQUE(FILTER('Data Master'!$B$2:$B1570,'Data Master'!$E$2:$E1570=A235)))"),"penyuluh")</f>
        <v>penyuluh</v>
      </c>
    </row>
    <row r="236" hidden="1">
      <c r="C236" s="40" t="str">
        <f>IFERROR(__xludf.DUMMYFUNCTION("TEXTJOIN("", "",TRUE,UNIQUE(FILTER('Data Master'!$B$2:$B1570,'Data Master'!$E$2:$E1570=A236)))"),"petani")</f>
        <v>petani</v>
      </c>
    </row>
    <row r="237" hidden="1">
      <c r="C237" s="40" t="str">
        <f>IFERROR(__xludf.DUMMYFUNCTION("TEXTJOIN("", "",TRUE,UNIQUE(FILTER('Data Master'!$B$2:$B1570,'Data Master'!$E$2:$E1570=A237)))"),"petani")</f>
        <v>petani</v>
      </c>
    </row>
    <row r="238" hidden="1">
      <c r="C238" s="40" t="str">
        <f>IFERROR(__xludf.DUMMYFUNCTION("TEXTJOIN("", "",TRUE,UNIQUE(FILTER('Data Master'!$B$2:$B1570,'Data Master'!$E$2:$E1570=A238)))"),"petani")</f>
        <v>petani</v>
      </c>
    </row>
    <row r="239" hidden="1">
      <c r="C239" s="40" t="str">
        <f>IFERROR(__xludf.DUMMYFUNCTION("TEXTJOIN("", "",TRUE,UNIQUE(FILTER('Data Master'!$B$2:$B1570,'Data Master'!$E$2:$E1570=A239)))"),"petani")</f>
        <v>petani</v>
      </c>
    </row>
    <row r="240" hidden="1">
      <c r="C240" s="40" t="str">
        <f>IFERROR(__xludf.DUMMYFUNCTION("TEXTJOIN("", "",TRUE,UNIQUE(FILTER('Data Master'!$B$2:$B1570,'Data Master'!$E$2:$E1570=A240)))"),"penyuluh")</f>
        <v>penyuluh</v>
      </c>
    </row>
    <row r="241" hidden="1">
      <c r="C241" s="40" t="str">
        <f>IFERROR(__xludf.DUMMYFUNCTION("TEXTJOIN("", "",TRUE,UNIQUE(FILTER('Data Master'!$B$2:$B1570,'Data Master'!$E$2:$E1570=A241)))"),"petani")</f>
        <v>petani</v>
      </c>
    </row>
    <row r="242" hidden="1">
      <c r="C242" s="40" t="str">
        <f>IFERROR(__xludf.DUMMYFUNCTION("TEXTJOIN("", "",TRUE,UNIQUE(FILTER('Data Master'!$B$2:$B1570,'Data Master'!$E$2:$E1570=A242)))"),"penyuluh")</f>
        <v>penyuluh</v>
      </c>
    </row>
    <row r="243" hidden="1">
      <c r="C243" s="40" t="str">
        <f>IFERROR(__xludf.DUMMYFUNCTION("TEXTJOIN("", "",TRUE,UNIQUE(FILTER('Data Master'!$B$2:$B1570,'Data Master'!$E$2:$E1570=A243)))"),"petani")</f>
        <v>petani</v>
      </c>
    </row>
    <row r="244" hidden="1">
      <c r="C244" s="40" t="str">
        <f>IFERROR(__xludf.DUMMYFUNCTION("TEXTJOIN("", "",TRUE,UNIQUE(FILTER('Data Master'!$B$2:$B1570,'Data Master'!$E$2:$E1570=A244)))"),"petani")</f>
        <v>petani</v>
      </c>
    </row>
    <row r="245" hidden="1">
      <c r="C245" s="40" t="str">
        <f>IFERROR(__xludf.DUMMYFUNCTION("TEXTJOIN("", "",TRUE,UNIQUE(FILTER('Data Master'!$B$2:$B1570,'Data Master'!$E$2:$E1570=A245)))"),"petani")</f>
        <v>petani</v>
      </c>
    </row>
    <row r="246" hidden="1">
      <c r="C246" s="40" t="str">
        <f>IFERROR(__xludf.DUMMYFUNCTION("TEXTJOIN("", "",TRUE,UNIQUE(FILTER('Data Master'!$B$2:$B1570,'Data Master'!$E$2:$E1570=A246)))"),"petani")</f>
        <v>petani</v>
      </c>
    </row>
    <row r="247" hidden="1">
      <c r="C247" s="40" t="str">
        <f>IFERROR(__xludf.DUMMYFUNCTION("TEXTJOIN("", "",TRUE,UNIQUE(FILTER('Data Master'!$B$2:$B1570,'Data Master'!$E$2:$E1570=A247)))"),"petani")</f>
        <v>petani</v>
      </c>
    </row>
    <row r="248" hidden="1">
      <c r="C248" s="40" t="str">
        <f>IFERROR(__xludf.DUMMYFUNCTION("TEXTJOIN("", "",TRUE,UNIQUE(FILTER('Data Master'!$B$2:$B1570,'Data Master'!$E$2:$E1570=A248)))"),"petani")</f>
        <v>petani</v>
      </c>
    </row>
    <row r="249" hidden="1">
      <c r="C249" s="40" t="str">
        <f>IFERROR(__xludf.DUMMYFUNCTION("TEXTJOIN("", "",TRUE,UNIQUE(FILTER('Data Master'!$B$2:$B1570,'Data Master'!$E$2:$E1570=A249)))"),"petani")</f>
        <v>petani</v>
      </c>
    </row>
    <row r="250" hidden="1">
      <c r="C250" s="40" t="str">
        <f>IFERROR(__xludf.DUMMYFUNCTION("TEXTJOIN("", "",TRUE,UNIQUE(FILTER('Data Master'!$B$2:$B1570,'Data Master'!$E$2:$E1570=A250)))"),"penyuluh")</f>
        <v>penyuluh</v>
      </c>
    </row>
    <row r="251" hidden="1">
      <c r="C251" s="40" t="str">
        <f>IFERROR(__xludf.DUMMYFUNCTION("TEXTJOIN("", "",TRUE,UNIQUE(FILTER('Data Master'!$B$2:$B1570,'Data Master'!$E$2:$E1570=A251)))"),"penyuluh")</f>
        <v>penyuluh</v>
      </c>
    </row>
    <row r="252" hidden="1">
      <c r="C252" s="40" t="str">
        <f>IFERROR(__xludf.DUMMYFUNCTION("TEXTJOIN("", "",TRUE,UNIQUE(FILTER('Data Master'!$B$2:$B1570,'Data Master'!$E$2:$E1570=A252)))"),"petani")</f>
        <v>petani</v>
      </c>
    </row>
    <row r="253" hidden="1">
      <c r="C253" s="40" t="str">
        <f>IFERROR(__xludf.DUMMYFUNCTION("TEXTJOIN("", "",TRUE,UNIQUE(FILTER('Data Master'!$B$2:$B1570,'Data Master'!$E$2:$E1570=A253)))"),"petani")</f>
        <v>petani</v>
      </c>
    </row>
    <row r="254" hidden="1">
      <c r="C254" s="40" t="str">
        <f>IFERROR(__xludf.DUMMYFUNCTION("TEXTJOIN("", "",TRUE,UNIQUE(FILTER('Data Master'!$B$2:$B1570,'Data Master'!$E$2:$E1570=A254)))"),"petani")</f>
        <v>petani</v>
      </c>
    </row>
    <row r="255" hidden="1">
      <c r="C255" s="40" t="str">
        <f>IFERROR(__xludf.DUMMYFUNCTION("TEXTJOIN("", "",TRUE,UNIQUE(FILTER('Data Master'!$B$2:$B1570,'Data Master'!$E$2:$E1570=A255)))"),"petani")</f>
        <v>petani</v>
      </c>
    </row>
    <row r="256" hidden="1">
      <c r="C256" s="40" t="str">
        <f>IFERROR(__xludf.DUMMYFUNCTION("TEXTJOIN("", "",TRUE,UNIQUE(FILTER('Data Master'!$B$2:$B1570,'Data Master'!$E$2:$E1570=A256)))"),"petani")</f>
        <v>petani</v>
      </c>
    </row>
    <row r="257" hidden="1">
      <c r="C257" s="40" t="str">
        <f>IFERROR(__xludf.DUMMYFUNCTION("TEXTJOIN("", "",TRUE,UNIQUE(FILTER('Data Master'!$B$2:$B1570,'Data Master'!$E$2:$E1570=A257)))"),"petani")</f>
        <v>petani</v>
      </c>
    </row>
    <row r="258" hidden="1">
      <c r="C258" s="40" t="str">
        <f>IFERROR(__xludf.DUMMYFUNCTION("TEXTJOIN("", "",TRUE,UNIQUE(FILTER('Data Master'!$B$2:$B1570,'Data Master'!$E$2:$E1570=A258)))"),"petani")</f>
        <v>petani</v>
      </c>
    </row>
    <row r="259" hidden="1">
      <c r="C259" s="40" t="str">
        <f>IFERROR(__xludf.DUMMYFUNCTION("TEXTJOIN("", "",TRUE,UNIQUE(FILTER('Data Master'!$B$2:$B1570,'Data Master'!$E$2:$E1570=A259)))"),"petani")</f>
        <v>petani</v>
      </c>
    </row>
    <row r="260" hidden="1">
      <c r="C260" s="40" t="str">
        <f>IFERROR(__xludf.DUMMYFUNCTION("TEXTJOIN("", "",TRUE,UNIQUE(FILTER('Data Master'!$B$2:$B1570,'Data Master'!$E$2:$E1570=A260)))"),"petani")</f>
        <v>petani</v>
      </c>
    </row>
    <row r="261" hidden="1">
      <c r="C261" s="40" t="str">
        <f>IFERROR(__xludf.DUMMYFUNCTION("TEXTJOIN("", "",TRUE,UNIQUE(FILTER('Data Master'!$B$2:$B1570,'Data Master'!$E$2:$E1570=A261)))"),"petani")</f>
        <v>petani</v>
      </c>
    </row>
    <row r="262" hidden="1">
      <c r="C262" s="40" t="str">
        <f>IFERROR(__xludf.DUMMYFUNCTION("TEXTJOIN("", "",TRUE,UNIQUE(FILTER('Data Master'!$B$2:$B1570,'Data Master'!$E$2:$E1570=A262)))"),"petani")</f>
        <v>petani</v>
      </c>
    </row>
    <row r="263" hidden="1">
      <c r="C263" s="40" t="str">
        <f>IFERROR(__xludf.DUMMYFUNCTION("TEXTJOIN("", "",TRUE,UNIQUE(FILTER('Data Master'!$B$2:$B1570,'Data Master'!$E$2:$E1570=A263)))"),"petani")</f>
        <v>petani</v>
      </c>
    </row>
    <row r="264" hidden="1">
      <c r="C264" s="40" t="str">
        <f>IFERROR(__xludf.DUMMYFUNCTION("TEXTJOIN("", "",TRUE,UNIQUE(FILTER('Data Master'!$B$2:$B1570,'Data Master'!$E$2:$E1570=A264)))"),"petani")</f>
        <v>petani</v>
      </c>
    </row>
    <row r="265" hidden="1">
      <c r="C265" s="40" t="str">
        <f>IFERROR(__xludf.DUMMYFUNCTION("TEXTJOIN("", "",TRUE,UNIQUE(FILTER('Data Master'!$B$2:$B1570,'Data Master'!$E$2:$E1570=A265)))"),"petani")</f>
        <v>petani</v>
      </c>
    </row>
    <row r="266" hidden="1">
      <c r="C266" s="40" t="str">
        <f>IFERROR(__xludf.DUMMYFUNCTION("TEXTJOIN("", "",TRUE,UNIQUE(FILTER('Data Master'!$B$2:$B1570,'Data Master'!$E$2:$E1570=A266)))"),"petani")</f>
        <v>petani</v>
      </c>
    </row>
    <row r="267" hidden="1">
      <c r="C267" s="40" t="str">
        <f>IFERROR(__xludf.DUMMYFUNCTION("TEXTJOIN("", "",TRUE,UNIQUE(FILTER('Data Master'!$B$2:$B1570,'Data Master'!$E$2:$E1570=A267)))"),"petani")</f>
        <v>petani</v>
      </c>
    </row>
    <row r="268" hidden="1">
      <c r="C268" s="40" t="str">
        <f>IFERROR(__xludf.DUMMYFUNCTION("TEXTJOIN("", "",TRUE,UNIQUE(FILTER('Data Master'!$B$2:$B1570,'Data Master'!$E$2:$E1570=A268)))"),"petani")</f>
        <v>petani</v>
      </c>
    </row>
    <row r="269" hidden="1">
      <c r="C269" s="40" t="str">
        <f>IFERROR(__xludf.DUMMYFUNCTION("TEXTJOIN("", "",TRUE,UNIQUE(FILTER('Data Master'!$B$2:$B1570,'Data Master'!$E$2:$E1570=A269)))"),"petani")</f>
        <v>petani</v>
      </c>
    </row>
    <row r="270" hidden="1">
      <c r="C270" s="40" t="str">
        <f>IFERROR(__xludf.DUMMYFUNCTION("TEXTJOIN("", "",TRUE,UNIQUE(FILTER('Data Master'!$B$2:$B1570,'Data Master'!$E$2:$E1570=A270)))"),"petani")</f>
        <v>petani</v>
      </c>
    </row>
    <row r="271" hidden="1">
      <c r="C271" s="40" t="str">
        <f>IFERROR(__xludf.DUMMYFUNCTION("TEXTJOIN("", "",TRUE,UNIQUE(FILTER('Data Master'!$B$2:$B1570,'Data Master'!$E$2:$E1570=A271)))"),"petani")</f>
        <v>petani</v>
      </c>
    </row>
    <row r="272" hidden="1">
      <c r="C272" s="40" t="str">
        <f>IFERROR(__xludf.DUMMYFUNCTION("TEXTJOIN("", "",TRUE,UNIQUE(FILTER('Data Master'!$B$2:$B1570,'Data Master'!$E$2:$E1570=A272)))"),"petani")</f>
        <v>petani</v>
      </c>
    </row>
    <row r="273" hidden="1">
      <c r="C273" s="40" t="str">
        <f>IFERROR(__xludf.DUMMYFUNCTION("TEXTJOIN("", "",TRUE,UNIQUE(FILTER('Data Master'!$B$2:$B1570,'Data Master'!$E$2:$E1570=A273)))"),"petani")</f>
        <v>petani</v>
      </c>
    </row>
    <row r="274" hidden="1">
      <c r="C274" s="40" t="str">
        <f>IFERROR(__xludf.DUMMYFUNCTION("TEXTJOIN("", "",TRUE,UNIQUE(FILTER('Data Master'!$B$2:$B1570,'Data Master'!$E$2:$E1570=A274)))"),"petani")</f>
        <v>petani</v>
      </c>
    </row>
    <row r="275" hidden="1">
      <c r="C275" s="40" t="str">
        <f>IFERROR(__xludf.DUMMYFUNCTION("TEXTJOIN("", "",TRUE,UNIQUE(FILTER('Data Master'!$B$2:$B1570,'Data Master'!$E$2:$E1570=A275)))"),"penyuluh, petani")</f>
        <v>penyuluh, petani</v>
      </c>
    </row>
    <row r="276" hidden="1">
      <c r="C276" s="40" t="str">
        <f>IFERROR(__xludf.DUMMYFUNCTION("TEXTJOIN("", "",TRUE,UNIQUE(FILTER('Data Master'!$B$2:$B1570,'Data Master'!$E$2:$E1570=A276)))"),"petani")</f>
        <v>petani</v>
      </c>
    </row>
    <row r="277" hidden="1">
      <c r="C277" s="40" t="str">
        <f>IFERROR(__xludf.DUMMYFUNCTION("TEXTJOIN("", "",TRUE,UNIQUE(FILTER('Data Master'!$B$2:$B1570,'Data Master'!$E$2:$E1570=A277)))"),"petani")</f>
        <v>petani</v>
      </c>
    </row>
    <row r="278" hidden="1">
      <c r="C278" s="40" t="str">
        <f>IFERROR(__xludf.DUMMYFUNCTION("TEXTJOIN("", "",TRUE,UNIQUE(FILTER('Data Master'!$B$2:$B1570,'Data Master'!$E$2:$E1570=A278)))"),"petani")</f>
        <v>petani</v>
      </c>
    </row>
    <row r="279" hidden="1">
      <c r="C279" s="40" t="str">
        <f>IFERROR(__xludf.DUMMYFUNCTION("TEXTJOIN("", "",TRUE,UNIQUE(FILTER('Data Master'!$B$2:$B1570,'Data Master'!$E$2:$E1570=A279)))"),"petani")</f>
        <v>petani</v>
      </c>
    </row>
    <row r="280" hidden="1">
      <c r="C280" s="40" t="str">
        <f>IFERROR(__xludf.DUMMYFUNCTION("TEXTJOIN("", "",TRUE,UNIQUE(FILTER('Data Master'!$B$2:$B1570,'Data Master'!$E$2:$E1570=A280)))"),"petani")</f>
        <v>petani</v>
      </c>
    </row>
    <row r="281" hidden="1">
      <c r="C281" s="40" t="str">
        <f>IFERROR(__xludf.DUMMYFUNCTION("TEXTJOIN("", "",TRUE,UNIQUE(FILTER('Data Master'!$B$2:$B1570,'Data Master'!$E$2:$E1570=A281)))"),"petani")</f>
        <v>petani</v>
      </c>
    </row>
    <row r="282" hidden="1">
      <c r="C282" s="40" t="str">
        <f>IFERROR(__xludf.DUMMYFUNCTION("TEXTJOIN("", "",TRUE,UNIQUE(FILTER('Data Master'!$B$2:$B1570,'Data Master'!$E$2:$E1570=A282)))"),"petani")</f>
        <v>petani</v>
      </c>
    </row>
    <row r="283" hidden="1">
      <c r="C283" s="40" t="str">
        <f>IFERROR(__xludf.DUMMYFUNCTION("TEXTJOIN("", "",TRUE,UNIQUE(FILTER('Data Master'!$B$2:$B1570,'Data Master'!$E$2:$E1570=A283)))"),"petani")</f>
        <v>petani</v>
      </c>
    </row>
    <row r="284" hidden="1">
      <c r="C284" s="40" t="str">
        <f>IFERROR(__xludf.DUMMYFUNCTION("TEXTJOIN("", "",TRUE,UNIQUE(FILTER('Data Master'!$B$2:$B1570,'Data Master'!$E$2:$E1570=A284)))"),"petani")</f>
        <v>petani</v>
      </c>
    </row>
    <row r="285" hidden="1">
      <c r="C285" s="40" t="str">
        <f>IFERROR(__xludf.DUMMYFUNCTION("TEXTJOIN("", "",TRUE,UNIQUE(FILTER('Data Master'!$B$2:$B1570,'Data Master'!$E$2:$E1570=A285)))"),"petani")</f>
        <v>petani</v>
      </c>
    </row>
    <row r="286" hidden="1">
      <c r="C286" s="40" t="str">
        <f>IFERROR(__xludf.DUMMYFUNCTION("TEXTJOIN("", "",TRUE,UNIQUE(FILTER('Data Master'!$B$2:$B1570,'Data Master'!$E$2:$E1570=A286)))"),"petani")</f>
        <v>petani</v>
      </c>
    </row>
    <row r="287" hidden="1">
      <c r="C287" s="40" t="str">
        <f>IFERROR(__xludf.DUMMYFUNCTION("TEXTJOIN("", "",TRUE,UNIQUE(FILTER('Data Master'!$B$2:$B1570,'Data Master'!$E$2:$E1570=A287)))"),"petani")</f>
        <v>petani</v>
      </c>
    </row>
    <row r="288" hidden="1">
      <c r="C288" s="40" t="str">
        <f>IFERROR(__xludf.DUMMYFUNCTION("TEXTJOIN("", "",TRUE,UNIQUE(FILTER('Data Master'!$B$2:$B1570,'Data Master'!$E$2:$E1570=A288)))"),"petani")</f>
        <v>petani</v>
      </c>
    </row>
    <row r="289" hidden="1">
      <c r="C289" s="40" t="str">
        <f>IFERROR(__xludf.DUMMYFUNCTION("TEXTJOIN("", "",TRUE,UNIQUE(FILTER('Data Master'!$B$2:$B1570,'Data Master'!$E$2:$E1570=A289)))"),"petani")</f>
        <v>petani</v>
      </c>
    </row>
    <row r="290" hidden="1">
      <c r="C290" s="40" t="str">
        <f>IFERROR(__xludf.DUMMYFUNCTION("TEXTJOIN("", "",TRUE,UNIQUE(FILTER('Data Master'!$B$2:$B1570,'Data Master'!$E$2:$E1570=A290)))"),"petani")</f>
        <v>petani</v>
      </c>
    </row>
    <row r="291" hidden="1">
      <c r="C291" s="40" t="str">
        <f>IFERROR(__xludf.DUMMYFUNCTION("TEXTJOIN("", "",TRUE,UNIQUE(FILTER('Data Master'!$B$2:$B1570,'Data Master'!$E$2:$E1570=A291)))"),"petani")</f>
        <v>petani</v>
      </c>
    </row>
    <row r="292" hidden="1">
      <c r="C292" s="40" t="str">
        <f>IFERROR(__xludf.DUMMYFUNCTION("TEXTJOIN("", "",TRUE,UNIQUE(FILTER('Data Master'!$B$2:$B1570,'Data Master'!$E$2:$E1570=A292)))"),"petani")</f>
        <v>petani</v>
      </c>
    </row>
    <row r="293" hidden="1">
      <c r="C293" s="40" t="str">
        <f>IFERROR(__xludf.DUMMYFUNCTION("TEXTJOIN("", "",TRUE,UNIQUE(FILTER('Data Master'!$B$2:$B1570,'Data Master'!$E$2:$E1570=A293)))"),"petani")</f>
        <v>petani</v>
      </c>
    </row>
    <row r="294" hidden="1">
      <c r="C294" s="40" t="str">
        <f>IFERROR(__xludf.DUMMYFUNCTION("TEXTJOIN("", "",TRUE,UNIQUE(FILTER('Data Master'!$B$2:$B1570,'Data Master'!$E$2:$E1570=A294)))"),"petani")</f>
        <v>petani</v>
      </c>
    </row>
    <row r="295">
      <c r="C295" s="43" t="str">
        <f>IFERROR(__xludf.DUMMYFUNCTION("TEXTJOIN("", "",TRUE,UNIQUE(FILTER('Data Master'!$B$2:$B1570,'Data Master'!$E$2:$E1570=A295)))"),"penyuluh")</f>
        <v>penyuluh</v>
      </c>
    </row>
    <row r="296" hidden="1">
      <c r="C296" s="40" t="str">
        <f>IFERROR(__xludf.DUMMYFUNCTION("TEXTJOIN("", "",TRUE,UNIQUE(FILTER('Data Master'!$B$2:$B1570,'Data Master'!$E$2:$E1570=A296)))"),"petani")</f>
        <v>petani</v>
      </c>
    </row>
    <row r="297" hidden="1">
      <c r="C297" s="40" t="str">
        <f>IFERROR(__xludf.DUMMYFUNCTION("TEXTJOIN("", "",TRUE,UNIQUE(FILTER('Data Master'!$B$2:$B1570,'Data Master'!$E$2:$E1570=A297)))"),"petani")</f>
        <v>petani</v>
      </c>
    </row>
    <row r="298" hidden="1">
      <c r="C298" s="40" t="str">
        <f>IFERROR(__xludf.DUMMYFUNCTION("TEXTJOIN("", "",TRUE,UNIQUE(FILTER('Data Master'!$B$2:$B1570,'Data Master'!$E$2:$E1570=A298)))"),"petani")</f>
        <v>petani</v>
      </c>
    </row>
    <row r="299" hidden="1">
      <c r="C299" s="40" t="str">
        <f>IFERROR(__xludf.DUMMYFUNCTION("TEXTJOIN("", "",TRUE,UNIQUE(FILTER('Data Master'!$B$2:$B1570,'Data Master'!$E$2:$E1570=A299)))"),"petani")</f>
        <v>petani</v>
      </c>
    </row>
    <row r="300" hidden="1">
      <c r="C300" s="40" t="str">
        <f>IFERROR(__xludf.DUMMYFUNCTION("TEXTJOIN("", "",TRUE,UNIQUE(FILTER('Data Master'!$B$2:$B1570,'Data Master'!$E$2:$E1570=A300)))"),"penyuluh")</f>
        <v>penyuluh</v>
      </c>
    </row>
    <row r="301" hidden="1">
      <c r="C301" s="40" t="str">
        <f>IFERROR(__xludf.DUMMYFUNCTION("TEXTJOIN("", "",TRUE,UNIQUE(FILTER('Data Master'!$B$2:$B1570,'Data Master'!$E$2:$E1570=A301)))"),"petani")</f>
        <v>petani</v>
      </c>
    </row>
    <row r="302" hidden="1">
      <c r="C302" s="40" t="str">
        <f>IFERROR(__xludf.DUMMYFUNCTION("TEXTJOIN("", "",TRUE,UNIQUE(FILTER('Data Master'!$B$2:$B1570,'Data Master'!$E$2:$E1570=A302)))"),"petani")</f>
        <v>petani</v>
      </c>
    </row>
    <row r="303" hidden="1">
      <c r="C303" s="40" t="str">
        <f>IFERROR(__xludf.DUMMYFUNCTION("TEXTJOIN("", "",TRUE,UNIQUE(FILTER('Data Master'!$B$2:$B1570,'Data Master'!$E$2:$E1570=A303)))"),"petani")</f>
        <v>petani</v>
      </c>
    </row>
    <row r="304" hidden="1">
      <c r="C304" s="40" t="str">
        <f>IFERROR(__xludf.DUMMYFUNCTION("TEXTJOIN("", "",TRUE,UNIQUE(FILTER('Data Master'!$B$2:$B1570,'Data Master'!$E$2:$E1570=A304)))"),"petani")</f>
        <v>petani</v>
      </c>
    </row>
    <row r="305" hidden="1">
      <c r="C305" s="40" t="str">
        <f>IFERROR(__xludf.DUMMYFUNCTION("TEXTJOIN("", "",TRUE,UNIQUE(FILTER('Data Master'!$B$2:$B1570,'Data Master'!$E$2:$E1570=A305)))"),"petani")</f>
        <v>petani</v>
      </c>
    </row>
    <row r="306" hidden="1">
      <c r="C306" s="40" t="str">
        <f>IFERROR(__xludf.DUMMYFUNCTION("TEXTJOIN("", "",TRUE,UNIQUE(FILTER('Data Master'!$B$2:$B1570,'Data Master'!$E$2:$E1570=A306)))"),"petani")</f>
        <v>petani</v>
      </c>
    </row>
    <row r="307" hidden="1">
      <c r="C307" s="40" t="str">
        <f>IFERROR(__xludf.DUMMYFUNCTION("TEXTJOIN("", "",TRUE,UNIQUE(FILTER('Data Master'!$B$2:$B1570,'Data Master'!$E$2:$E1570=A307)))"),"penyuluh")</f>
        <v>penyuluh</v>
      </c>
    </row>
    <row r="308" hidden="1">
      <c r="C308" s="40" t="str">
        <f>IFERROR(__xludf.DUMMYFUNCTION("TEXTJOIN("", "",TRUE,UNIQUE(FILTER('Data Master'!$B$2:$B1570,'Data Master'!$E$2:$E1570=A308)))"),"petani")</f>
        <v>petani</v>
      </c>
    </row>
    <row r="309" hidden="1">
      <c r="C309" s="40" t="str">
        <f>IFERROR(__xludf.DUMMYFUNCTION("TEXTJOIN("", "",TRUE,UNIQUE(FILTER('Data Master'!$B$2:$B1570,'Data Master'!$E$2:$E1570=A309)))"),"petani")</f>
        <v>petani</v>
      </c>
    </row>
    <row r="310" hidden="1">
      <c r="C310" s="40" t="str">
        <f>IFERROR(__xludf.DUMMYFUNCTION("TEXTJOIN("", "",TRUE,UNIQUE(FILTER('Data Master'!$B$2:$B1570,'Data Master'!$E$2:$E1570=A310)))"),"petani")</f>
        <v>petani</v>
      </c>
    </row>
    <row r="311" hidden="1">
      <c r="C311" s="40" t="str">
        <f>IFERROR(__xludf.DUMMYFUNCTION("TEXTJOIN("", "",TRUE,UNIQUE(FILTER('Data Master'!$B$2:$B1570,'Data Master'!$E$2:$E1570=A311)))"),"petani")</f>
        <v>petani</v>
      </c>
    </row>
    <row r="312" hidden="1">
      <c r="C312" s="40" t="str">
        <f>IFERROR(__xludf.DUMMYFUNCTION("TEXTJOIN("", "",TRUE,UNIQUE(FILTER('Data Master'!$B$2:$B1570,'Data Master'!$E$2:$E1570=A312)))"),"petani")</f>
        <v>petani</v>
      </c>
    </row>
    <row r="313" hidden="1">
      <c r="C313" s="40" t="str">
        <f>IFERROR(__xludf.DUMMYFUNCTION("TEXTJOIN("", "",TRUE,UNIQUE(FILTER('Data Master'!$B$2:$B1570,'Data Master'!$E$2:$E1570=A313)))"),"petani")</f>
        <v>petani</v>
      </c>
    </row>
    <row r="314" hidden="1">
      <c r="C314" s="40" t="str">
        <f>IFERROR(__xludf.DUMMYFUNCTION("TEXTJOIN("", "",TRUE,UNIQUE(FILTER('Data Master'!$B$2:$B1570,'Data Master'!$E$2:$E1570=A314)))"),"petani")</f>
        <v>petani</v>
      </c>
    </row>
    <row r="315" hidden="1">
      <c r="C315" s="40" t="str">
        <f>IFERROR(__xludf.DUMMYFUNCTION("TEXTJOIN("", "",TRUE,UNIQUE(FILTER('Data Master'!$B$2:$B1570,'Data Master'!$E$2:$E1570=A315)))"),"petani")</f>
        <v>petani</v>
      </c>
    </row>
    <row r="316" hidden="1">
      <c r="C316" s="40" t="str">
        <f>IFERROR(__xludf.DUMMYFUNCTION("TEXTJOIN("", "",TRUE,UNIQUE(FILTER('Data Master'!$B$2:$B1570,'Data Master'!$E$2:$E1570=A316)))"),"petani")</f>
        <v>petani</v>
      </c>
    </row>
    <row r="317" hidden="1">
      <c r="C317" s="40" t="str">
        <f>IFERROR(__xludf.DUMMYFUNCTION("TEXTJOIN("", "",TRUE,UNIQUE(FILTER('Data Master'!$B$2:$B1570,'Data Master'!$E$2:$E1570=A317)))"),"petani")</f>
        <v>petani</v>
      </c>
    </row>
    <row r="318" hidden="1">
      <c r="C318" s="40" t="str">
        <f>IFERROR(__xludf.DUMMYFUNCTION("TEXTJOIN("", "",TRUE,UNIQUE(FILTER('Data Master'!$B$2:$B1570,'Data Master'!$E$2:$E1570=A318)))"),"petani")</f>
        <v>petani</v>
      </c>
    </row>
    <row r="319" hidden="1">
      <c r="C319" s="40" t="str">
        <f>IFERROR(__xludf.DUMMYFUNCTION("TEXTJOIN("", "",TRUE,UNIQUE(FILTER('Data Master'!$B$2:$B1570,'Data Master'!$E$2:$E1570=A319)))"),"petani")</f>
        <v>petani</v>
      </c>
    </row>
    <row r="320" hidden="1">
      <c r="C320" s="40" t="str">
        <f>IFERROR(__xludf.DUMMYFUNCTION("TEXTJOIN("", "",TRUE,UNIQUE(FILTER('Data Master'!$B$2:$B1570,'Data Master'!$E$2:$E1570=A320)))"),"petani")</f>
        <v>petani</v>
      </c>
    </row>
    <row r="321" hidden="1">
      <c r="C321" s="40" t="str">
        <f>IFERROR(__xludf.DUMMYFUNCTION("TEXTJOIN("", "",TRUE,UNIQUE(FILTER('Data Master'!$B$2:$B1570,'Data Master'!$E$2:$E1570=A321)))"),"penyuluh")</f>
        <v>penyuluh</v>
      </c>
    </row>
    <row r="322" hidden="1">
      <c r="C322" s="40" t="str">
        <f>IFERROR(__xludf.DUMMYFUNCTION("TEXTJOIN("", "",TRUE,UNIQUE(FILTER('Data Master'!$B$2:$B1570,'Data Master'!$E$2:$E1570=A322)))"),"petani")</f>
        <v>petani</v>
      </c>
    </row>
    <row r="323" hidden="1">
      <c r="C323" s="40" t="str">
        <f>IFERROR(__xludf.DUMMYFUNCTION("TEXTJOIN("", "",TRUE,UNIQUE(FILTER('Data Master'!$B$2:$B1570,'Data Master'!$E$2:$E1570=A323)))"),"petani")</f>
        <v>petani</v>
      </c>
    </row>
    <row r="324" hidden="1">
      <c r="C324" s="40" t="str">
        <f>IFERROR(__xludf.DUMMYFUNCTION("TEXTJOIN("", "",TRUE,UNIQUE(FILTER('Data Master'!$B$2:$B1570,'Data Master'!$E$2:$E1570=A324)))"),"petani")</f>
        <v>petani</v>
      </c>
    </row>
    <row r="325" hidden="1">
      <c r="C325" s="40" t="str">
        <f>IFERROR(__xludf.DUMMYFUNCTION("TEXTJOIN("", "",TRUE,UNIQUE(FILTER('Data Master'!$B$2:$B1570,'Data Master'!$E$2:$E1570=A325)))"),"petani")</f>
        <v>petani</v>
      </c>
    </row>
    <row r="326" hidden="1">
      <c r="C326" s="40" t="str">
        <f>IFERROR(__xludf.DUMMYFUNCTION("TEXTJOIN("", "",TRUE,UNIQUE(FILTER('Data Master'!$B$2:$B1570,'Data Master'!$E$2:$E1570=A326)))"),"petani")</f>
        <v>petani</v>
      </c>
    </row>
    <row r="327" hidden="1">
      <c r="C327" s="40" t="str">
        <f>IFERROR(__xludf.DUMMYFUNCTION("TEXTJOIN("", "",TRUE,UNIQUE(FILTER('Data Master'!$B$2:$B1570,'Data Master'!$E$2:$E1570=A327)))"),"petani")</f>
        <v>petani</v>
      </c>
    </row>
    <row r="328" hidden="1">
      <c r="C328" s="40" t="str">
        <f>IFERROR(__xludf.DUMMYFUNCTION("TEXTJOIN("", "",TRUE,UNIQUE(FILTER('Data Master'!$B$2:$B1570,'Data Master'!$E$2:$E1570=A328)))"),"petani")</f>
        <v>petani</v>
      </c>
    </row>
    <row r="329" hidden="1">
      <c r="C329" s="40" t="str">
        <f>IFERROR(__xludf.DUMMYFUNCTION("TEXTJOIN("", "",TRUE,UNIQUE(FILTER('Data Master'!$B$2:$B1570,'Data Master'!$E$2:$E1570=A329)))"),"petani")</f>
        <v>petani</v>
      </c>
    </row>
    <row r="330" hidden="1">
      <c r="C330" s="40" t="str">
        <f>IFERROR(__xludf.DUMMYFUNCTION("TEXTJOIN("", "",TRUE,UNIQUE(FILTER('Data Master'!$B$2:$B1570,'Data Master'!$E$2:$E1570=A330)))"),"petani")</f>
        <v>petani</v>
      </c>
    </row>
    <row r="331" hidden="1">
      <c r="C331" s="40" t="str">
        <f>IFERROR(__xludf.DUMMYFUNCTION("TEXTJOIN("", "",TRUE,UNIQUE(FILTER('Data Master'!$B$2:$B1570,'Data Master'!$E$2:$E1570=A331)))"),"penyuluh")</f>
        <v>penyuluh</v>
      </c>
    </row>
    <row r="332" hidden="1">
      <c r="C332" s="40" t="str">
        <f>IFERROR(__xludf.DUMMYFUNCTION("TEXTJOIN("", "",TRUE,UNIQUE(FILTER('Data Master'!$B$2:$B1570,'Data Master'!$E$2:$E1570=A332)))"),"petani")</f>
        <v>petani</v>
      </c>
    </row>
    <row r="333" hidden="1">
      <c r="C333" s="40" t="str">
        <f>IFERROR(__xludf.DUMMYFUNCTION("TEXTJOIN("", "",TRUE,UNIQUE(FILTER('Data Master'!$B$2:$B1570,'Data Master'!$E$2:$E1570=A333)))"),"petani")</f>
        <v>petani</v>
      </c>
    </row>
    <row r="334" hidden="1">
      <c r="C334" s="40" t="str">
        <f>IFERROR(__xludf.DUMMYFUNCTION("TEXTJOIN("", "",TRUE,UNIQUE(FILTER('Data Master'!$B$2:$B1570,'Data Master'!$E$2:$E1570=A334)))"),"penyuluh")</f>
        <v>penyuluh</v>
      </c>
    </row>
    <row r="335" hidden="1">
      <c r="C335" s="40" t="str">
        <f>IFERROR(__xludf.DUMMYFUNCTION("TEXTJOIN("", "",TRUE,UNIQUE(FILTER('Data Master'!$B$2:$B1570,'Data Master'!$E$2:$E1570=A335)))"),"petani")</f>
        <v>petani</v>
      </c>
    </row>
    <row r="336" hidden="1">
      <c r="C336" s="40" t="str">
        <f>IFERROR(__xludf.DUMMYFUNCTION("TEXTJOIN("", "",TRUE,UNIQUE(FILTER('Data Master'!$B$2:$B1570,'Data Master'!$E$2:$E1570=A336)))"),"petani")</f>
        <v>petani</v>
      </c>
    </row>
    <row r="337" hidden="1">
      <c r="C337" s="40" t="str">
        <f>IFERROR(__xludf.DUMMYFUNCTION("TEXTJOIN("", "",TRUE,UNIQUE(FILTER('Data Master'!$B$2:$B1570,'Data Master'!$E$2:$E1570=A337)))"),"petani")</f>
        <v>petani</v>
      </c>
    </row>
    <row r="338" hidden="1">
      <c r="C338" s="40" t="str">
        <f>IFERROR(__xludf.DUMMYFUNCTION("TEXTJOIN("", "",TRUE,UNIQUE(FILTER('Data Master'!$B$2:$B1570,'Data Master'!$E$2:$E1570=A338)))"),"petani")</f>
        <v>petani</v>
      </c>
    </row>
    <row r="339" hidden="1">
      <c r="C339" s="40" t="str">
        <f>IFERROR(__xludf.DUMMYFUNCTION("TEXTJOIN("", "",TRUE,UNIQUE(FILTER('Data Master'!$B$2:$B1570,'Data Master'!$E$2:$E1570=A339)))"),"petani")</f>
        <v>petani</v>
      </c>
    </row>
    <row r="340" hidden="1">
      <c r="C340" s="40" t="str">
        <f>IFERROR(__xludf.DUMMYFUNCTION("TEXTJOIN("", "",TRUE,UNIQUE(FILTER('Data Master'!$B$2:$B1570,'Data Master'!$E$2:$E1570=A340)))"),"petani")</f>
        <v>petani</v>
      </c>
    </row>
    <row r="341" hidden="1">
      <c r="C341" s="40" t="str">
        <f>IFERROR(__xludf.DUMMYFUNCTION("TEXTJOIN("", "",TRUE,UNIQUE(FILTER('Data Master'!$B$2:$B1570,'Data Master'!$E$2:$E1570=A341)))"),"petani")</f>
        <v>petani</v>
      </c>
    </row>
    <row r="342" hidden="1">
      <c r="C342" s="40" t="str">
        <f>IFERROR(__xludf.DUMMYFUNCTION("TEXTJOIN("", "",TRUE,UNIQUE(FILTER('Data Master'!$B$2:$B1570,'Data Master'!$E$2:$E1570=A342)))"),"penyuluh")</f>
        <v>penyuluh</v>
      </c>
    </row>
    <row r="343" hidden="1">
      <c r="C343" s="40" t="str">
        <f>IFERROR(__xludf.DUMMYFUNCTION("TEXTJOIN("", "",TRUE,UNIQUE(FILTER('Data Master'!$B$2:$B1570,'Data Master'!$E$2:$E1570=A343)))"),"petani")</f>
        <v>petani</v>
      </c>
    </row>
    <row r="344">
      <c r="C344" s="43" t="str">
        <f>IFERROR(__xludf.DUMMYFUNCTION("TEXTJOIN("", "",TRUE,UNIQUE(FILTER('Data Master'!$B$2:$B1570,'Data Master'!$E$2:$E1570=A344)))"),"penyuluh")</f>
        <v>penyuluh</v>
      </c>
    </row>
    <row r="345" hidden="1">
      <c r="C345" s="40" t="str">
        <f>IFERROR(__xludf.DUMMYFUNCTION("TEXTJOIN("", "",TRUE,UNIQUE(FILTER('Data Master'!$B$2:$B1570,'Data Master'!$E$2:$E1570=A345)))"),"petani")</f>
        <v>petani</v>
      </c>
    </row>
    <row r="346" hidden="1">
      <c r="C346" s="40" t="str">
        <f>IFERROR(__xludf.DUMMYFUNCTION("TEXTJOIN("", "",TRUE,UNIQUE(FILTER('Data Master'!$B$2:$B1570,'Data Master'!$E$2:$E1570=A346)))"),"penyuluh")</f>
        <v>penyuluh</v>
      </c>
    </row>
    <row r="347" hidden="1">
      <c r="C347" s="40" t="str">
        <f>IFERROR(__xludf.DUMMYFUNCTION("TEXTJOIN("", "",TRUE,UNIQUE(FILTER('Data Master'!$B$2:$B1570,'Data Master'!$E$2:$E1570=A347)))"),"petani")</f>
        <v>petani</v>
      </c>
    </row>
    <row r="348" hidden="1">
      <c r="C348" s="40" t="str">
        <f>IFERROR(__xludf.DUMMYFUNCTION("TEXTJOIN("", "",TRUE,UNIQUE(FILTER('Data Master'!$B$2:$B1570,'Data Master'!$E$2:$E1570=A348)))"),"petani")</f>
        <v>petani</v>
      </c>
    </row>
    <row r="349" hidden="1">
      <c r="C349" s="40" t="str">
        <f>IFERROR(__xludf.DUMMYFUNCTION("TEXTJOIN("", "",TRUE,UNIQUE(FILTER('Data Master'!$B$2:$B1570,'Data Master'!$E$2:$E1570=A349)))"),"petani")</f>
        <v>petani</v>
      </c>
    </row>
    <row r="350" hidden="1">
      <c r="C350" s="40" t="str">
        <f>IFERROR(__xludf.DUMMYFUNCTION("TEXTJOIN("", "",TRUE,UNIQUE(FILTER('Data Master'!$B$2:$B1570,'Data Master'!$E$2:$E1570=A350)))"),"petani")</f>
        <v>petani</v>
      </c>
    </row>
    <row r="351" hidden="1">
      <c r="C351" s="40" t="str">
        <f>IFERROR(__xludf.DUMMYFUNCTION("TEXTJOIN("", "",TRUE,UNIQUE(FILTER('Data Master'!$B$2:$B1570,'Data Master'!$E$2:$E1570=A351)))"),"petani")</f>
        <v>petani</v>
      </c>
    </row>
    <row r="352" hidden="1">
      <c r="C352" s="40" t="str">
        <f>IFERROR(__xludf.DUMMYFUNCTION("TEXTJOIN("", "",TRUE,UNIQUE(FILTER('Data Master'!$B$2:$B1570,'Data Master'!$E$2:$E1570=A352)))"),"petani")</f>
        <v>petani</v>
      </c>
    </row>
    <row r="353" hidden="1">
      <c r="C353" s="40" t="str">
        <f>IFERROR(__xludf.DUMMYFUNCTION("TEXTJOIN("", "",TRUE,UNIQUE(FILTER('Data Master'!$B$2:$B1570,'Data Master'!$E$2:$E1570=A353)))"),"petani")</f>
        <v>petani</v>
      </c>
    </row>
    <row r="354" hidden="1">
      <c r="C354" s="40" t="str">
        <f>IFERROR(__xludf.DUMMYFUNCTION("TEXTJOIN("", "",TRUE,UNIQUE(FILTER('Data Master'!$B$2:$B1570,'Data Master'!$E$2:$E1570=A354)))"),"petani")</f>
        <v>petani</v>
      </c>
    </row>
    <row r="355" hidden="1">
      <c r="C355" s="40" t="str">
        <f>IFERROR(__xludf.DUMMYFUNCTION("TEXTJOIN("", "",TRUE,UNIQUE(FILTER('Data Master'!$B$2:$B1570,'Data Master'!$E$2:$E1570=A355)))"),"petani")</f>
        <v>petani</v>
      </c>
    </row>
    <row r="356" hidden="1">
      <c r="C356" s="40" t="str">
        <f>IFERROR(__xludf.DUMMYFUNCTION("TEXTJOIN("", "",TRUE,UNIQUE(FILTER('Data Master'!$B$2:$B1570,'Data Master'!$E$2:$E1570=A356)))"),"petani")</f>
        <v>petani</v>
      </c>
    </row>
    <row r="357" hidden="1">
      <c r="C357" s="40" t="str">
        <f>IFERROR(__xludf.DUMMYFUNCTION("TEXTJOIN("", "",TRUE,UNIQUE(FILTER('Data Master'!$B$2:$B1570,'Data Master'!$E$2:$E1570=A357)))"),"petani")</f>
        <v>petani</v>
      </c>
    </row>
    <row r="358" hidden="1">
      <c r="C358" s="40" t="str">
        <f>IFERROR(__xludf.DUMMYFUNCTION("TEXTJOIN("", "",TRUE,UNIQUE(FILTER('Data Master'!$B$2:$B1570,'Data Master'!$E$2:$E1570=A358)))"),"penyuluh")</f>
        <v>penyuluh</v>
      </c>
    </row>
    <row r="359" hidden="1">
      <c r="C359" s="40" t="str">
        <f>IFERROR(__xludf.DUMMYFUNCTION("TEXTJOIN("", "",TRUE,UNIQUE(FILTER('Data Master'!$B$2:$B1570,'Data Master'!$E$2:$E1570=A359)))"),"petani")</f>
        <v>petani</v>
      </c>
    </row>
    <row r="360" hidden="1">
      <c r="C360" s="40" t="str">
        <f>IFERROR(__xludf.DUMMYFUNCTION("TEXTJOIN("", "",TRUE,UNIQUE(FILTER('Data Master'!$B$2:$B1570,'Data Master'!$E$2:$E1570=A360)))"),"petani")</f>
        <v>petani</v>
      </c>
    </row>
    <row r="361" hidden="1">
      <c r="C361" s="40" t="str">
        <f>IFERROR(__xludf.DUMMYFUNCTION("TEXTJOIN("", "",TRUE,UNIQUE(FILTER('Data Master'!$B$2:$B1570,'Data Master'!$E$2:$E1570=A361)))"),"petani")</f>
        <v>petani</v>
      </c>
    </row>
    <row r="362" hidden="1">
      <c r="C362" s="40" t="str">
        <f>IFERROR(__xludf.DUMMYFUNCTION("TEXTJOIN("", "",TRUE,UNIQUE(FILTER('Data Master'!$B$2:$B1570,'Data Master'!$E$2:$E1570=A362)))"),"petani")</f>
        <v>petani</v>
      </c>
    </row>
    <row r="363" hidden="1">
      <c r="C363" s="40" t="str">
        <f>IFERROR(__xludf.DUMMYFUNCTION("TEXTJOIN("", "",TRUE,UNIQUE(FILTER('Data Master'!$B$2:$B1570,'Data Master'!$E$2:$E1570=A363)))"),"petani")</f>
        <v>petani</v>
      </c>
    </row>
    <row r="364" hidden="1">
      <c r="C364" s="40" t="str">
        <f>IFERROR(__xludf.DUMMYFUNCTION("TEXTJOIN("", "",TRUE,UNIQUE(FILTER('Data Master'!$B$2:$B1570,'Data Master'!$E$2:$E1570=A364)))"),"petani")</f>
        <v>petani</v>
      </c>
    </row>
    <row r="365" hidden="1">
      <c r="C365" s="40" t="str">
        <f>IFERROR(__xludf.DUMMYFUNCTION("TEXTJOIN("", "",TRUE,UNIQUE(FILTER('Data Master'!$B$2:$B1570,'Data Master'!$E$2:$E1570=A365)))"),"petani")</f>
        <v>petani</v>
      </c>
    </row>
    <row r="366" hidden="1">
      <c r="C366" s="40" t="str">
        <f>IFERROR(__xludf.DUMMYFUNCTION("TEXTJOIN("", "",TRUE,UNIQUE(FILTER('Data Master'!$B$2:$B1570,'Data Master'!$E$2:$E1570=A366)))"),"penyuluh")</f>
        <v>penyuluh</v>
      </c>
    </row>
    <row r="367" hidden="1">
      <c r="C367" s="40" t="str">
        <f>IFERROR(__xludf.DUMMYFUNCTION("TEXTJOIN("", "",TRUE,UNIQUE(FILTER('Data Master'!$B$2:$B1570,'Data Master'!$E$2:$E1570=A367)))"),"petani")</f>
        <v>petani</v>
      </c>
    </row>
    <row r="368" hidden="1">
      <c r="C368" s="40" t="str">
        <f>IFERROR(__xludf.DUMMYFUNCTION("TEXTJOIN("", "",TRUE,UNIQUE(FILTER('Data Master'!$B$2:$B1570,'Data Master'!$E$2:$E1570=A368)))"),"petani")</f>
        <v>petani</v>
      </c>
    </row>
    <row r="369" hidden="1">
      <c r="C369" s="40" t="str">
        <f>IFERROR(__xludf.DUMMYFUNCTION("TEXTJOIN("", "",TRUE,UNIQUE(FILTER('Data Master'!$B$2:$B1570,'Data Master'!$E$2:$E1570=A369)))"),"petani")</f>
        <v>petani</v>
      </c>
    </row>
    <row r="370" hidden="1">
      <c r="C370" s="40" t="str">
        <f>IFERROR(__xludf.DUMMYFUNCTION("TEXTJOIN("", "",TRUE,UNIQUE(FILTER('Data Master'!$B$2:$B1570,'Data Master'!$E$2:$E1570=A370)))"),"petani")</f>
        <v>petani</v>
      </c>
    </row>
    <row r="371" hidden="1">
      <c r="C371" s="40" t="str">
        <f>IFERROR(__xludf.DUMMYFUNCTION("TEXTJOIN("", "",TRUE,UNIQUE(FILTER('Data Master'!$B$2:$B1570,'Data Master'!$E$2:$E1570=A371)))"),"petani")</f>
        <v>petani</v>
      </c>
    </row>
    <row r="372" hidden="1">
      <c r="C372" s="40" t="str">
        <f>IFERROR(__xludf.DUMMYFUNCTION("TEXTJOIN("", "",TRUE,UNIQUE(FILTER('Data Master'!$B$2:$B1570,'Data Master'!$E$2:$E1570=A372)))"),"petani")</f>
        <v>petani</v>
      </c>
    </row>
    <row r="373" hidden="1">
      <c r="C373" s="40" t="str">
        <f>IFERROR(__xludf.DUMMYFUNCTION("TEXTJOIN("", "",TRUE,UNIQUE(FILTER('Data Master'!$B$2:$B1570,'Data Master'!$E$2:$E1570=A373)))"),"petani")</f>
        <v>petani</v>
      </c>
    </row>
    <row r="374" hidden="1">
      <c r="C374" s="40" t="str">
        <f>IFERROR(__xludf.DUMMYFUNCTION("TEXTJOIN("", "",TRUE,UNIQUE(FILTER('Data Master'!$B$2:$B1570,'Data Master'!$E$2:$E1570=A374)))"),"petani")</f>
        <v>petani</v>
      </c>
    </row>
    <row r="375" hidden="1">
      <c r="C375" s="40" t="str">
        <f>IFERROR(__xludf.DUMMYFUNCTION("TEXTJOIN("", "",TRUE,UNIQUE(FILTER('Data Master'!$B$2:$B1570,'Data Master'!$E$2:$E1570=A375)))"),"petani")</f>
        <v>petani</v>
      </c>
    </row>
    <row r="376" hidden="1">
      <c r="C376" s="40" t="str">
        <f>IFERROR(__xludf.DUMMYFUNCTION("TEXTJOIN("", "",TRUE,UNIQUE(FILTER('Data Master'!$B$2:$B1570,'Data Master'!$E$2:$E1570=A376)))"),"petani")</f>
        <v>petani</v>
      </c>
    </row>
    <row r="377" hidden="1">
      <c r="C377" s="40" t="str">
        <f>IFERROR(__xludf.DUMMYFUNCTION("TEXTJOIN("", "",TRUE,UNIQUE(FILTER('Data Master'!$B$2:$B1570,'Data Master'!$E$2:$E1570=A377)))"),"petani")</f>
        <v>petani</v>
      </c>
    </row>
    <row r="378" hidden="1">
      <c r="C378" s="40" t="str">
        <f>IFERROR(__xludf.DUMMYFUNCTION("TEXTJOIN("", "",TRUE,UNIQUE(FILTER('Data Master'!$B$2:$B1570,'Data Master'!$E$2:$E1570=A378)))"),"petani")</f>
        <v>petani</v>
      </c>
    </row>
    <row r="379" hidden="1">
      <c r="C379" s="40" t="str">
        <f>IFERROR(__xludf.DUMMYFUNCTION("TEXTJOIN("", "",TRUE,UNIQUE(FILTER('Data Master'!$B$2:$B1570,'Data Master'!$E$2:$E1570=A379)))"),"petani")</f>
        <v>petani</v>
      </c>
    </row>
    <row r="380" hidden="1">
      <c r="C380" s="40" t="str">
        <f>IFERROR(__xludf.DUMMYFUNCTION("TEXTJOIN("", "",TRUE,UNIQUE(FILTER('Data Master'!$B$2:$B1570,'Data Master'!$E$2:$E1570=A380)))"),"petani")</f>
        <v>petani</v>
      </c>
    </row>
    <row r="381" hidden="1">
      <c r="C381" s="40" t="str">
        <f>IFERROR(__xludf.DUMMYFUNCTION("TEXTJOIN("", "",TRUE,UNIQUE(FILTER('Data Master'!$B$2:$B1570,'Data Master'!$E$2:$E1570=A381)))"),"petani")</f>
        <v>petani</v>
      </c>
    </row>
    <row r="382" hidden="1">
      <c r="C382" s="40" t="str">
        <f>IFERROR(__xludf.DUMMYFUNCTION("TEXTJOIN("", "",TRUE,UNIQUE(FILTER('Data Master'!$B$2:$B1570,'Data Master'!$E$2:$E1570=A382)))"),"petani")</f>
        <v>petani</v>
      </c>
    </row>
    <row r="383" hidden="1">
      <c r="C383" s="40" t="str">
        <f>IFERROR(__xludf.DUMMYFUNCTION("TEXTJOIN("", "",TRUE,UNIQUE(FILTER('Data Master'!$B$2:$B1570,'Data Master'!$E$2:$E1570=A383)))"),"petani")</f>
        <v>petani</v>
      </c>
    </row>
    <row r="384" hidden="1">
      <c r="C384" s="40" t="str">
        <f>IFERROR(__xludf.DUMMYFUNCTION("TEXTJOIN("", "",TRUE,UNIQUE(FILTER('Data Master'!$B$2:$B1570,'Data Master'!$E$2:$E1570=A384)))"),"petani")</f>
        <v>petani</v>
      </c>
    </row>
    <row r="385" hidden="1">
      <c r="C385" s="40" t="str">
        <f>IFERROR(__xludf.DUMMYFUNCTION("TEXTJOIN("", "",TRUE,UNIQUE(FILTER('Data Master'!$B$2:$B1570,'Data Master'!$E$2:$E1570=A385)))"),"petani")</f>
        <v>petani</v>
      </c>
    </row>
    <row r="386" hidden="1">
      <c r="C386" s="40" t="str">
        <f>IFERROR(__xludf.DUMMYFUNCTION("TEXTJOIN("", "",TRUE,UNIQUE(FILTER('Data Master'!$B$2:$B1570,'Data Master'!$E$2:$E1570=A386)))"),"petani")</f>
        <v>petani</v>
      </c>
    </row>
    <row r="387" hidden="1">
      <c r="C387" s="40" t="str">
        <f>IFERROR(__xludf.DUMMYFUNCTION("TEXTJOIN("", "",TRUE,UNIQUE(FILTER('Data Master'!$B$2:$B1570,'Data Master'!$E$2:$E1570=A387)))"),"petani")</f>
        <v>petani</v>
      </c>
    </row>
    <row r="388" hidden="1">
      <c r="C388" s="40" t="str">
        <f>IFERROR(__xludf.DUMMYFUNCTION("TEXTJOIN("", "",TRUE,UNIQUE(FILTER('Data Master'!$B$2:$B1570,'Data Master'!$E$2:$E1570=A388)))"),"petani")</f>
        <v>petani</v>
      </c>
    </row>
    <row r="389" hidden="1">
      <c r="C389" s="40" t="str">
        <f>IFERROR(__xludf.DUMMYFUNCTION("TEXTJOIN("", "",TRUE,UNIQUE(FILTER('Data Master'!$B$2:$B1570,'Data Master'!$E$2:$E1570=A389)))"),"petani")</f>
        <v>petani</v>
      </c>
    </row>
    <row r="390" hidden="1">
      <c r="C390" s="40" t="str">
        <f>IFERROR(__xludf.DUMMYFUNCTION("TEXTJOIN("", "",TRUE,UNIQUE(FILTER('Data Master'!$B$2:$B1570,'Data Master'!$E$2:$E1570=A390)))"),"petani")</f>
        <v>petani</v>
      </c>
    </row>
    <row r="391" hidden="1">
      <c r="C391" s="40" t="str">
        <f>IFERROR(__xludf.DUMMYFUNCTION("TEXTJOIN("", "",TRUE,UNIQUE(FILTER('Data Master'!$B$2:$B1570,'Data Master'!$E$2:$E1570=A391)))"),"petani")</f>
        <v>petani</v>
      </c>
    </row>
    <row r="392" hidden="1">
      <c r="C392" s="40" t="str">
        <f>IFERROR(__xludf.DUMMYFUNCTION("TEXTJOIN("", "",TRUE,UNIQUE(FILTER('Data Master'!$B$2:$B1570,'Data Master'!$E$2:$E1570=A392)))"),"petani")</f>
        <v>petani</v>
      </c>
    </row>
    <row r="393" hidden="1">
      <c r="C393" s="40" t="str">
        <f>IFERROR(__xludf.DUMMYFUNCTION("TEXTJOIN("", "",TRUE,UNIQUE(FILTER('Data Master'!$B$2:$B1570,'Data Master'!$E$2:$E1570=A393)))"),"petani")</f>
        <v>petani</v>
      </c>
    </row>
    <row r="394" hidden="1">
      <c r="C394" s="40" t="str">
        <f>IFERROR(__xludf.DUMMYFUNCTION("TEXTJOIN("", "",TRUE,UNIQUE(FILTER('Data Master'!$B$2:$B1570,'Data Master'!$E$2:$E1570=A394)))"),"petani")</f>
        <v>petani</v>
      </c>
    </row>
    <row r="395" hidden="1">
      <c r="C395" s="40" t="str">
        <f>IFERROR(__xludf.DUMMYFUNCTION("TEXTJOIN("", "",TRUE,UNIQUE(FILTER('Data Master'!$B$2:$B1570,'Data Master'!$E$2:$E1570=A395)))"),"petani")</f>
        <v>petani</v>
      </c>
    </row>
    <row r="396" hidden="1">
      <c r="C396" s="40" t="str">
        <f>IFERROR(__xludf.DUMMYFUNCTION("TEXTJOIN("", "",TRUE,UNIQUE(FILTER('Data Master'!$B$2:$B1570,'Data Master'!$E$2:$E1570=A396)))"),"penyuluh")</f>
        <v>penyuluh</v>
      </c>
    </row>
    <row r="397">
      <c r="C397" s="43" t="str">
        <f>IFERROR(__xludf.DUMMYFUNCTION("TEXTJOIN("", "",TRUE,UNIQUE(FILTER('Data Master'!$B$2:$B1570,'Data Master'!$E$2:$E1570=A397)))"),"operator admin, penyuluh")</f>
        <v>operator admin, penyuluh</v>
      </c>
    </row>
    <row r="398" hidden="1">
      <c r="C398" s="40" t="str">
        <f>IFERROR(__xludf.DUMMYFUNCTION("TEXTJOIN("", "",TRUE,UNIQUE(FILTER('Data Master'!$B$2:$B1570,'Data Master'!$E$2:$E1570=A398)))"),"petani")</f>
        <v>petani</v>
      </c>
    </row>
    <row r="399" hidden="1">
      <c r="C399" s="40" t="str">
        <f>IFERROR(__xludf.DUMMYFUNCTION("TEXTJOIN("", "",TRUE,UNIQUE(FILTER('Data Master'!$B$2:$B1570,'Data Master'!$E$2:$E1570=A399)))"),"petani")</f>
        <v>petani</v>
      </c>
    </row>
    <row r="400" hidden="1">
      <c r="C400" s="40" t="str">
        <f>IFERROR(__xludf.DUMMYFUNCTION("TEXTJOIN("", "",TRUE,UNIQUE(FILTER('Data Master'!$B$2:$B1570,'Data Master'!$E$2:$E1570=A400)))"),"petani")</f>
        <v>petani</v>
      </c>
    </row>
    <row r="401" hidden="1">
      <c r="C401" s="40" t="str">
        <f>IFERROR(__xludf.DUMMYFUNCTION("TEXTJOIN("", "",TRUE,UNIQUE(FILTER('Data Master'!$B$2:$B1570,'Data Master'!$E$2:$E1570=A401)))"),"petani")</f>
        <v>petani</v>
      </c>
    </row>
    <row r="402" hidden="1">
      <c r="C402" s="40" t="str">
        <f>IFERROR(__xludf.DUMMYFUNCTION("TEXTJOIN("", "",TRUE,UNIQUE(FILTER('Data Master'!$B$2:$B1570,'Data Master'!$E$2:$E1570=A402)))"),"penyuluh")</f>
        <v>penyuluh</v>
      </c>
    </row>
    <row r="403" hidden="1">
      <c r="C403" s="40" t="str">
        <f>IFERROR(__xludf.DUMMYFUNCTION("TEXTJOIN("", "",TRUE,UNIQUE(FILTER('Data Master'!$B$2:$B1570,'Data Master'!$E$2:$E1570=A403)))"),"petani")</f>
        <v>petani</v>
      </c>
    </row>
    <row r="404" hidden="1">
      <c r="C404" s="40" t="str">
        <f>IFERROR(__xludf.DUMMYFUNCTION("TEXTJOIN("", "",TRUE,UNIQUE(FILTER('Data Master'!$B$2:$B1570,'Data Master'!$E$2:$E1570=A404)))"),"petani")</f>
        <v>petani</v>
      </c>
    </row>
    <row r="405" hidden="1">
      <c r="C405" s="40" t="str">
        <f>IFERROR(__xludf.DUMMYFUNCTION("TEXTJOIN("", "",TRUE,UNIQUE(FILTER('Data Master'!$B$2:$B1570,'Data Master'!$E$2:$E1570=A405)))"),"petani")</f>
        <v>petani</v>
      </c>
    </row>
    <row r="406" hidden="1">
      <c r="C406" s="40" t="str">
        <f>IFERROR(__xludf.DUMMYFUNCTION("TEXTJOIN("", "",TRUE,UNIQUE(FILTER('Data Master'!$B$2:$B1570,'Data Master'!$E$2:$E1570=A406)))"),"petani")</f>
        <v>petani</v>
      </c>
    </row>
    <row r="407" hidden="1">
      <c r="C407" s="40" t="str">
        <f>IFERROR(__xludf.DUMMYFUNCTION("TEXTJOIN("", "",TRUE,UNIQUE(FILTER('Data Master'!$B$2:$B1570,'Data Master'!$E$2:$E1570=A407)))"),"petani")</f>
        <v>petani</v>
      </c>
    </row>
    <row r="408" hidden="1">
      <c r="C408" s="40" t="str">
        <f>IFERROR(__xludf.DUMMYFUNCTION("TEXTJOIN("", "",TRUE,UNIQUE(FILTER('Data Master'!$B$2:$B1570,'Data Master'!$E$2:$E1570=A408)))"),"petani")</f>
        <v>petani</v>
      </c>
    </row>
    <row r="409" hidden="1">
      <c r="C409" s="40" t="str">
        <f>IFERROR(__xludf.DUMMYFUNCTION("TEXTJOIN("", "",TRUE,UNIQUE(FILTER('Data Master'!$B$2:$B1570,'Data Master'!$E$2:$E1570=A409)))"),"petani")</f>
        <v>petani</v>
      </c>
    </row>
    <row r="410" hidden="1">
      <c r="C410" s="40" t="str">
        <f>IFERROR(__xludf.DUMMYFUNCTION("TEXTJOIN("", "",TRUE,UNIQUE(FILTER('Data Master'!$B$2:$B1570,'Data Master'!$E$2:$E1570=A410)))"),"penyuluh")</f>
        <v>penyuluh</v>
      </c>
    </row>
    <row r="411" hidden="1">
      <c r="C411" s="40" t="str">
        <f>IFERROR(__xludf.DUMMYFUNCTION("TEXTJOIN("", "",TRUE,UNIQUE(FILTER('Data Master'!$B$2:$B1570,'Data Master'!$E$2:$E1570=A411)))"),"penyuluh")</f>
        <v>penyuluh</v>
      </c>
    </row>
    <row r="412" hidden="1">
      <c r="C412" s="40" t="str">
        <f>IFERROR(__xludf.DUMMYFUNCTION("TEXTJOIN("", "",TRUE,UNIQUE(FILTER('Data Master'!$B$2:$B1570,'Data Master'!$E$2:$E1570=A412)))"),"petani")</f>
        <v>petani</v>
      </c>
    </row>
    <row r="413" hidden="1">
      <c r="C413" s="40" t="str">
        <f>IFERROR(__xludf.DUMMYFUNCTION("TEXTJOIN("", "",TRUE,UNIQUE(FILTER('Data Master'!$B$2:$B1570,'Data Master'!$E$2:$E1570=A413)))"),"petani")</f>
        <v>petani</v>
      </c>
    </row>
    <row r="414" hidden="1">
      <c r="C414" s="40" t="str">
        <f>IFERROR(__xludf.DUMMYFUNCTION("TEXTJOIN("", "",TRUE,UNIQUE(FILTER('Data Master'!$B$2:$B1570,'Data Master'!$E$2:$E1570=A414)))"),"petani")</f>
        <v>petani</v>
      </c>
    </row>
    <row r="415" hidden="1">
      <c r="C415" s="40" t="str">
        <f>IFERROR(__xludf.DUMMYFUNCTION("TEXTJOIN("", "",TRUE,UNIQUE(FILTER('Data Master'!$B$2:$B1570,'Data Master'!$E$2:$E1570=A415)))"),"petani")</f>
        <v>petani</v>
      </c>
    </row>
    <row r="416" hidden="1">
      <c r="C416" s="40" t="str">
        <f>IFERROR(__xludf.DUMMYFUNCTION("TEXTJOIN("", "",TRUE,UNIQUE(FILTER('Data Master'!$B$2:$B1570,'Data Master'!$E$2:$E1570=A416)))"),"petani")</f>
        <v>petani</v>
      </c>
    </row>
    <row r="417" hidden="1">
      <c r="C417" s="40" t="str">
        <f>IFERROR(__xludf.DUMMYFUNCTION("TEXTJOIN("", "",TRUE,UNIQUE(FILTER('Data Master'!$B$2:$B1570,'Data Master'!$E$2:$E1570=A417)))"),"petani")</f>
        <v>petani</v>
      </c>
    </row>
    <row r="418" hidden="1">
      <c r="C418" s="40" t="str">
        <f>IFERROR(__xludf.DUMMYFUNCTION("TEXTJOIN("", "",TRUE,UNIQUE(FILTER('Data Master'!$B$2:$B1570,'Data Master'!$E$2:$E1570=A418)))"),"petani")</f>
        <v>petani</v>
      </c>
    </row>
    <row r="419" hidden="1">
      <c r="C419" s="40" t="str">
        <f>IFERROR(__xludf.DUMMYFUNCTION("TEXTJOIN("", "",TRUE,UNIQUE(FILTER('Data Master'!$B$2:$B1570,'Data Master'!$E$2:$E1570=A419)))"),"petani")</f>
        <v>petani</v>
      </c>
    </row>
    <row r="420" hidden="1">
      <c r="C420" s="40" t="str">
        <f>IFERROR(__xludf.DUMMYFUNCTION("TEXTJOIN("", "",TRUE,UNIQUE(FILTER('Data Master'!$B$2:$B1570,'Data Master'!$E$2:$E1570=A420)))"),"penyuluh")</f>
        <v>penyuluh</v>
      </c>
    </row>
    <row r="421" hidden="1">
      <c r="C421" s="40" t="str">
        <f>IFERROR(__xludf.DUMMYFUNCTION("TEXTJOIN("", "",TRUE,UNIQUE(FILTER('Data Master'!$B$2:$B1570,'Data Master'!$E$2:$E1570=A421)))"),"petani")</f>
        <v>petani</v>
      </c>
    </row>
    <row r="422" hidden="1">
      <c r="C422" s="40" t="str">
        <f>IFERROR(__xludf.DUMMYFUNCTION("TEXTJOIN("", "",TRUE,UNIQUE(FILTER('Data Master'!$B$2:$B1570,'Data Master'!$E$2:$E1570=A422)))"),"petani")</f>
        <v>petani</v>
      </c>
    </row>
    <row r="423" hidden="1">
      <c r="C423" s="40" t="str">
        <f>IFERROR(__xludf.DUMMYFUNCTION("TEXTJOIN("", "",TRUE,UNIQUE(FILTER('Data Master'!$B$2:$B1570,'Data Master'!$E$2:$E1570=A423)))"),"petani")</f>
        <v>petani</v>
      </c>
    </row>
    <row r="424" hidden="1">
      <c r="C424" s="40" t="str">
        <f>IFERROR(__xludf.DUMMYFUNCTION("TEXTJOIN("", "",TRUE,UNIQUE(FILTER('Data Master'!$B$2:$B1570,'Data Master'!$E$2:$E1570=A424)))"),"petani")</f>
        <v>petani</v>
      </c>
    </row>
    <row r="425" hidden="1">
      <c r="C425" s="40" t="str">
        <f>IFERROR(__xludf.DUMMYFUNCTION("TEXTJOIN("", "",TRUE,UNIQUE(FILTER('Data Master'!$B$2:$B1570,'Data Master'!$E$2:$E1570=A425)))"),"petani")</f>
        <v>petani</v>
      </c>
    </row>
    <row r="426" hidden="1">
      <c r="C426" s="40" t="str">
        <f>IFERROR(__xludf.DUMMYFUNCTION("TEXTJOIN("", "",TRUE,UNIQUE(FILTER('Data Master'!$B$2:$B1570,'Data Master'!$E$2:$E1570=A426)))"),"penyuluh")</f>
        <v>penyuluh</v>
      </c>
    </row>
    <row r="427" hidden="1">
      <c r="C427" s="40" t="str">
        <f>IFERROR(__xludf.DUMMYFUNCTION("TEXTJOIN("", "",TRUE,UNIQUE(FILTER('Data Master'!$B$2:$B1570,'Data Master'!$E$2:$E1570=A427)))"),"petani")</f>
        <v>petani</v>
      </c>
    </row>
    <row r="428">
      <c r="C428" s="43" t="str">
        <f>IFERROR(__xludf.DUMMYFUNCTION("TEXTJOIN("", "",TRUE,UNIQUE(FILTER('Data Master'!$B$2:$B1570,'Data Master'!$E$2:$E1570=A428)))"),"penyuluh")</f>
        <v>penyuluh</v>
      </c>
    </row>
    <row r="429" hidden="1">
      <c r="C429" s="40" t="str">
        <f>IFERROR(__xludf.DUMMYFUNCTION("TEXTJOIN("", "",TRUE,UNIQUE(FILTER('Data Master'!$B$2:$B1570,'Data Master'!$E$2:$E1570=A429)))"),"petani")</f>
        <v>petani</v>
      </c>
    </row>
    <row r="430" hidden="1">
      <c r="C430" s="40" t="str">
        <f>IFERROR(__xludf.DUMMYFUNCTION("TEXTJOIN("", "",TRUE,UNIQUE(FILTER('Data Master'!$B$2:$B1570,'Data Master'!$E$2:$E1570=A430)))"),"penyuluh")</f>
        <v>penyuluh</v>
      </c>
    </row>
    <row r="431">
      <c r="C431" s="43" t="str">
        <f>IFERROR(__xludf.DUMMYFUNCTION("TEXTJOIN("", "",TRUE,UNIQUE(FILTER('Data Master'!$B$2:$B1570,'Data Master'!$E$2:$E1570=A431)))"),"operator admin, penyuluh")</f>
        <v>operator admin, penyuluh</v>
      </c>
    </row>
    <row r="432" hidden="1">
      <c r="C432" s="40" t="str">
        <f>IFERROR(__xludf.DUMMYFUNCTION("TEXTJOIN("", "",TRUE,UNIQUE(FILTER('Data Master'!$B$2:$B1570,'Data Master'!$E$2:$E1570=A432)))"),"petani")</f>
        <v>petani</v>
      </c>
    </row>
    <row r="433" hidden="1">
      <c r="C433" s="40" t="str">
        <f>IFERROR(__xludf.DUMMYFUNCTION("TEXTJOIN("", "",TRUE,UNIQUE(FILTER('Data Master'!$B$2:$B1570,'Data Master'!$E$2:$E1570=A433)))"),"penyuluh")</f>
        <v>penyuluh</v>
      </c>
    </row>
    <row r="434" hidden="1">
      <c r="C434" s="40" t="str">
        <f>IFERROR(__xludf.DUMMYFUNCTION("TEXTJOIN("", "",TRUE,UNIQUE(FILTER('Data Master'!$B$2:$B1570,'Data Master'!$E$2:$E1570=A434)))"),"petani")</f>
        <v>petani</v>
      </c>
    </row>
    <row r="435" hidden="1">
      <c r="C435" s="40" t="str">
        <f>IFERROR(__xludf.DUMMYFUNCTION("TEXTJOIN("", "",TRUE,UNIQUE(FILTER('Data Master'!$B$2:$B1570,'Data Master'!$E$2:$E1570=A435)))"),"petani")</f>
        <v>petani</v>
      </c>
    </row>
    <row r="436" hidden="1">
      <c r="C436" s="40" t="str">
        <f>IFERROR(__xludf.DUMMYFUNCTION("TEXTJOIN("", "",TRUE,UNIQUE(FILTER('Data Master'!$B$2:$B1570,'Data Master'!$E$2:$E1570=A436)))"),"petani")</f>
        <v>petani</v>
      </c>
    </row>
    <row r="437" hidden="1">
      <c r="C437" s="40" t="str">
        <f>IFERROR(__xludf.DUMMYFUNCTION("TEXTJOIN("", "",TRUE,UNIQUE(FILTER('Data Master'!$B$2:$B1570,'Data Master'!$E$2:$E1570=A437)))"),"petani")</f>
        <v>petani</v>
      </c>
    </row>
    <row r="438" hidden="1">
      <c r="C438" s="40" t="str">
        <f>IFERROR(__xludf.DUMMYFUNCTION("TEXTJOIN("", "",TRUE,UNIQUE(FILTER('Data Master'!$B$2:$B1570,'Data Master'!$E$2:$E1570=A438)))"),"petani")</f>
        <v>petani</v>
      </c>
    </row>
    <row r="439" hidden="1">
      <c r="C439" s="40" t="str">
        <f>IFERROR(__xludf.DUMMYFUNCTION("TEXTJOIN("", "",TRUE,UNIQUE(FILTER('Data Master'!$B$2:$B1570,'Data Master'!$E$2:$E1570=A439)))"),"petani")</f>
        <v>petani</v>
      </c>
    </row>
    <row r="440" hidden="1">
      <c r="C440" s="40" t="str">
        <f>IFERROR(__xludf.DUMMYFUNCTION("TEXTJOIN("", "",TRUE,UNIQUE(FILTER('Data Master'!$B$2:$B1570,'Data Master'!$E$2:$E1570=A440)))"),"petani")</f>
        <v>petani</v>
      </c>
    </row>
    <row r="441" hidden="1">
      <c r="C441" s="40" t="str">
        <f>IFERROR(__xludf.DUMMYFUNCTION("TEXTJOIN("", "",TRUE,UNIQUE(FILTER('Data Master'!$B$2:$B1570,'Data Master'!$E$2:$E1570=A441)))"),"penyuluh")</f>
        <v>penyuluh</v>
      </c>
    </row>
    <row r="442" hidden="1">
      <c r="C442" s="40" t="str">
        <f>IFERROR(__xludf.DUMMYFUNCTION("TEXTJOIN("", "",TRUE,UNIQUE(FILTER('Data Master'!$B$2:$B1570,'Data Master'!$E$2:$E1570=A442)))"),"petani")</f>
        <v>petani</v>
      </c>
    </row>
    <row r="443" hidden="1">
      <c r="C443" s="40" t="str">
        <f>IFERROR(__xludf.DUMMYFUNCTION("TEXTJOIN("", "",TRUE,UNIQUE(FILTER('Data Master'!$B$2:$B1570,'Data Master'!$E$2:$E1570=A443)))"),"petani")</f>
        <v>petani</v>
      </c>
    </row>
    <row r="444" hidden="1">
      <c r="C444" s="40" t="str">
        <f>IFERROR(__xludf.DUMMYFUNCTION("TEXTJOIN("", "",TRUE,UNIQUE(FILTER('Data Master'!$B$2:$B1570,'Data Master'!$E$2:$E1570=A444)))"),"petani")</f>
        <v>petani</v>
      </c>
    </row>
    <row r="445" hidden="1">
      <c r="C445" s="40" t="str">
        <f>IFERROR(__xludf.DUMMYFUNCTION("TEXTJOIN("", "",TRUE,UNIQUE(FILTER('Data Master'!$B$2:$B1570,'Data Master'!$E$2:$E1570=A445)))"),"petani")</f>
        <v>petani</v>
      </c>
    </row>
    <row r="446" hidden="1">
      <c r="C446" s="40" t="str">
        <f>IFERROR(__xludf.DUMMYFUNCTION("TEXTJOIN("", "",TRUE,UNIQUE(FILTER('Data Master'!$B$2:$B1570,'Data Master'!$E$2:$E1570=A446)))"),"penyuluh")</f>
        <v>penyuluh</v>
      </c>
    </row>
    <row r="447" hidden="1">
      <c r="C447" s="40" t="str">
        <f>IFERROR(__xludf.DUMMYFUNCTION("TEXTJOIN("", "",TRUE,UNIQUE(FILTER('Data Master'!$B$2:$B1570,'Data Master'!$E$2:$E1570=A447)))"),"petani")</f>
        <v>petani</v>
      </c>
    </row>
    <row r="448" hidden="1">
      <c r="C448" s="40" t="str">
        <f>IFERROR(__xludf.DUMMYFUNCTION("TEXTJOIN("", "",TRUE,UNIQUE(FILTER('Data Master'!$B$2:$B1570,'Data Master'!$E$2:$E1570=A448)))"),"penyuluh")</f>
        <v>penyuluh</v>
      </c>
    </row>
    <row r="449" hidden="1">
      <c r="C449" s="40" t="str">
        <f>IFERROR(__xludf.DUMMYFUNCTION("TEXTJOIN("", "",TRUE,UNIQUE(FILTER('Data Master'!$B$2:$B1570,'Data Master'!$E$2:$E1570=A449)))"),"petani")</f>
        <v>petani</v>
      </c>
    </row>
    <row r="450" hidden="1">
      <c r="C450" s="40" t="str">
        <f>IFERROR(__xludf.DUMMYFUNCTION("TEXTJOIN("", "",TRUE,UNIQUE(FILTER('Data Master'!$B$2:$B1570,'Data Master'!$E$2:$E1570=A450)))"),"penyuluh")</f>
        <v>penyuluh</v>
      </c>
    </row>
    <row r="451" hidden="1">
      <c r="C451" s="40" t="str">
        <f>IFERROR(__xludf.DUMMYFUNCTION("TEXTJOIN("", "",TRUE,UNIQUE(FILTER('Data Master'!$B$2:$B1570,'Data Master'!$E$2:$E1570=A451)))"),"petani")</f>
        <v>petani</v>
      </c>
    </row>
    <row r="452" hidden="1">
      <c r="C452" s="40" t="str">
        <f>IFERROR(__xludf.DUMMYFUNCTION("TEXTJOIN("", "",TRUE,UNIQUE(FILTER('Data Master'!$B$2:$B1570,'Data Master'!$E$2:$E1570=A452)))"),"petani")</f>
        <v>petani</v>
      </c>
    </row>
    <row r="453" hidden="1">
      <c r="C453" s="40" t="str">
        <f>IFERROR(__xludf.DUMMYFUNCTION("TEXTJOIN("", "",TRUE,UNIQUE(FILTER('Data Master'!$B$2:$B1570,'Data Master'!$E$2:$E1570=A453)))"),"petani")</f>
        <v>petani</v>
      </c>
    </row>
    <row r="454" hidden="1">
      <c r="C454" s="40" t="str">
        <f>IFERROR(__xludf.DUMMYFUNCTION("TEXTJOIN("", "",TRUE,UNIQUE(FILTER('Data Master'!$B$2:$B1570,'Data Master'!$E$2:$E1570=A454)))"),"petani")</f>
        <v>petani</v>
      </c>
    </row>
    <row r="455" hidden="1">
      <c r="C455" s="40" t="str">
        <f>IFERROR(__xludf.DUMMYFUNCTION("TEXTJOIN("", "",TRUE,UNIQUE(FILTER('Data Master'!$B$2:$B1570,'Data Master'!$E$2:$E1570=A455)))"),"petani")</f>
        <v>petani</v>
      </c>
    </row>
    <row r="456" hidden="1">
      <c r="C456" s="40" t="str">
        <f>IFERROR(__xludf.DUMMYFUNCTION("TEXTJOIN("", "",TRUE,UNIQUE(FILTER('Data Master'!$B$2:$B1570,'Data Master'!$E$2:$E1570=A456)))"),"petani")</f>
        <v>petani</v>
      </c>
    </row>
    <row r="457" hidden="1">
      <c r="C457" s="40" t="str">
        <f>IFERROR(__xludf.DUMMYFUNCTION("TEXTJOIN("", "",TRUE,UNIQUE(FILTER('Data Master'!$B$2:$B1570,'Data Master'!$E$2:$E1570=A457)))"),"petani")</f>
        <v>petani</v>
      </c>
    </row>
    <row r="458" hidden="1">
      <c r="C458" s="40" t="str">
        <f>IFERROR(__xludf.DUMMYFUNCTION("TEXTJOIN("", "",TRUE,UNIQUE(FILTER('Data Master'!$B$2:$B1570,'Data Master'!$E$2:$E1570=A458)))"),"petani")</f>
        <v>petani</v>
      </c>
    </row>
    <row r="459" hidden="1">
      <c r="C459" s="40" t="str">
        <f>IFERROR(__xludf.DUMMYFUNCTION("TEXTJOIN("", "",TRUE,UNIQUE(FILTER('Data Master'!$B$2:$B1570,'Data Master'!$E$2:$E1570=A459)))"),"petani")</f>
        <v>petani</v>
      </c>
    </row>
    <row r="460" hidden="1">
      <c r="C460" s="40" t="str">
        <f>IFERROR(__xludf.DUMMYFUNCTION("TEXTJOIN("", "",TRUE,UNIQUE(FILTER('Data Master'!$B$2:$B1570,'Data Master'!$E$2:$E1570=A460)))"),"petani")</f>
        <v>petani</v>
      </c>
    </row>
    <row r="461" hidden="1">
      <c r="C461" s="40" t="str">
        <f>IFERROR(__xludf.DUMMYFUNCTION("TEXTJOIN("", "",TRUE,UNIQUE(FILTER('Data Master'!$B$2:$B1570,'Data Master'!$E$2:$E1570=A461)))"),"petani")</f>
        <v>petani</v>
      </c>
    </row>
    <row r="462" hidden="1">
      <c r="C462" s="40" t="str">
        <f>IFERROR(__xludf.DUMMYFUNCTION("TEXTJOIN("", "",TRUE,UNIQUE(FILTER('Data Master'!$B$2:$B1570,'Data Master'!$E$2:$E1570=A462)))"),"petani")</f>
        <v>petani</v>
      </c>
    </row>
    <row r="463" hidden="1">
      <c r="C463" s="40" t="str">
        <f>IFERROR(__xludf.DUMMYFUNCTION("TEXTJOIN("", "",TRUE,UNIQUE(FILTER('Data Master'!$B$2:$B1570,'Data Master'!$E$2:$E1570=A463)))"),"petani")</f>
        <v>petani</v>
      </c>
    </row>
    <row r="464" hidden="1">
      <c r="C464" s="40" t="str">
        <f>IFERROR(__xludf.DUMMYFUNCTION("TEXTJOIN("", "",TRUE,UNIQUE(FILTER('Data Master'!$B$2:$B1570,'Data Master'!$E$2:$E1570=A464)))"),"petani")</f>
        <v>petani</v>
      </c>
    </row>
    <row r="465" hidden="1">
      <c r="C465" s="40" t="str">
        <f>IFERROR(__xludf.DUMMYFUNCTION("TEXTJOIN("", "",TRUE,UNIQUE(FILTER('Data Master'!$B$2:$B1570,'Data Master'!$E$2:$E1570=A465)))"),"petani")</f>
        <v>petani</v>
      </c>
    </row>
    <row r="466" hidden="1">
      <c r="C466" s="40" t="str">
        <f>IFERROR(__xludf.DUMMYFUNCTION("TEXTJOIN("", "",TRUE,UNIQUE(FILTER('Data Master'!$B$2:$B1570,'Data Master'!$E$2:$E1570=A466)))"),"petani")</f>
        <v>petani</v>
      </c>
    </row>
    <row r="467">
      <c r="C467" s="43" t="str">
        <f>IFERROR(__xludf.DUMMYFUNCTION("TEXTJOIN("", "",TRUE,UNIQUE(FILTER('Data Master'!$B$2:$B1570,'Data Master'!$E$2:$E1570=A467)))"),"penyuluh")</f>
        <v>penyuluh</v>
      </c>
    </row>
    <row r="468" hidden="1">
      <c r="C468" s="40" t="str">
        <f>IFERROR(__xludf.DUMMYFUNCTION("TEXTJOIN("", "",TRUE,UNIQUE(FILTER('Data Master'!$B$2:$B1570,'Data Master'!$E$2:$E1570=A468)))"),"petani")</f>
        <v>petani</v>
      </c>
    </row>
    <row r="469" hidden="1">
      <c r="C469" s="40" t="str">
        <f>IFERROR(__xludf.DUMMYFUNCTION("TEXTJOIN("", "",TRUE,UNIQUE(FILTER('Data Master'!$B$2:$B1570,'Data Master'!$E$2:$E1570=A469)))"),"petani")</f>
        <v>petani</v>
      </c>
    </row>
    <row r="470" hidden="1">
      <c r="C470" s="40" t="str">
        <f>IFERROR(__xludf.DUMMYFUNCTION("TEXTJOIN("", "",TRUE,UNIQUE(FILTER('Data Master'!$B$2:$B1570,'Data Master'!$E$2:$E1570=A470)))"),"petani")</f>
        <v>petani</v>
      </c>
    </row>
    <row r="471" hidden="1">
      <c r="C471" s="40" t="str">
        <f>IFERROR(__xludf.DUMMYFUNCTION("TEXTJOIN("", "",TRUE,UNIQUE(FILTER('Data Master'!$B$2:$B1570,'Data Master'!$E$2:$E1570=A471)))"),"petani")</f>
        <v>petani</v>
      </c>
    </row>
    <row r="472" hidden="1">
      <c r="C472" s="40" t="str">
        <f>IFERROR(__xludf.DUMMYFUNCTION("TEXTJOIN("", "",TRUE,UNIQUE(FILTER('Data Master'!$B$2:$B1570,'Data Master'!$E$2:$E1570=A472)))"),"petani")</f>
        <v>petani</v>
      </c>
    </row>
    <row r="473" hidden="1">
      <c r="C473" s="40" t="str">
        <f>IFERROR(__xludf.DUMMYFUNCTION("TEXTJOIN("", "",TRUE,UNIQUE(FILTER('Data Master'!$B$2:$B1570,'Data Master'!$E$2:$E1570=A473)))"),"petani")</f>
        <v>petani</v>
      </c>
    </row>
    <row r="474" hidden="1">
      <c r="C474" s="40" t="str">
        <f>IFERROR(__xludf.DUMMYFUNCTION("TEXTJOIN("", "",TRUE,UNIQUE(FILTER('Data Master'!$B$2:$B1570,'Data Master'!$E$2:$E1570=A474)))"),"petani")</f>
        <v>petani</v>
      </c>
    </row>
    <row r="475" hidden="1">
      <c r="C475" s="40" t="str">
        <f>IFERROR(__xludf.DUMMYFUNCTION("TEXTJOIN("", "",TRUE,UNIQUE(FILTER('Data Master'!$B$2:$B1570,'Data Master'!$E$2:$E1570=A475)))"),"petani")</f>
        <v>petani</v>
      </c>
    </row>
    <row r="476" hidden="1">
      <c r="C476" s="40" t="str">
        <f>IFERROR(__xludf.DUMMYFUNCTION("TEXTJOIN("", "",TRUE,UNIQUE(FILTER('Data Master'!$B$2:$B1570,'Data Master'!$E$2:$E1570=A476)))"),"petani")</f>
        <v>petani</v>
      </c>
    </row>
    <row r="477" hidden="1">
      <c r="C477" s="40" t="str">
        <f>IFERROR(__xludf.DUMMYFUNCTION("TEXTJOIN("", "",TRUE,UNIQUE(FILTER('Data Master'!$B$2:$B1570,'Data Master'!$E$2:$E1570=A477)))"),"petani")</f>
        <v>petani</v>
      </c>
    </row>
    <row r="478" hidden="1">
      <c r="C478" s="40" t="str">
        <f>IFERROR(__xludf.DUMMYFUNCTION("TEXTJOIN("", "",TRUE,UNIQUE(FILTER('Data Master'!$B$2:$B1570,'Data Master'!$E$2:$E1570=A478)))"),"petani")</f>
        <v>petani</v>
      </c>
    </row>
    <row r="479" hidden="1">
      <c r="C479" s="40" t="str">
        <f>IFERROR(__xludf.DUMMYFUNCTION("TEXTJOIN("", "",TRUE,UNIQUE(FILTER('Data Master'!$B$2:$B1570,'Data Master'!$E$2:$E1570=A479)))"),"petani")</f>
        <v>petani</v>
      </c>
    </row>
    <row r="480" hidden="1">
      <c r="C480" s="40" t="str">
        <f>IFERROR(__xludf.DUMMYFUNCTION("TEXTJOIN("", "",TRUE,UNIQUE(FILTER('Data Master'!$B$2:$B1570,'Data Master'!$E$2:$E1570=A480)))"),"petani")</f>
        <v>petani</v>
      </c>
    </row>
    <row r="481" hidden="1">
      <c r="C481" s="40" t="str">
        <f>IFERROR(__xludf.DUMMYFUNCTION("TEXTJOIN("", "",TRUE,UNIQUE(FILTER('Data Master'!$B$2:$B1570,'Data Master'!$E$2:$E1570=A481)))"),"petani")</f>
        <v>petani</v>
      </c>
    </row>
    <row r="482" hidden="1">
      <c r="C482" s="40" t="str">
        <f>IFERROR(__xludf.DUMMYFUNCTION("TEXTJOIN("", "",TRUE,UNIQUE(FILTER('Data Master'!$B$2:$B1570,'Data Master'!$E$2:$E1570=A482)))"),"petani")</f>
        <v>petani</v>
      </c>
    </row>
    <row r="483" hidden="1">
      <c r="C483" s="40" t="str">
        <f>IFERROR(__xludf.DUMMYFUNCTION("TEXTJOIN("", "",TRUE,UNIQUE(FILTER('Data Master'!$B$2:$B1570,'Data Master'!$E$2:$E1570=A483)))"),"petani")</f>
        <v>petani</v>
      </c>
    </row>
    <row r="484" hidden="1">
      <c r="C484" s="40" t="str">
        <f>IFERROR(__xludf.DUMMYFUNCTION("TEXTJOIN("", "",TRUE,UNIQUE(FILTER('Data Master'!$B$2:$B1570,'Data Master'!$E$2:$E1570=A484)))"),"petani")</f>
        <v>petani</v>
      </c>
    </row>
    <row r="485" hidden="1">
      <c r="C485" s="40" t="str">
        <f>IFERROR(__xludf.DUMMYFUNCTION("TEXTJOIN("", "",TRUE,UNIQUE(FILTER('Data Master'!$B$2:$B1570,'Data Master'!$E$2:$E1570=A485)))"),"petani")</f>
        <v>petani</v>
      </c>
    </row>
    <row r="486" hidden="1">
      <c r="C486" s="40" t="str">
        <f>IFERROR(__xludf.DUMMYFUNCTION("TEXTJOIN("", "",TRUE,UNIQUE(FILTER('Data Master'!$B$2:$B1570,'Data Master'!$E$2:$E1570=A486)))"),"penyuluh")</f>
        <v>penyuluh</v>
      </c>
    </row>
    <row r="487" hidden="1">
      <c r="C487" s="40" t="str">
        <f>IFERROR(__xludf.DUMMYFUNCTION("TEXTJOIN("", "",TRUE,UNIQUE(FILTER('Data Master'!$B$2:$B1570,'Data Master'!$E$2:$E1570=A487)))"),"penyuluh")</f>
        <v>penyuluh</v>
      </c>
    </row>
    <row r="488" hidden="1">
      <c r="C488" s="40" t="str">
        <f>IFERROR(__xludf.DUMMYFUNCTION("TEXTJOIN("", "",TRUE,UNIQUE(FILTER('Data Master'!$B$2:$B1570,'Data Master'!$E$2:$E1570=A488)))"),"penyuluh")</f>
        <v>penyuluh</v>
      </c>
    </row>
    <row r="489" hidden="1">
      <c r="C489" s="40" t="str">
        <f>IFERROR(__xludf.DUMMYFUNCTION("TEXTJOIN("", "",TRUE,UNIQUE(FILTER('Data Master'!$B$2:$B1570,'Data Master'!$E$2:$E1570=A489)))"),"petani")</f>
        <v>petani</v>
      </c>
    </row>
    <row r="490" hidden="1">
      <c r="C490" s="40" t="str">
        <f>IFERROR(__xludf.DUMMYFUNCTION("TEXTJOIN("", "",TRUE,UNIQUE(FILTER('Data Master'!$B$2:$B1570,'Data Master'!$E$2:$E1570=A490)))"),"petani")</f>
        <v>petani</v>
      </c>
    </row>
    <row r="491" hidden="1">
      <c r="C491" s="40" t="str">
        <f>IFERROR(__xludf.DUMMYFUNCTION("TEXTJOIN("", "",TRUE,UNIQUE(FILTER('Data Master'!$B$2:$B1570,'Data Master'!$E$2:$E1570=A491)))"),"petani")</f>
        <v>petani</v>
      </c>
    </row>
    <row r="492" hidden="1">
      <c r="C492" s="40" t="str">
        <f>IFERROR(__xludf.DUMMYFUNCTION("TEXTJOIN("", "",TRUE,UNIQUE(FILTER('Data Master'!$B$2:$B1570,'Data Master'!$E$2:$E1570=A492)))"),"petani")</f>
        <v>petani</v>
      </c>
    </row>
    <row r="493" hidden="1">
      <c r="C493" s="40" t="str">
        <f>IFERROR(__xludf.DUMMYFUNCTION("TEXTJOIN("", "",TRUE,UNIQUE(FILTER('Data Master'!$B$2:$B1570,'Data Master'!$E$2:$E1570=A493)))"),"petani")</f>
        <v>petani</v>
      </c>
    </row>
    <row r="494" hidden="1">
      <c r="C494" s="40" t="str">
        <f>IFERROR(__xludf.DUMMYFUNCTION("TEXTJOIN("", "",TRUE,UNIQUE(FILTER('Data Master'!$B$2:$B1570,'Data Master'!$E$2:$E1570=A494)))"),"petani")</f>
        <v>petani</v>
      </c>
    </row>
    <row r="495" hidden="1">
      <c r="C495" s="40" t="str">
        <f>IFERROR(__xludf.DUMMYFUNCTION("TEXTJOIN("", "",TRUE,UNIQUE(FILTER('Data Master'!$B$2:$B1570,'Data Master'!$E$2:$E1570=A495)))"),"petani")</f>
        <v>petani</v>
      </c>
    </row>
    <row r="496" hidden="1">
      <c r="C496" s="40" t="str">
        <f>IFERROR(__xludf.DUMMYFUNCTION("TEXTJOIN("", "",TRUE,UNIQUE(FILTER('Data Master'!$B$2:$B1570,'Data Master'!$E$2:$E1570=A496)))"),"petani")</f>
        <v>petani</v>
      </c>
    </row>
    <row r="497" hidden="1">
      <c r="C497" s="40" t="str">
        <f>IFERROR(__xludf.DUMMYFUNCTION("TEXTJOIN("", "",TRUE,UNIQUE(FILTER('Data Master'!$B$2:$B1570,'Data Master'!$E$2:$E1570=A497)))"),"petani")</f>
        <v>petani</v>
      </c>
    </row>
    <row r="498" hidden="1">
      <c r="C498" s="40" t="str">
        <f>IFERROR(__xludf.DUMMYFUNCTION("TEXTJOIN("", "",TRUE,UNIQUE(FILTER('Data Master'!$B$2:$B1570,'Data Master'!$E$2:$E1570=A498)))"),"petani")</f>
        <v>petani</v>
      </c>
    </row>
    <row r="499" hidden="1">
      <c r="C499" s="40" t="str">
        <f>IFERROR(__xludf.DUMMYFUNCTION("TEXTJOIN("", "",TRUE,UNIQUE(FILTER('Data Master'!$B$2:$B1570,'Data Master'!$E$2:$E1570=A499)))"),"penyuluh")</f>
        <v>penyuluh</v>
      </c>
    </row>
    <row r="500" hidden="1">
      <c r="C500" s="40" t="str">
        <f>IFERROR(__xludf.DUMMYFUNCTION("TEXTJOIN("", "",TRUE,UNIQUE(FILTER('Data Master'!$B$2:$B1570,'Data Master'!$E$2:$E1570=A500)))"),"petani")</f>
        <v>petani</v>
      </c>
    </row>
    <row r="501" hidden="1">
      <c r="C501" s="40" t="str">
        <f>IFERROR(__xludf.DUMMYFUNCTION("TEXTJOIN("", "",TRUE,UNIQUE(FILTER('Data Master'!$B$2:$B1570,'Data Master'!$E$2:$E1570=A501)))"),"penyuluh")</f>
        <v>penyuluh</v>
      </c>
    </row>
    <row r="502" hidden="1">
      <c r="C502" s="40" t="str">
        <f>IFERROR(__xludf.DUMMYFUNCTION("TEXTJOIN("", "",TRUE,UNIQUE(FILTER('Data Master'!$B$2:$B1570,'Data Master'!$E$2:$E1570=A502)))"),"petani")</f>
        <v>petani</v>
      </c>
    </row>
    <row r="503">
      <c r="C503" s="43" t="str">
        <f>IFERROR(__xludf.DUMMYFUNCTION("TEXTJOIN("", "",TRUE,UNIQUE(FILTER('Data Master'!$B$2:$B1570,'Data Master'!$E$2:$E1570=A503)))"),"operator admin, penyuluh")</f>
        <v>operator admin, penyuluh</v>
      </c>
    </row>
    <row r="504" hidden="1">
      <c r="C504" s="40" t="str">
        <f>IFERROR(__xludf.DUMMYFUNCTION("TEXTJOIN("", "",TRUE,UNIQUE(FILTER('Data Master'!$B$2:$B1570,'Data Master'!$E$2:$E1570=A504)))"),"petani")</f>
        <v>petani</v>
      </c>
    </row>
    <row r="505" hidden="1">
      <c r="C505" s="40" t="str">
        <f>IFERROR(__xludf.DUMMYFUNCTION("TEXTJOIN("", "",TRUE,UNIQUE(FILTER('Data Master'!$B$2:$B1570,'Data Master'!$E$2:$E1570=A505)))"),"penyuluh")</f>
        <v>penyuluh</v>
      </c>
    </row>
    <row r="506">
      <c r="C506" s="43" t="str">
        <f>IFERROR(__xludf.DUMMYFUNCTION("TEXTJOIN("", "",TRUE,UNIQUE(FILTER('Data Master'!$B$2:$B1570,'Data Master'!$E$2:$E1570=A506)))"),"operator admin, penyuluh")</f>
        <v>operator admin, penyuluh</v>
      </c>
    </row>
    <row r="507" hidden="1">
      <c r="C507" s="40" t="str">
        <f>IFERROR(__xludf.DUMMYFUNCTION("TEXTJOIN("", "",TRUE,UNIQUE(FILTER('Data Master'!$B$2:$B1570,'Data Master'!$E$2:$E1570=A507)))"),"petani")</f>
        <v>petani</v>
      </c>
    </row>
    <row r="508" hidden="1">
      <c r="C508" s="40" t="str">
        <f>IFERROR(__xludf.DUMMYFUNCTION("TEXTJOIN("", "",TRUE,UNIQUE(FILTER('Data Master'!$B$2:$B1570,'Data Master'!$E$2:$E1570=A508)))"),"petani")</f>
        <v>petani</v>
      </c>
    </row>
    <row r="509" hidden="1">
      <c r="C509" s="40" t="str">
        <f>IFERROR(__xludf.DUMMYFUNCTION("TEXTJOIN("", "",TRUE,UNIQUE(FILTER('Data Master'!$B$2:$B1570,'Data Master'!$E$2:$E1570=A509)))"),"petani")</f>
        <v>petani</v>
      </c>
    </row>
    <row r="510" hidden="1">
      <c r="C510" s="40" t="str">
        <f>IFERROR(__xludf.DUMMYFUNCTION("TEXTJOIN("", "",TRUE,UNIQUE(FILTER('Data Master'!$B$2:$B1570,'Data Master'!$E$2:$E1570=A510)))"),"petani")</f>
        <v>petani</v>
      </c>
    </row>
    <row r="511" hidden="1">
      <c r="C511" s="40" t="str">
        <f>IFERROR(__xludf.DUMMYFUNCTION("TEXTJOIN("", "",TRUE,UNIQUE(FILTER('Data Master'!$B$2:$B1570,'Data Master'!$E$2:$E1570=A511)))"),"petani")</f>
        <v>petani</v>
      </c>
    </row>
    <row r="512" hidden="1">
      <c r="C512" s="40" t="str">
        <f>IFERROR(__xludf.DUMMYFUNCTION("TEXTJOIN("", "",TRUE,UNIQUE(FILTER('Data Master'!$B$2:$B1570,'Data Master'!$E$2:$E1570=A512)))"),"petani")</f>
        <v>petani</v>
      </c>
    </row>
    <row r="513" hidden="1">
      <c r="C513" s="40" t="str">
        <f>IFERROR(__xludf.DUMMYFUNCTION("TEXTJOIN("", "",TRUE,UNIQUE(FILTER('Data Master'!$B$2:$B1570,'Data Master'!$E$2:$E1570=A513)))"),"petani")</f>
        <v>petani</v>
      </c>
    </row>
    <row r="514" hidden="1">
      <c r="C514" s="40" t="str">
        <f>IFERROR(__xludf.DUMMYFUNCTION("TEXTJOIN("", "",TRUE,UNIQUE(FILTER('Data Master'!$B$2:$B1570,'Data Master'!$E$2:$E1570=A514)))"),"petani")</f>
        <v>petani</v>
      </c>
    </row>
    <row r="515" hidden="1">
      <c r="C515" s="40" t="str">
        <f>IFERROR(__xludf.DUMMYFUNCTION("TEXTJOIN("", "",TRUE,UNIQUE(FILTER('Data Master'!$B$2:$B1570,'Data Master'!$E$2:$E1570=A515)))"),"petani")</f>
        <v>petani</v>
      </c>
    </row>
    <row r="516" hidden="1">
      <c r="C516" s="40" t="str">
        <f>IFERROR(__xludf.DUMMYFUNCTION("TEXTJOIN("", "",TRUE,UNIQUE(FILTER('Data Master'!$B$2:$B1570,'Data Master'!$E$2:$E1570=A516)))"),"petani")</f>
        <v>petani</v>
      </c>
    </row>
    <row r="517" hidden="1">
      <c r="C517" s="40" t="str">
        <f>IFERROR(__xludf.DUMMYFUNCTION("TEXTJOIN("", "",TRUE,UNIQUE(FILTER('Data Master'!$B$2:$B1570,'Data Master'!$E$2:$E1570=A517)))"),"petani")</f>
        <v>petani</v>
      </c>
    </row>
    <row r="518" hidden="1">
      <c r="C518" s="40" t="str">
        <f>IFERROR(__xludf.DUMMYFUNCTION("TEXTJOIN("", "",TRUE,UNIQUE(FILTER('Data Master'!$B$2:$B1570,'Data Master'!$E$2:$E1570=A518)))"),"petani")</f>
        <v>petani</v>
      </c>
    </row>
    <row r="519" hidden="1">
      <c r="C519" s="40" t="str">
        <f>IFERROR(__xludf.DUMMYFUNCTION("TEXTJOIN("", "",TRUE,UNIQUE(FILTER('Data Master'!$B$2:$B1570,'Data Master'!$E$2:$E1570=A519)))"),"petani")</f>
        <v>petani</v>
      </c>
    </row>
    <row r="520" hidden="1">
      <c r="C520" s="40" t="str">
        <f>IFERROR(__xludf.DUMMYFUNCTION("TEXTJOIN("", "",TRUE,UNIQUE(FILTER('Data Master'!$B$2:$B1570,'Data Master'!$E$2:$E1570=A520)))"),"petani")</f>
        <v>petani</v>
      </c>
    </row>
    <row r="521" hidden="1">
      <c r="C521" s="40" t="str">
        <f>IFERROR(__xludf.DUMMYFUNCTION("TEXTJOIN("", "",TRUE,UNIQUE(FILTER('Data Master'!$B$2:$B1570,'Data Master'!$E$2:$E1570=A521)))"),"petani")</f>
        <v>petani</v>
      </c>
    </row>
    <row r="522" hidden="1">
      <c r="C522" s="40" t="str">
        <f>IFERROR(__xludf.DUMMYFUNCTION("TEXTJOIN("", "",TRUE,UNIQUE(FILTER('Data Master'!$B$2:$B1570,'Data Master'!$E$2:$E1570=A522)))"),"petani")</f>
        <v>petani</v>
      </c>
    </row>
    <row r="523" hidden="1">
      <c r="C523" s="40" t="str">
        <f>IFERROR(__xludf.DUMMYFUNCTION("TEXTJOIN("", "",TRUE,UNIQUE(FILTER('Data Master'!$B$2:$B1570,'Data Master'!$E$2:$E1570=A523)))"),"petani")</f>
        <v>petani</v>
      </c>
    </row>
    <row r="524" hidden="1">
      <c r="C524" s="40" t="str">
        <f>IFERROR(__xludf.DUMMYFUNCTION("TEXTJOIN("", "",TRUE,UNIQUE(FILTER('Data Master'!$B$2:$B1570,'Data Master'!$E$2:$E1570=A524)))"),"petani")</f>
        <v>petani</v>
      </c>
    </row>
    <row r="525" hidden="1">
      <c r="C525" s="40" t="str">
        <f>IFERROR(__xludf.DUMMYFUNCTION("TEXTJOIN("", "",TRUE,UNIQUE(FILTER('Data Master'!$B$2:$B1570,'Data Master'!$E$2:$E1570=A525)))"),"petani")</f>
        <v>petani</v>
      </c>
    </row>
    <row r="526" hidden="1">
      <c r="C526" s="40" t="str">
        <f>IFERROR(__xludf.DUMMYFUNCTION("TEXTJOIN("", "",TRUE,UNIQUE(FILTER('Data Master'!$B$2:$B1570,'Data Master'!$E$2:$E1570=A526)))"),"penyuluh")</f>
        <v>penyuluh</v>
      </c>
    </row>
    <row r="527" hidden="1">
      <c r="C527" s="40" t="str">
        <f>IFERROR(__xludf.DUMMYFUNCTION("TEXTJOIN("", "",TRUE,UNIQUE(FILTER('Data Master'!$B$2:$B1570,'Data Master'!$E$2:$E1570=A527)))"),"petani")</f>
        <v>petani</v>
      </c>
    </row>
    <row r="528" hidden="1">
      <c r="C528" s="40" t="str">
        <f>IFERROR(__xludf.DUMMYFUNCTION("TEXTJOIN("", "",TRUE,UNIQUE(FILTER('Data Master'!$B$2:$B1570,'Data Master'!$E$2:$E1570=A528)))"),"petani")</f>
        <v>petani</v>
      </c>
    </row>
    <row r="529" hidden="1">
      <c r="C529" s="40" t="str">
        <f>IFERROR(__xludf.DUMMYFUNCTION("TEXTJOIN("", "",TRUE,UNIQUE(FILTER('Data Master'!$B$2:$B1570,'Data Master'!$E$2:$E1570=A529)))"),"petani")</f>
        <v>petani</v>
      </c>
    </row>
    <row r="530" hidden="1">
      <c r="C530" s="40" t="str">
        <f>IFERROR(__xludf.DUMMYFUNCTION("TEXTJOIN("", "",TRUE,UNIQUE(FILTER('Data Master'!$B$2:$B1570,'Data Master'!$E$2:$E1570=A530)))"),"petani")</f>
        <v>petani</v>
      </c>
    </row>
    <row r="531" hidden="1">
      <c r="C531" s="40" t="str">
        <f>IFERROR(__xludf.DUMMYFUNCTION("TEXTJOIN("", "",TRUE,UNIQUE(FILTER('Data Master'!$B$2:$B1570,'Data Master'!$E$2:$E1570=A531)))"),"petani")</f>
        <v>petani</v>
      </c>
    </row>
    <row r="532">
      <c r="C532" s="43" t="str">
        <f>IFERROR(__xludf.DUMMYFUNCTION("TEXTJOIN("", "",TRUE,UNIQUE(FILTER('Data Master'!$B$2:$B1570,'Data Master'!$E$2:$E1570=A532)))"),"operator admin, penyuluh")</f>
        <v>operator admin, penyuluh</v>
      </c>
    </row>
    <row r="533" hidden="1">
      <c r="C533" s="40" t="str">
        <f>IFERROR(__xludf.DUMMYFUNCTION("TEXTJOIN("", "",TRUE,UNIQUE(FILTER('Data Master'!$B$2:$B1570,'Data Master'!$E$2:$E1570=A533)))"),"petani")</f>
        <v>petani</v>
      </c>
    </row>
    <row r="534" hidden="1">
      <c r="C534" s="40" t="str">
        <f>IFERROR(__xludf.DUMMYFUNCTION("TEXTJOIN("", "",TRUE,UNIQUE(FILTER('Data Master'!$B$2:$B1570,'Data Master'!$E$2:$E1570=A534)))"),"petani")</f>
        <v>petani</v>
      </c>
    </row>
    <row r="535" hidden="1">
      <c r="C535" s="40" t="str">
        <f>IFERROR(__xludf.DUMMYFUNCTION("TEXTJOIN("", "",TRUE,UNIQUE(FILTER('Data Master'!$B$2:$B1570,'Data Master'!$E$2:$E1570=A535)))"),"petani")</f>
        <v>petani</v>
      </c>
    </row>
    <row r="536" hidden="1">
      <c r="C536" s="40" t="str">
        <f>IFERROR(__xludf.DUMMYFUNCTION("TEXTJOIN("", "",TRUE,UNIQUE(FILTER('Data Master'!$B$2:$B1570,'Data Master'!$E$2:$E1570=A536)))"),"petani")</f>
        <v>petani</v>
      </c>
    </row>
    <row r="537" hidden="1">
      <c r="C537" s="40" t="str">
        <f>IFERROR(__xludf.DUMMYFUNCTION("TEXTJOIN("", "",TRUE,UNIQUE(FILTER('Data Master'!$B$2:$B1570,'Data Master'!$E$2:$E1570=A537)))"),"penyuluh")</f>
        <v>penyuluh</v>
      </c>
    </row>
    <row r="538" hidden="1">
      <c r="C538" s="40" t="str">
        <f>IFERROR(__xludf.DUMMYFUNCTION("TEXTJOIN("", "",TRUE,UNIQUE(FILTER('Data Master'!$B$2:$B1570,'Data Master'!$E$2:$E1570=A538)))"),"petani")</f>
        <v>petani</v>
      </c>
    </row>
    <row r="539" hidden="1">
      <c r="C539" s="40" t="str">
        <f>IFERROR(__xludf.DUMMYFUNCTION("TEXTJOIN("", "",TRUE,UNIQUE(FILTER('Data Master'!$B$2:$B1570,'Data Master'!$E$2:$E1570=A539)))"),"petani")</f>
        <v>petani</v>
      </c>
    </row>
    <row r="540" hidden="1">
      <c r="C540" s="40" t="str">
        <f>IFERROR(__xludf.DUMMYFUNCTION("TEXTJOIN("", "",TRUE,UNIQUE(FILTER('Data Master'!$B$2:$B1570,'Data Master'!$E$2:$E1570=A540)))"),"petani")</f>
        <v>petani</v>
      </c>
    </row>
    <row r="541" hidden="1">
      <c r="C541" s="40" t="str">
        <f>IFERROR(__xludf.DUMMYFUNCTION("TEXTJOIN("", "",TRUE,UNIQUE(FILTER('Data Master'!$B$2:$B1570,'Data Master'!$E$2:$E1570=A541)))"),"petani")</f>
        <v>petani</v>
      </c>
    </row>
    <row r="542" hidden="1">
      <c r="C542" s="40" t="str">
        <f>IFERROR(__xludf.DUMMYFUNCTION("TEXTJOIN("", "",TRUE,UNIQUE(FILTER('Data Master'!$B$2:$B1570,'Data Master'!$E$2:$E1570=A542)))"),"petani")</f>
        <v>petani</v>
      </c>
    </row>
    <row r="543" hidden="1">
      <c r="C543" s="40" t="str">
        <f>IFERROR(__xludf.DUMMYFUNCTION("TEXTJOIN("", "",TRUE,UNIQUE(FILTER('Data Master'!$B$2:$B1570,'Data Master'!$E$2:$E1570=A543)))"),"petani")</f>
        <v>petani</v>
      </c>
    </row>
    <row r="544" hidden="1">
      <c r="C544" s="40" t="str">
        <f>IFERROR(__xludf.DUMMYFUNCTION("TEXTJOIN("", "",TRUE,UNIQUE(FILTER('Data Master'!$B$2:$B1570,'Data Master'!$E$2:$E1570=A544)))"),"petani")</f>
        <v>petani</v>
      </c>
    </row>
    <row r="545" hidden="1">
      <c r="C545" s="40" t="str">
        <f>IFERROR(__xludf.DUMMYFUNCTION("TEXTJOIN("", "",TRUE,UNIQUE(FILTER('Data Master'!$B$2:$B1570,'Data Master'!$E$2:$E1570=A545)))"),"petani")</f>
        <v>petani</v>
      </c>
    </row>
    <row r="546" hidden="1">
      <c r="C546" s="40" t="str">
        <f>IFERROR(__xludf.DUMMYFUNCTION("TEXTJOIN("", "",TRUE,UNIQUE(FILTER('Data Master'!$B$2:$B1570,'Data Master'!$E$2:$E1570=A546)))"),"petani")</f>
        <v>petani</v>
      </c>
    </row>
    <row r="547" hidden="1">
      <c r="C547" s="40" t="str">
        <f>IFERROR(__xludf.DUMMYFUNCTION("TEXTJOIN("", "",TRUE,UNIQUE(FILTER('Data Master'!$B$2:$B1570,'Data Master'!$E$2:$E1570=A547)))"),"petani")</f>
        <v>petani</v>
      </c>
    </row>
    <row r="548" hidden="1">
      <c r="C548" s="40" t="str">
        <f>IFERROR(__xludf.DUMMYFUNCTION("TEXTJOIN("", "",TRUE,UNIQUE(FILTER('Data Master'!$B$2:$B1570,'Data Master'!$E$2:$E1570=A548)))"),"petani")</f>
        <v>petani</v>
      </c>
    </row>
    <row r="549" hidden="1">
      <c r="C549" s="40" t="str">
        <f>IFERROR(__xludf.DUMMYFUNCTION("TEXTJOIN("", "",TRUE,UNIQUE(FILTER('Data Master'!$B$2:$B1570,'Data Master'!$E$2:$E1570=A549)))"),"petani")</f>
        <v>petani</v>
      </c>
    </row>
    <row r="550" hidden="1">
      <c r="C550" s="40" t="str">
        <f>IFERROR(__xludf.DUMMYFUNCTION("TEXTJOIN("", "",TRUE,UNIQUE(FILTER('Data Master'!$B$2:$B1570,'Data Master'!$E$2:$E1570=A550)))"),"petani")</f>
        <v>petani</v>
      </c>
    </row>
    <row r="551" hidden="1">
      <c r="C551" s="40" t="str">
        <f>IFERROR(__xludf.DUMMYFUNCTION("TEXTJOIN("", "",TRUE,UNIQUE(FILTER('Data Master'!$B$2:$B1570,'Data Master'!$E$2:$E1570=A551)))"),"penyuluh")</f>
        <v>penyuluh</v>
      </c>
    </row>
    <row r="552" hidden="1">
      <c r="C552" s="40" t="str">
        <f>IFERROR(__xludf.DUMMYFUNCTION("TEXTJOIN("", "",TRUE,UNIQUE(FILTER('Data Master'!$B$2:$B1570,'Data Master'!$E$2:$E1570=A552)))"),"petani")</f>
        <v>petani</v>
      </c>
    </row>
    <row r="553" hidden="1">
      <c r="C553" s="40" t="str">
        <f>IFERROR(__xludf.DUMMYFUNCTION("TEXTJOIN("", "",TRUE,UNIQUE(FILTER('Data Master'!$B$2:$B1570,'Data Master'!$E$2:$E1570=A553)))"),"petani")</f>
        <v>petani</v>
      </c>
    </row>
    <row r="554" hidden="1">
      <c r="C554" s="40" t="str">
        <f>IFERROR(__xludf.DUMMYFUNCTION("TEXTJOIN("", "",TRUE,UNIQUE(FILTER('Data Master'!$B$2:$B1570,'Data Master'!$E$2:$E1570=A554)))"),"penyuluh")</f>
        <v>penyuluh</v>
      </c>
    </row>
    <row r="555">
      <c r="C555" s="43" t="str">
        <f>IFERROR(__xludf.DUMMYFUNCTION("TEXTJOIN("", "",TRUE,UNIQUE(FILTER('Data Master'!$B$2:$B1570,'Data Master'!$E$2:$E1570=A555)))"),"penyuluh")</f>
        <v>penyuluh</v>
      </c>
    </row>
    <row r="556" hidden="1">
      <c r="C556" s="40" t="str">
        <f>IFERROR(__xludf.DUMMYFUNCTION("TEXTJOIN("", "",TRUE,UNIQUE(FILTER('Data Master'!$B$2:$B1570,'Data Master'!$E$2:$E1570=A556)))"),"petani")</f>
        <v>petani</v>
      </c>
    </row>
    <row r="557" hidden="1">
      <c r="C557" s="40" t="str">
        <f>IFERROR(__xludf.DUMMYFUNCTION("TEXTJOIN("", "",TRUE,UNIQUE(FILTER('Data Master'!$B$2:$B1570,'Data Master'!$E$2:$E1570=A557)))"),"petani")</f>
        <v>petani</v>
      </c>
    </row>
    <row r="558" hidden="1">
      <c r="C558" s="40" t="str">
        <f>IFERROR(__xludf.DUMMYFUNCTION("TEXTJOIN("", "",TRUE,UNIQUE(FILTER('Data Master'!$B$2:$B1570,'Data Master'!$E$2:$E1570=A558)))"),"petani")</f>
        <v>petani</v>
      </c>
    </row>
    <row r="559" hidden="1">
      <c r="C559" s="40" t="str">
        <f>IFERROR(__xludf.DUMMYFUNCTION("TEXTJOIN("", "",TRUE,UNIQUE(FILTER('Data Master'!$B$2:$B1570,'Data Master'!$E$2:$E1570=A559)))"),"penyuluh")</f>
        <v>penyuluh</v>
      </c>
    </row>
    <row r="560" hidden="1">
      <c r="C560" s="40" t="str">
        <f>IFERROR(__xludf.DUMMYFUNCTION("TEXTJOIN("", "",TRUE,UNIQUE(FILTER('Data Master'!$B$2:$B1570,'Data Master'!$E$2:$E1570=A560)))"),"petani")</f>
        <v>petani</v>
      </c>
    </row>
    <row r="561" hidden="1">
      <c r="C561" s="40" t="str">
        <f>IFERROR(__xludf.DUMMYFUNCTION("TEXTJOIN("", "",TRUE,UNIQUE(FILTER('Data Master'!$B$2:$B1570,'Data Master'!$E$2:$E1570=A561)))"),"petani")</f>
        <v>petani</v>
      </c>
    </row>
    <row r="562" hidden="1">
      <c r="C562" s="40" t="str">
        <f>IFERROR(__xludf.DUMMYFUNCTION("TEXTJOIN("", "",TRUE,UNIQUE(FILTER('Data Master'!$B$2:$B1570,'Data Master'!$E$2:$E1570=A562)))"),"petani")</f>
        <v>petani</v>
      </c>
    </row>
    <row r="563" hidden="1">
      <c r="C563" s="40" t="str">
        <f>IFERROR(__xludf.DUMMYFUNCTION("TEXTJOIN("", "",TRUE,UNIQUE(FILTER('Data Master'!$B$2:$B1570,'Data Master'!$E$2:$E1570=A563)))"),"petani")</f>
        <v>petani</v>
      </c>
    </row>
    <row r="564" hidden="1">
      <c r="C564" s="40" t="str">
        <f>IFERROR(__xludf.DUMMYFUNCTION("TEXTJOIN("", "",TRUE,UNIQUE(FILTER('Data Master'!$B$2:$B1570,'Data Master'!$E$2:$E1570=A564)))"),"petani")</f>
        <v>petani</v>
      </c>
    </row>
    <row r="565" hidden="1">
      <c r="C565" s="40" t="str">
        <f>IFERROR(__xludf.DUMMYFUNCTION("TEXTJOIN("", "",TRUE,UNIQUE(FILTER('Data Master'!$B$2:$B1570,'Data Master'!$E$2:$E1570=A565)))"),"petani")</f>
        <v>petani</v>
      </c>
    </row>
    <row r="566" hidden="1">
      <c r="C566" s="40" t="str">
        <f>IFERROR(__xludf.DUMMYFUNCTION("TEXTJOIN("", "",TRUE,UNIQUE(FILTER('Data Master'!$B$2:$B1570,'Data Master'!$E$2:$E1570=A566)))"),"petani")</f>
        <v>petani</v>
      </c>
    </row>
    <row r="567" hidden="1">
      <c r="C567" s="40" t="str">
        <f>IFERROR(__xludf.DUMMYFUNCTION("TEXTJOIN("", "",TRUE,UNIQUE(FILTER('Data Master'!$B$2:$B1570,'Data Master'!$E$2:$E1570=A567)))"),"petani")</f>
        <v>petani</v>
      </c>
    </row>
    <row r="568" hidden="1">
      <c r="C568" s="40" t="str">
        <f>IFERROR(__xludf.DUMMYFUNCTION("TEXTJOIN("", "",TRUE,UNIQUE(FILTER('Data Master'!$B$2:$B1570,'Data Master'!$E$2:$E1570=A568)))"),"petani")</f>
        <v>petani</v>
      </c>
    </row>
    <row r="569" hidden="1">
      <c r="C569" s="40" t="str">
        <f>IFERROR(__xludf.DUMMYFUNCTION("TEXTJOIN("", "",TRUE,UNIQUE(FILTER('Data Master'!$B$2:$B1570,'Data Master'!$E$2:$E1570=A569)))"),"petani")</f>
        <v>petani</v>
      </c>
    </row>
    <row r="570" hidden="1">
      <c r="C570" s="40" t="str">
        <f>IFERROR(__xludf.DUMMYFUNCTION("TEXTJOIN("", "",TRUE,UNIQUE(FILTER('Data Master'!$B$2:$B1570,'Data Master'!$E$2:$E1570=A570)))"),"petani")</f>
        <v>petani</v>
      </c>
    </row>
    <row r="571" hidden="1">
      <c r="C571" s="40" t="str">
        <f>IFERROR(__xludf.DUMMYFUNCTION("TEXTJOIN("", "",TRUE,UNIQUE(FILTER('Data Master'!$B$2:$B1570,'Data Master'!$E$2:$E1570=A571)))"),"petani")</f>
        <v>petani</v>
      </c>
    </row>
    <row r="572" hidden="1">
      <c r="C572" s="40" t="str">
        <f>IFERROR(__xludf.DUMMYFUNCTION("TEXTJOIN("", "",TRUE,UNIQUE(FILTER('Data Master'!$B$2:$B1570,'Data Master'!$E$2:$E1570=A572)))"),"petani")</f>
        <v>petani</v>
      </c>
    </row>
    <row r="573" hidden="1">
      <c r="C573" s="40" t="str">
        <f>IFERROR(__xludf.DUMMYFUNCTION("TEXTJOIN("", "",TRUE,UNIQUE(FILTER('Data Master'!$B$2:$B1570,'Data Master'!$E$2:$E1570=A573)))"),"petani")</f>
        <v>petani</v>
      </c>
    </row>
    <row r="574" hidden="1">
      <c r="C574" s="40" t="str">
        <f>IFERROR(__xludf.DUMMYFUNCTION("TEXTJOIN("", "",TRUE,UNIQUE(FILTER('Data Master'!$B$2:$B1570,'Data Master'!$E$2:$E1570=A574)))"),"petani")</f>
        <v>petani</v>
      </c>
    </row>
    <row r="575" hidden="1">
      <c r="C575" s="40" t="str">
        <f>IFERROR(__xludf.DUMMYFUNCTION("TEXTJOIN("", "",TRUE,UNIQUE(FILTER('Data Master'!$B$2:$B1570,'Data Master'!$E$2:$E1570=A575)))"),"petani")</f>
        <v>petani</v>
      </c>
    </row>
    <row r="576" hidden="1">
      <c r="C576" s="40" t="str">
        <f>IFERROR(__xludf.DUMMYFUNCTION("TEXTJOIN("", "",TRUE,UNIQUE(FILTER('Data Master'!$B$2:$B1570,'Data Master'!$E$2:$E1570=A576)))"),"petani")</f>
        <v>petani</v>
      </c>
    </row>
    <row r="577" hidden="1">
      <c r="C577" s="40" t="str">
        <f>IFERROR(__xludf.DUMMYFUNCTION("TEXTJOIN("", "",TRUE,UNIQUE(FILTER('Data Master'!$B$2:$B1570,'Data Master'!$E$2:$E1570=A577)))"),"petani")</f>
        <v>petani</v>
      </c>
    </row>
    <row r="578" hidden="1">
      <c r="C578" s="40" t="str">
        <f>IFERROR(__xludf.DUMMYFUNCTION("TEXTJOIN("", "",TRUE,UNIQUE(FILTER('Data Master'!$B$2:$B1570,'Data Master'!$E$2:$E1570=A578)))"),"petani")</f>
        <v>petani</v>
      </c>
    </row>
    <row r="579" hidden="1">
      <c r="C579" s="40" t="str">
        <f>IFERROR(__xludf.DUMMYFUNCTION("TEXTJOIN("", "",TRUE,UNIQUE(FILTER('Data Master'!$B$2:$B1570,'Data Master'!$E$2:$E1570=A579)))"),"petani")</f>
        <v>petani</v>
      </c>
    </row>
    <row r="580" hidden="1">
      <c r="C580" s="40" t="str">
        <f>IFERROR(__xludf.DUMMYFUNCTION("TEXTJOIN("", "",TRUE,UNIQUE(FILTER('Data Master'!$B$2:$B1570,'Data Master'!$E$2:$E1570=A580)))"),"penyuluh")</f>
        <v>penyuluh</v>
      </c>
    </row>
    <row r="581" hidden="1">
      <c r="C581" s="40" t="str">
        <f>IFERROR(__xludf.DUMMYFUNCTION("TEXTJOIN("", "",TRUE,UNIQUE(FILTER('Data Master'!$B$2:$B1570,'Data Master'!$E$2:$E1570=A581)))"),"petani")</f>
        <v>petani</v>
      </c>
    </row>
    <row r="582" hidden="1">
      <c r="C582" s="40" t="str">
        <f>IFERROR(__xludf.DUMMYFUNCTION("TEXTJOIN("", "",TRUE,UNIQUE(FILTER('Data Master'!$B$2:$B1570,'Data Master'!$E$2:$E1570=A582)))"),"petani")</f>
        <v>petani</v>
      </c>
    </row>
    <row r="583" hidden="1">
      <c r="C583" s="40" t="str">
        <f>IFERROR(__xludf.DUMMYFUNCTION("TEXTJOIN("", "",TRUE,UNIQUE(FILTER('Data Master'!$B$2:$B1570,'Data Master'!$E$2:$E1570=A583)))"),"petani")</f>
        <v>petani</v>
      </c>
    </row>
    <row r="584" hidden="1">
      <c r="C584" s="40" t="str">
        <f>IFERROR(__xludf.DUMMYFUNCTION("TEXTJOIN("", "",TRUE,UNIQUE(FILTER('Data Master'!$B$2:$B1570,'Data Master'!$E$2:$E1570=A584)))"),"petani")</f>
        <v>petani</v>
      </c>
    </row>
    <row r="585" hidden="1">
      <c r="C585" s="40" t="str">
        <f>IFERROR(__xludf.DUMMYFUNCTION("TEXTJOIN("", "",TRUE,UNIQUE(FILTER('Data Master'!$B$2:$B1570,'Data Master'!$E$2:$E1570=A585)))"),"petani")</f>
        <v>petani</v>
      </c>
    </row>
    <row r="586" hidden="1">
      <c r="C586" s="40" t="str">
        <f>IFERROR(__xludf.DUMMYFUNCTION("TEXTJOIN("", "",TRUE,UNIQUE(FILTER('Data Master'!$B$2:$B1570,'Data Master'!$E$2:$E1570=A586)))"),"penyuluh")</f>
        <v>penyuluh</v>
      </c>
    </row>
    <row r="587" hidden="1">
      <c r="C587" s="40" t="str">
        <f>IFERROR(__xludf.DUMMYFUNCTION("TEXTJOIN("", "",TRUE,UNIQUE(FILTER('Data Master'!$B$2:$B1570,'Data Master'!$E$2:$E1570=A587)))"),"petani")</f>
        <v>petani</v>
      </c>
    </row>
    <row r="588" hidden="1">
      <c r="C588" s="40" t="str">
        <f>IFERROR(__xludf.DUMMYFUNCTION("TEXTJOIN("", "",TRUE,UNIQUE(FILTER('Data Master'!$B$2:$B1570,'Data Master'!$E$2:$E1570=A588)))"),"petani")</f>
        <v>petani</v>
      </c>
    </row>
    <row r="589" hidden="1">
      <c r="C589" s="40" t="str">
        <f>IFERROR(__xludf.DUMMYFUNCTION("TEXTJOIN("", "",TRUE,UNIQUE(FILTER('Data Master'!$B$2:$B1570,'Data Master'!$E$2:$E1570=A589)))"),"petani")</f>
        <v>petani</v>
      </c>
    </row>
    <row r="590" hidden="1">
      <c r="C590" s="40" t="str">
        <f>IFERROR(__xludf.DUMMYFUNCTION("TEXTJOIN("", "",TRUE,UNIQUE(FILTER('Data Master'!$B$2:$B1570,'Data Master'!$E$2:$E1570=A590)))"),"petani")</f>
        <v>petani</v>
      </c>
    </row>
    <row r="591" hidden="1">
      <c r="C591" s="40" t="str">
        <f>IFERROR(__xludf.DUMMYFUNCTION("TEXTJOIN("", "",TRUE,UNIQUE(FILTER('Data Master'!$B$2:$B1570,'Data Master'!$E$2:$E1570=A591)))"),"penyuluh")</f>
        <v>penyuluh</v>
      </c>
    </row>
    <row r="592" hidden="1">
      <c r="C592" s="40" t="str">
        <f>IFERROR(__xludf.DUMMYFUNCTION("TEXTJOIN("", "",TRUE,UNIQUE(FILTER('Data Master'!$B$2:$B1570,'Data Master'!$E$2:$E1570=A592)))"),"petani")</f>
        <v>petani</v>
      </c>
    </row>
    <row r="593" hidden="1">
      <c r="C593" s="40" t="str">
        <f>IFERROR(__xludf.DUMMYFUNCTION("TEXTJOIN("", "",TRUE,UNIQUE(FILTER('Data Master'!$B$2:$B1570,'Data Master'!$E$2:$E1570=A593)))"),"petani")</f>
        <v>petani</v>
      </c>
    </row>
    <row r="594" hidden="1">
      <c r="C594" s="40" t="str">
        <f>IFERROR(__xludf.DUMMYFUNCTION("TEXTJOIN("", "",TRUE,UNIQUE(FILTER('Data Master'!$B$2:$B1570,'Data Master'!$E$2:$E1570=A594)))"),"petani")</f>
        <v>petani</v>
      </c>
    </row>
    <row r="595" hidden="1">
      <c r="C595" s="40" t="str">
        <f>IFERROR(__xludf.DUMMYFUNCTION("TEXTJOIN("", "",TRUE,UNIQUE(FILTER('Data Master'!$B$2:$B1570,'Data Master'!$E$2:$E1570=A595)))"),"petani")</f>
        <v>petani</v>
      </c>
    </row>
    <row r="596" hidden="1">
      <c r="C596" s="40" t="str">
        <f>IFERROR(__xludf.DUMMYFUNCTION("TEXTJOIN("", "",TRUE,UNIQUE(FILTER('Data Master'!$B$2:$B1570,'Data Master'!$E$2:$E1570=A596)))"),"petani")</f>
        <v>petani</v>
      </c>
    </row>
    <row r="597" hidden="1">
      <c r="C597" s="40" t="str">
        <f>IFERROR(__xludf.DUMMYFUNCTION("TEXTJOIN("", "",TRUE,UNIQUE(FILTER('Data Master'!$B$2:$B1570,'Data Master'!$E$2:$E1570=A597)))"),"petani")</f>
        <v>petani</v>
      </c>
    </row>
    <row r="598" hidden="1">
      <c r="C598" s="40" t="str">
        <f>IFERROR(__xludf.DUMMYFUNCTION("TEXTJOIN("", "",TRUE,UNIQUE(FILTER('Data Master'!$B$2:$B1570,'Data Master'!$E$2:$E1570=A598)))"),"petani")</f>
        <v>petani</v>
      </c>
    </row>
    <row r="599" hidden="1">
      <c r="C599" s="40" t="str">
        <f>IFERROR(__xludf.DUMMYFUNCTION("TEXTJOIN("", "",TRUE,UNIQUE(FILTER('Data Master'!$B$2:$B1570,'Data Master'!$E$2:$E1570=A599)))"),"petani")</f>
        <v>petani</v>
      </c>
    </row>
    <row r="600" hidden="1">
      <c r="C600" s="40" t="str">
        <f>IFERROR(__xludf.DUMMYFUNCTION("TEXTJOIN("", "",TRUE,UNIQUE(FILTER('Data Master'!$B$2:$B1570,'Data Master'!$E$2:$E1570=A600)))"),"petani")</f>
        <v>petani</v>
      </c>
    </row>
    <row r="601" hidden="1">
      <c r="C601" s="40" t="str">
        <f>IFERROR(__xludf.DUMMYFUNCTION("TEXTJOIN("", "",TRUE,UNIQUE(FILTER('Data Master'!$B$2:$B1570,'Data Master'!$E$2:$E1570=A601)))"),"penyuluh")</f>
        <v>penyuluh</v>
      </c>
    </row>
    <row r="602" hidden="1">
      <c r="C602" s="40" t="str">
        <f>IFERROR(__xludf.DUMMYFUNCTION("TEXTJOIN("", "",TRUE,UNIQUE(FILTER('Data Master'!$B$2:$B1570,'Data Master'!$E$2:$E1570=A602)))"),"penyuluh")</f>
        <v>penyuluh</v>
      </c>
    </row>
    <row r="603" hidden="1">
      <c r="C603" s="40" t="str">
        <f>IFERROR(__xludf.DUMMYFUNCTION("TEXTJOIN("", "",TRUE,UNIQUE(FILTER('Data Master'!$B$2:$B1570,'Data Master'!$E$2:$E1570=A603)))"),"petani")</f>
        <v>petani</v>
      </c>
    </row>
    <row r="604" hidden="1">
      <c r="C604" s="40" t="str">
        <f>IFERROR(__xludf.DUMMYFUNCTION("TEXTJOIN("", "",TRUE,UNIQUE(FILTER('Data Master'!$B$2:$B1570,'Data Master'!$E$2:$E1570=A604)))"),"petani")</f>
        <v>petani</v>
      </c>
    </row>
    <row r="605" hidden="1">
      <c r="C605" s="40" t="str">
        <f>IFERROR(__xludf.DUMMYFUNCTION("TEXTJOIN("", "",TRUE,UNIQUE(FILTER('Data Master'!$B$2:$B1570,'Data Master'!$E$2:$E1570=A605)))"),"petani")</f>
        <v>petani</v>
      </c>
    </row>
    <row r="606" hidden="1">
      <c r="C606" s="40" t="str">
        <f>IFERROR(__xludf.DUMMYFUNCTION("TEXTJOIN("", "",TRUE,UNIQUE(FILTER('Data Master'!$B$2:$B1570,'Data Master'!$E$2:$E1570=A606)))"),"petani")</f>
        <v>petani</v>
      </c>
    </row>
    <row r="607" hidden="1">
      <c r="C607" s="40" t="str">
        <f>IFERROR(__xludf.DUMMYFUNCTION("TEXTJOIN("", "",TRUE,UNIQUE(FILTER('Data Master'!$B$2:$B1570,'Data Master'!$E$2:$E1570=A607)))"),"petani")</f>
        <v>petani</v>
      </c>
    </row>
    <row r="608" hidden="1">
      <c r="C608" s="40" t="str">
        <f>IFERROR(__xludf.DUMMYFUNCTION("TEXTJOIN("", "",TRUE,UNIQUE(FILTER('Data Master'!$B$2:$B1570,'Data Master'!$E$2:$E1570=A608)))"),"petani")</f>
        <v>petani</v>
      </c>
    </row>
    <row r="609" hidden="1">
      <c r="C609" s="40" t="str">
        <f>IFERROR(__xludf.DUMMYFUNCTION("TEXTJOIN("", "",TRUE,UNIQUE(FILTER('Data Master'!$B$2:$B1570,'Data Master'!$E$2:$E1570=A609)))"),"petani")</f>
        <v>petani</v>
      </c>
    </row>
    <row r="610" hidden="1">
      <c r="C610" s="40" t="str">
        <f>IFERROR(__xludf.DUMMYFUNCTION("TEXTJOIN("", "",TRUE,UNIQUE(FILTER('Data Master'!$B$2:$B1570,'Data Master'!$E$2:$E1570=A610)))"),"penyuluh")</f>
        <v>penyuluh</v>
      </c>
    </row>
    <row r="611" hidden="1">
      <c r="C611" s="40" t="str">
        <f>IFERROR(__xludf.DUMMYFUNCTION("TEXTJOIN("", "",TRUE,UNIQUE(FILTER('Data Master'!$B$2:$B1570,'Data Master'!$E$2:$E1570=A611)))"),"penyuluh")</f>
        <v>penyuluh</v>
      </c>
    </row>
    <row r="612" hidden="1">
      <c r="C612" s="40" t="str">
        <f>IFERROR(__xludf.DUMMYFUNCTION("TEXTJOIN("", "",TRUE,UNIQUE(FILTER('Data Master'!$B$2:$B1570,'Data Master'!$E$2:$E1570=A612)))"),"penyuluh")</f>
        <v>penyuluh</v>
      </c>
    </row>
    <row r="613" hidden="1">
      <c r="C613" s="40" t="str">
        <f>IFERROR(__xludf.DUMMYFUNCTION("TEXTJOIN("", "",TRUE,UNIQUE(FILTER('Data Master'!$B$2:$B1570,'Data Master'!$E$2:$E1570=A613)))"),"petani")</f>
        <v>petani</v>
      </c>
    </row>
    <row r="614" hidden="1">
      <c r="C614" s="43" t="str">
        <f>IFERROR(__xludf.DUMMYFUNCTION("TEXTJOIN("", "",TRUE,UNIQUE(FILTER('Data Master'!$B$2:$B1570,'Data Master'!$E$2:$E1570=A614)))"),"penyuluh, petani")</f>
        <v>penyuluh, petani</v>
      </c>
    </row>
    <row r="615" hidden="1">
      <c r="C615" s="40" t="str">
        <f>IFERROR(__xludf.DUMMYFUNCTION("TEXTJOIN("", "",TRUE,UNIQUE(FILTER('Data Master'!$B$2:$B1570,'Data Master'!$E$2:$E1570=A615)))"),"petani")</f>
        <v>petani</v>
      </c>
    </row>
    <row r="616" hidden="1">
      <c r="C616" s="40" t="str">
        <f>IFERROR(__xludf.DUMMYFUNCTION("TEXTJOIN("", "",TRUE,UNIQUE(FILTER('Data Master'!$B$2:$B1570,'Data Master'!$E$2:$E1570=A616)))"),"petani")</f>
        <v>petani</v>
      </c>
    </row>
    <row r="617" hidden="1">
      <c r="C617" s="40" t="str">
        <f>IFERROR(__xludf.DUMMYFUNCTION("TEXTJOIN("", "",TRUE,UNIQUE(FILTER('Data Master'!$B$2:$B1570,'Data Master'!$E$2:$E1570=A617)))"),"petani")</f>
        <v>petani</v>
      </c>
    </row>
    <row r="618" hidden="1">
      <c r="C618" s="40" t="str">
        <f>IFERROR(__xludf.DUMMYFUNCTION("TEXTJOIN("", "",TRUE,UNIQUE(FILTER('Data Master'!$B$2:$B1570,'Data Master'!$E$2:$E1570=A618)))"),"petani")</f>
        <v>petani</v>
      </c>
    </row>
    <row r="619" hidden="1">
      <c r="C619" s="40" t="str">
        <f>IFERROR(__xludf.DUMMYFUNCTION("TEXTJOIN("", "",TRUE,UNIQUE(FILTER('Data Master'!$B$2:$B1570,'Data Master'!$E$2:$E1570=A619)))"),"petani")</f>
        <v>petani</v>
      </c>
    </row>
    <row r="620" hidden="1">
      <c r="C620" s="40" t="str">
        <f>IFERROR(__xludf.DUMMYFUNCTION("TEXTJOIN("", "",TRUE,UNIQUE(FILTER('Data Master'!$B$2:$B1570,'Data Master'!$E$2:$E1570=A620)))"),"petani")</f>
        <v>petani</v>
      </c>
    </row>
    <row r="621" hidden="1">
      <c r="C621" s="40" t="str">
        <f>IFERROR(__xludf.DUMMYFUNCTION("TEXTJOIN("", "",TRUE,UNIQUE(FILTER('Data Master'!$B$2:$B1570,'Data Master'!$E$2:$E1570=A621)))"),"petani")</f>
        <v>petani</v>
      </c>
    </row>
    <row r="622" hidden="1">
      <c r="C622" s="40" t="str">
        <f>IFERROR(__xludf.DUMMYFUNCTION("TEXTJOIN("", "",TRUE,UNIQUE(FILTER('Data Master'!$B$2:$B1570,'Data Master'!$E$2:$E1570=A622)))"),"petani")</f>
        <v>petani</v>
      </c>
    </row>
    <row r="623" hidden="1">
      <c r="C623" s="40" t="str">
        <f>IFERROR(__xludf.DUMMYFUNCTION("TEXTJOIN("", "",TRUE,UNIQUE(FILTER('Data Master'!$B$2:$B1570,'Data Master'!$E$2:$E1570=A623)))"),"petani")</f>
        <v>petani</v>
      </c>
    </row>
    <row r="624" hidden="1">
      <c r="C624" s="40" t="str">
        <f>IFERROR(__xludf.DUMMYFUNCTION("TEXTJOIN("", "",TRUE,UNIQUE(FILTER('Data Master'!$B$2:$B1570,'Data Master'!$E$2:$E1570=A624)))"),"petani")</f>
        <v>petani</v>
      </c>
    </row>
    <row r="625" hidden="1">
      <c r="C625" s="40" t="str">
        <f>IFERROR(__xludf.DUMMYFUNCTION("TEXTJOIN("", "",TRUE,UNIQUE(FILTER('Data Master'!$B$2:$B1570,'Data Master'!$E$2:$E1570=A625)))"),"petani")</f>
        <v>petani</v>
      </c>
    </row>
    <row r="626" hidden="1">
      <c r="C626" s="40" t="str">
        <f>IFERROR(__xludf.DUMMYFUNCTION("TEXTJOIN("", "",TRUE,UNIQUE(FILTER('Data Master'!$B$2:$B1570,'Data Master'!$E$2:$E1570=A626)))"),"petani")</f>
        <v>petani</v>
      </c>
    </row>
    <row r="627" hidden="1">
      <c r="C627" s="40" t="str">
        <f>IFERROR(__xludf.DUMMYFUNCTION("TEXTJOIN("", "",TRUE,UNIQUE(FILTER('Data Master'!$B$2:$B1570,'Data Master'!$E$2:$E1570=A627)))"),"petani")</f>
        <v>petani</v>
      </c>
    </row>
    <row r="628" hidden="1">
      <c r="C628" s="40" t="str">
        <f>IFERROR(__xludf.DUMMYFUNCTION("TEXTJOIN("", "",TRUE,UNIQUE(FILTER('Data Master'!$B$2:$B1570,'Data Master'!$E$2:$E1570=A628)))"),"penyuluh")</f>
        <v>penyuluh</v>
      </c>
    </row>
    <row r="629" hidden="1">
      <c r="C629" s="40" t="str">
        <f>IFERROR(__xludf.DUMMYFUNCTION("TEXTJOIN("", "",TRUE,UNIQUE(FILTER('Data Master'!$B$2:$B1570,'Data Master'!$E$2:$E1570=A629)))"),"petani")</f>
        <v>petani</v>
      </c>
    </row>
    <row r="630" hidden="1">
      <c r="C630" s="40" t="str">
        <f>IFERROR(__xludf.DUMMYFUNCTION("TEXTJOIN("", "",TRUE,UNIQUE(FILTER('Data Master'!$B$2:$B1570,'Data Master'!$E$2:$E1570=A630)))"),"petani")</f>
        <v>petani</v>
      </c>
    </row>
    <row r="631" hidden="1">
      <c r="C631" s="40" t="str">
        <f>IFERROR(__xludf.DUMMYFUNCTION("TEXTJOIN("", "",TRUE,UNIQUE(FILTER('Data Master'!$B$2:$B1570,'Data Master'!$E$2:$E1570=A631)))"),"penyuluh")</f>
        <v>penyuluh</v>
      </c>
    </row>
    <row r="632" hidden="1">
      <c r="C632" s="40" t="str">
        <f>IFERROR(__xludf.DUMMYFUNCTION("TEXTJOIN("", "",TRUE,UNIQUE(FILTER('Data Master'!$B$2:$B1570,'Data Master'!$E$2:$E1570=A632)))"),"petani")</f>
        <v>petani</v>
      </c>
    </row>
    <row r="633" hidden="1">
      <c r="C633" s="40" t="str">
        <f>IFERROR(__xludf.DUMMYFUNCTION("TEXTJOIN("", "",TRUE,UNIQUE(FILTER('Data Master'!$B$2:$B1570,'Data Master'!$E$2:$E1570=A633)))"),"petani")</f>
        <v>petani</v>
      </c>
    </row>
    <row r="634" hidden="1">
      <c r="C634" s="40" t="str">
        <f>IFERROR(__xludf.DUMMYFUNCTION("TEXTJOIN("", "",TRUE,UNIQUE(FILTER('Data Master'!$B$2:$B1570,'Data Master'!$E$2:$E1570=A634)))"),"petani")</f>
        <v>petani</v>
      </c>
    </row>
    <row r="635" hidden="1">
      <c r="C635" s="40" t="str">
        <f>IFERROR(__xludf.DUMMYFUNCTION("TEXTJOIN("", "",TRUE,UNIQUE(FILTER('Data Master'!$B$2:$B1570,'Data Master'!$E$2:$E1570=A635)))"),"petani")</f>
        <v>petani</v>
      </c>
    </row>
    <row r="636" hidden="1">
      <c r="C636" s="40" t="str">
        <f>IFERROR(__xludf.DUMMYFUNCTION("TEXTJOIN("", "",TRUE,UNIQUE(FILTER('Data Master'!$B$2:$B1570,'Data Master'!$E$2:$E1570=A636)))"),"petani")</f>
        <v>petani</v>
      </c>
    </row>
    <row r="637" hidden="1">
      <c r="C637" s="40" t="str">
        <f>IFERROR(__xludf.DUMMYFUNCTION("TEXTJOIN("", "",TRUE,UNIQUE(FILTER('Data Master'!$B$2:$B1570,'Data Master'!$E$2:$E1570=A637)))"),"petani")</f>
        <v>petani</v>
      </c>
    </row>
    <row r="638" hidden="1">
      <c r="C638" s="40" t="str">
        <f>IFERROR(__xludf.DUMMYFUNCTION("TEXTJOIN("", "",TRUE,UNIQUE(FILTER('Data Master'!$B$2:$B1570,'Data Master'!$E$2:$E1570=A638)))"),"petani")</f>
        <v>petani</v>
      </c>
    </row>
    <row r="639" hidden="1">
      <c r="C639" s="40" t="str">
        <f>IFERROR(__xludf.DUMMYFUNCTION("TEXTJOIN("", "",TRUE,UNIQUE(FILTER('Data Master'!$B$2:$B1570,'Data Master'!$E$2:$E1570=A639)))"),"petani")</f>
        <v>petani</v>
      </c>
    </row>
    <row r="640" hidden="1">
      <c r="C640" s="40" t="str">
        <f>IFERROR(__xludf.DUMMYFUNCTION("TEXTJOIN("", "",TRUE,UNIQUE(FILTER('Data Master'!$B$2:$B1570,'Data Master'!$E$2:$E1570=A640)))"),"petani")</f>
        <v>petani</v>
      </c>
    </row>
    <row r="641" hidden="1">
      <c r="C641" s="40" t="str">
        <f>IFERROR(__xludf.DUMMYFUNCTION("TEXTJOIN("", "",TRUE,UNIQUE(FILTER('Data Master'!$B$2:$B1570,'Data Master'!$E$2:$E1570=A641)))"),"petani")</f>
        <v>petani</v>
      </c>
    </row>
    <row r="642" hidden="1">
      <c r="C642" s="40" t="str">
        <f>IFERROR(__xludf.DUMMYFUNCTION("TEXTJOIN("", "",TRUE,UNIQUE(FILTER('Data Master'!$B$2:$B1570,'Data Master'!$E$2:$E1570=A642)))"),"petani")</f>
        <v>petani</v>
      </c>
    </row>
    <row r="643" hidden="1">
      <c r="C643" s="40" t="str">
        <f>IFERROR(__xludf.DUMMYFUNCTION("TEXTJOIN("", "",TRUE,UNIQUE(FILTER('Data Master'!$B$2:$B1570,'Data Master'!$E$2:$E1570=A643)))"),"petani")</f>
        <v>petani</v>
      </c>
    </row>
    <row r="644" hidden="1">
      <c r="C644" s="40" t="str">
        <f>IFERROR(__xludf.DUMMYFUNCTION("TEXTJOIN("", "",TRUE,UNIQUE(FILTER('Data Master'!$B$2:$B1570,'Data Master'!$E$2:$E1570=A644)))"),"petani")</f>
        <v>petani</v>
      </c>
    </row>
    <row r="645" hidden="1">
      <c r="C645" s="40" t="str">
        <f>IFERROR(__xludf.DUMMYFUNCTION("TEXTJOIN("", "",TRUE,UNIQUE(FILTER('Data Master'!$B$2:$B1570,'Data Master'!$E$2:$E1570=A645)))"),"petani")</f>
        <v>petani</v>
      </c>
    </row>
    <row r="646" hidden="1">
      <c r="C646" s="40" t="str">
        <f>IFERROR(__xludf.DUMMYFUNCTION("TEXTJOIN("", "",TRUE,UNIQUE(FILTER('Data Master'!$B$2:$B1570,'Data Master'!$E$2:$E1570=A646)))"),"petani")</f>
        <v>petani</v>
      </c>
    </row>
    <row r="647" hidden="1">
      <c r="C647" s="40" t="str">
        <f>IFERROR(__xludf.DUMMYFUNCTION("TEXTJOIN("", "",TRUE,UNIQUE(FILTER('Data Master'!$B$2:$B1570,'Data Master'!$E$2:$E1570=A647)))"),"petani")</f>
        <v>petani</v>
      </c>
    </row>
    <row r="648" hidden="1">
      <c r="C648" s="40" t="str">
        <f>IFERROR(__xludf.DUMMYFUNCTION("TEXTJOIN("", "",TRUE,UNIQUE(FILTER('Data Master'!$B$2:$B1570,'Data Master'!$E$2:$E1570=A648)))"),"petani")</f>
        <v>petani</v>
      </c>
    </row>
    <row r="649" hidden="1">
      <c r="C649" s="40" t="str">
        <f>IFERROR(__xludf.DUMMYFUNCTION("TEXTJOIN("", "",TRUE,UNIQUE(FILTER('Data Master'!$B$2:$B1570,'Data Master'!$E$2:$E1570=A649)))"),"petani")</f>
        <v>petani</v>
      </c>
    </row>
    <row r="650">
      <c r="C650" s="43" t="str">
        <f>IFERROR(__xludf.DUMMYFUNCTION("TEXTJOIN("", "",TRUE,UNIQUE(FILTER('Data Master'!$B$2:$B1570,'Data Master'!$E$2:$E1570=A650)))"),"operator admin, penyuluh")</f>
        <v>operator admin, penyuluh</v>
      </c>
    </row>
    <row r="651" hidden="1">
      <c r="C651" s="40" t="str">
        <f>IFERROR(__xludf.DUMMYFUNCTION("TEXTJOIN("", "",TRUE,UNIQUE(FILTER('Data Master'!$B$2:$B1570,'Data Master'!$E$2:$E1570=A651)))"),"petani")</f>
        <v>petani</v>
      </c>
    </row>
    <row r="652" hidden="1">
      <c r="C652" s="40" t="str">
        <f>IFERROR(__xludf.DUMMYFUNCTION("TEXTJOIN("", "",TRUE,UNIQUE(FILTER('Data Master'!$B$2:$B1570,'Data Master'!$E$2:$E1570=A652)))"),"petani")</f>
        <v>petani</v>
      </c>
    </row>
    <row r="653" hidden="1">
      <c r="C653" s="40" t="str">
        <f>IFERROR(__xludf.DUMMYFUNCTION("TEXTJOIN("", "",TRUE,UNIQUE(FILTER('Data Master'!$B$2:$B1570,'Data Master'!$E$2:$E1570=A653)))"),"petani")</f>
        <v>petani</v>
      </c>
    </row>
    <row r="654" hidden="1">
      <c r="C654" s="40" t="str">
        <f>IFERROR(__xludf.DUMMYFUNCTION("TEXTJOIN("", "",TRUE,UNIQUE(FILTER('Data Master'!$B$2:$B1570,'Data Master'!$E$2:$E1570=A654)))"),"petani")</f>
        <v>petani</v>
      </c>
    </row>
    <row r="655" hidden="1">
      <c r="C655" s="40" t="str">
        <f>IFERROR(__xludf.DUMMYFUNCTION("TEXTJOIN("", "",TRUE,UNIQUE(FILTER('Data Master'!$B$2:$B1570,'Data Master'!$E$2:$E1570=A655)))"),"petani")</f>
        <v>petani</v>
      </c>
    </row>
    <row r="656" hidden="1">
      <c r="C656" s="40" t="str">
        <f>IFERROR(__xludf.DUMMYFUNCTION("TEXTJOIN("", "",TRUE,UNIQUE(FILTER('Data Master'!$B$2:$B1570,'Data Master'!$E$2:$E1570=A656)))"),"petani")</f>
        <v>petani</v>
      </c>
    </row>
    <row r="657" hidden="1">
      <c r="C657" s="40" t="str">
        <f>IFERROR(__xludf.DUMMYFUNCTION("TEXTJOIN("", "",TRUE,UNIQUE(FILTER('Data Master'!$B$2:$B1570,'Data Master'!$E$2:$E1570=A657)))"),"petani")</f>
        <v>petani</v>
      </c>
    </row>
    <row r="658" hidden="1">
      <c r="C658" s="40" t="str">
        <f>IFERROR(__xludf.DUMMYFUNCTION("TEXTJOIN("", "",TRUE,UNIQUE(FILTER('Data Master'!$B$2:$B1570,'Data Master'!$E$2:$E1570=A658)))"),"petani")</f>
        <v>petani</v>
      </c>
    </row>
    <row r="659" hidden="1">
      <c r="C659" s="43" t="str">
        <f>IFERROR(__xludf.DUMMYFUNCTION("TEXTJOIN("", "",TRUE,UNIQUE(FILTER('Data Master'!$B$2:$B1570,'Data Master'!$E$2:$E1570=A659)))"),"operator admin, penyuluh, petani")</f>
        <v>operator admin, penyuluh, petani</v>
      </c>
    </row>
    <row r="660" hidden="1">
      <c r="C660" s="40" t="str">
        <f>IFERROR(__xludf.DUMMYFUNCTION("TEXTJOIN("", "",TRUE,UNIQUE(FILTER('Data Master'!$B$2:$B1570,'Data Master'!$E$2:$E1570=A660)))"),"petani")</f>
        <v>petani</v>
      </c>
    </row>
    <row r="661" hidden="1">
      <c r="C661" s="40" t="str">
        <f>IFERROR(__xludf.DUMMYFUNCTION("TEXTJOIN("", "",TRUE,UNIQUE(FILTER('Data Master'!$B$2:$B1570,'Data Master'!$E$2:$E1570=A661)))"),"petani")</f>
        <v>petani</v>
      </c>
    </row>
    <row r="662" hidden="1">
      <c r="C662" s="40" t="str">
        <f>IFERROR(__xludf.DUMMYFUNCTION("TEXTJOIN("", "",TRUE,UNIQUE(FILTER('Data Master'!$B$2:$B1570,'Data Master'!$E$2:$E1570=A662)))"),"petani")</f>
        <v>petani</v>
      </c>
    </row>
    <row r="663" hidden="1">
      <c r="C663" s="40" t="str">
        <f>IFERROR(__xludf.DUMMYFUNCTION("TEXTJOIN("", "",TRUE,UNIQUE(FILTER('Data Master'!$B$2:$B1570,'Data Master'!$E$2:$E1570=A663)))"),"penyuluh")</f>
        <v>penyuluh</v>
      </c>
    </row>
    <row r="664" hidden="1">
      <c r="C664" s="40" t="str">
        <f>IFERROR(__xludf.DUMMYFUNCTION("TEXTJOIN("", "",TRUE,UNIQUE(FILTER('Data Master'!$B$2:$B1570,'Data Master'!$E$2:$E1570=A664)))"),"petani")</f>
        <v>petani</v>
      </c>
    </row>
    <row r="665" hidden="1">
      <c r="C665" s="40" t="str">
        <f>IFERROR(__xludf.DUMMYFUNCTION("TEXTJOIN("", "",TRUE,UNIQUE(FILTER('Data Master'!$B$2:$B1570,'Data Master'!$E$2:$E1570=A665)))"),"petani")</f>
        <v>petani</v>
      </c>
    </row>
    <row r="666" hidden="1">
      <c r="C666" s="40" t="str">
        <f>IFERROR(__xludf.DUMMYFUNCTION("TEXTJOIN("", "",TRUE,UNIQUE(FILTER('Data Master'!$B$2:$B1570,'Data Master'!$E$2:$E1570=A666)))"),"petani")</f>
        <v>petani</v>
      </c>
    </row>
    <row r="667" hidden="1">
      <c r="C667" s="40" t="str">
        <f>IFERROR(__xludf.DUMMYFUNCTION("TEXTJOIN("", "",TRUE,UNIQUE(FILTER('Data Master'!$B$2:$B1570,'Data Master'!$E$2:$E1570=A667)))"),"petani")</f>
        <v>petani</v>
      </c>
    </row>
    <row r="668" hidden="1">
      <c r="C668" s="40" t="str">
        <f>IFERROR(__xludf.DUMMYFUNCTION("TEXTJOIN("", "",TRUE,UNIQUE(FILTER('Data Master'!$B$2:$B1570,'Data Master'!$E$2:$E1570=A668)))"),"petani")</f>
        <v>petani</v>
      </c>
    </row>
    <row r="669" hidden="1">
      <c r="C669" s="40" t="str">
        <f>IFERROR(__xludf.DUMMYFUNCTION("TEXTJOIN("", "",TRUE,UNIQUE(FILTER('Data Master'!$B$2:$B1570,'Data Master'!$E$2:$E1570=A669)))"),"petani")</f>
        <v>petani</v>
      </c>
    </row>
    <row r="670" hidden="1">
      <c r="C670" s="40" t="str">
        <f>IFERROR(__xludf.DUMMYFUNCTION("TEXTJOIN("", "",TRUE,UNIQUE(FILTER('Data Master'!$B$2:$B1570,'Data Master'!$E$2:$E1570=A670)))"),"petani")</f>
        <v>petani</v>
      </c>
    </row>
    <row r="671" hidden="1">
      <c r="C671" s="40" t="str">
        <f>IFERROR(__xludf.DUMMYFUNCTION("TEXTJOIN("", "",TRUE,UNIQUE(FILTER('Data Master'!$B$2:$B1570,'Data Master'!$E$2:$E1570=A671)))"),"petani")</f>
        <v>petani</v>
      </c>
    </row>
    <row r="672" hidden="1">
      <c r="C672" s="40" t="str">
        <f>IFERROR(__xludf.DUMMYFUNCTION("TEXTJOIN("", "",TRUE,UNIQUE(FILTER('Data Master'!$B$2:$B1570,'Data Master'!$E$2:$E1570=A672)))"),"petani")</f>
        <v>petani</v>
      </c>
    </row>
    <row r="673" hidden="1">
      <c r="C673" s="40" t="str">
        <f>IFERROR(__xludf.DUMMYFUNCTION("TEXTJOIN("", "",TRUE,UNIQUE(FILTER('Data Master'!$B$2:$B1570,'Data Master'!$E$2:$E1570=A673)))"),"petani")</f>
        <v>petani</v>
      </c>
    </row>
    <row r="674" hidden="1">
      <c r="C674" s="40" t="str">
        <f>IFERROR(__xludf.DUMMYFUNCTION("TEXTJOIN("", "",TRUE,UNIQUE(FILTER('Data Master'!$B$2:$B1570,'Data Master'!$E$2:$E1570=A674)))"),"petani")</f>
        <v>petani</v>
      </c>
    </row>
    <row r="675" hidden="1">
      <c r="C675" s="40" t="str">
        <f>IFERROR(__xludf.DUMMYFUNCTION("TEXTJOIN("", "",TRUE,UNIQUE(FILTER('Data Master'!$B$2:$B1570,'Data Master'!$E$2:$E1570=A675)))"),"petani")</f>
        <v>petani</v>
      </c>
    </row>
    <row r="676" hidden="1">
      <c r="C676" s="40" t="str">
        <f>IFERROR(__xludf.DUMMYFUNCTION("TEXTJOIN("", "",TRUE,UNIQUE(FILTER('Data Master'!$B$2:$B1570,'Data Master'!$E$2:$E1570=A676)))"),"petani")</f>
        <v>petani</v>
      </c>
    </row>
    <row r="677" hidden="1">
      <c r="C677" s="40" t="str">
        <f>IFERROR(__xludf.DUMMYFUNCTION("TEXTJOIN("", "",TRUE,UNIQUE(FILTER('Data Master'!$B$2:$B1570,'Data Master'!$E$2:$E1570=A677)))"),"petani")</f>
        <v>petani</v>
      </c>
    </row>
    <row r="678" hidden="1">
      <c r="C678" s="40" t="str">
        <f>IFERROR(__xludf.DUMMYFUNCTION("TEXTJOIN("", "",TRUE,UNIQUE(FILTER('Data Master'!$B$2:$B1570,'Data Master'!$E$2:$E1570=A678)))"),"petani")</f>
        <v>petani</v>
      </c>
    </row>
    <row r="679" hidden="1">
      <c r="C679" s="40" t="str">
        <f>IFERROR(__xludf.DUMMYFUNCTION("TEXTJOIN("", "",TRUE,UNIQUE(FILTER('Data Master'!$B$2:$B1570,'Data Master'!$E$2:$E1570=A679)))"),"petani")</f>
        <v>petani</v>
      </c>
    </row>
    <row r="680" hidden="1">
      <c r="C680" s="40" t="str">
        <f>IFERROR(__xludf.DUMMYFUNCTION("TEXTJOIN("", "",TRUE,UNIQUE(FILTER('Data Master'!$B$2:$B1570,'Data Master'!$E$2:$E1570=A680)))"),"petani")</f>
        <v>petani</v>
      </c>
    </row>
    <row r="681" hidden="1">
      <c r="C681" s="40" t="str">
        <f>IFERROR(__xludf.DUMMYFUNCTION("TEXTJOIN("", "",TRUE,UNIQUE(FILTER('Data Master'!$B$2:$B1570,'Data Master'!$E$2:$E1570=A681)))"),"petani")</f>
        <v>petani</v>
      </c>
    </row>
    <row r="682" hidden="1">
      <c r="C682" s="40" t="str">
        <f>IFERROR(__xludf.DUMMYFUNCTION("TEXTJOIN("", "",TRUE,UNIQUE(FILTER('Data Master'!$B$2:$B1570,'Data Master'!$E$2:$E1570=A682)))"),"petani")</f>
        <v>petani</v>
      </c>
    </row>
    <row r="683" hidden="1">
      <c r="C683" s="40" t="str">
        <f>IFERROR(__xludf.DUMMYFUNCTION("TEXTJOIN("", "",TRUE,UNIQUE(FILTER('Data Master'!$B$2:$B1570,'Data Master'!$E$2:$E1570=A683)))"),"petani")</f>
        <v>petani</v>
      </c>
    </row>
    <row r="684" hidden="1">
      <c r="C684" s="40" t="str">
        <f>IFERROR(__xludf.DUMMYFUNCTION("TEXTJOIN("", "",TRUE,UNIQUE(FILTER('Data Master'!$B$2:$B1570,'Data Master'!$E$2:$E1570=A684)))"),"petani")</f>
        <v>petani</v>
      </c>
    </row>
    <row r="685">
      <c r="C685" s="43" t="str">
        <f>IFERROR(__xludf.DUMMYFUNCTION("TEXTJOIN("", "",TRUE,UNIQUE(FILTER('Data Master'!$B$2:$B1570,'Data Master'!$E$2:$E1570=A685)))"),"penyuluh")</f>
        <v>penyuluh</v>
      </c>
    </row>
    <row r="686" hidden="1">
      <c r="C686" s="40" t="str">
        <f>IFERROR(__xludf.DUMMYFUNCTION("TEXTJOIN("", "",TRUE,UNIQUE(FILTER('Data Master'!$B$2:$B1570,'Data Master'!$E$2:$E1570=A686)))"),"petani")</f>
        <v>petani</v>
      </c>
    </row>
    <row r="687" hidden="1">
      <c r="C687" s="40" t="str">
        <f>IFERROR(__xludf.DUMMYFUNCTION("TEXTJOIN("", "",TRUE,UNIQUE(FILTER('Data Master'!$B$2:$B1570,'Data Master'!$E$2:$E1570=A687)))"),"petani")</f>
        <v>petani</v>
      </c>
    </row>
    <row r="688" hidden="1">
      <c r="C688" s="40" t="str">
        <f>IFERROR(__xludf.DUMMYFUNCTION("TEXTJOIN("", "",TRUE,UNIQUE(FILTER('Data Master'!$B$2:$B1570,'Data Master'!$E$2:$E1570=A688)))"),"petani")</f>
        <v>petani</v>
      </c>
    </row>
    <row r="689" hidden="1">
      <c r="C689" s="40" t="str">
        <f>IFERROR(__xludf.DUMMYFUNCTION("TEXTJOIN("", "",TRUE,UNIQUE(FILTER('Data Master'!$B$2:$B1570,'Data Master'!$E$2:$E1570=A689)))"),"petani")</f>
        <v>petani</v>
      </c>
    </row>
    <row r="690" hidden="1">
      <c r="C690" s="40" t="str">
        <f>IFERROR(__xludf.DUMMYFUNCTION("TEXTJOIN("", "",TRUE,UNIQUE(FILTER('Data Master'!$B$2:$B1570,'Data Master'!$E$2:$E1570=A690)))"),"petani")</f>
        <v>petani</v>
      </c>
    </row>
    <row r="691" hidden="1">
      <c r="C691" s="40" t="str">
        <f>IFERROR(__xludf.DUMMYFUNCTION("TEXTJOIN("", "",TRUE,UNIQUE(FILTER('Data Master'!$B$2:$B1570,'Data Master'!$E$2:$E1570=A691)))"),"petani")</f>
        <v>petani</v>
      </c>
    </row>
    <row r="692" hidden="1">
      <c r="C692" s="40" t="str">
        <f>IFERROR(__xludf.DUMMYFUNCTION("TEXTJOIN("", "",TRUE,UNIQUE(FILTER('Data Master'!$B$2:$B1570,'Data Master'!$E$2:$E1570=A692)))"),"petani")</f>
        <v>petani</v>
      </c>
    </row>
    <row r="693">
      <c r="C693" s="43" t="str">
        <f>IFERROR(__xludf.DUMMYFUNCTION("TEXTJOIN("", "",TRUE,UNIQUE(FILTER('Data Master'!$B$2:$B1570,'Data Master'!$E$2:$E1570=A693)))"),"operator admin, penyuluh")</f>
        <v>operator admin, penyuluh</v>
      </c>
    </row>
    <row r="694" hidden="1">
      <c r="C694" s="40" t="str">
        <f>IFERROR(__xludf.DUMMYFUNCTION("TEXTJOIN("", "",TRUE,UNIQUE(FILTER('Data Master'!$B$2:$B1570,'Data Master'!$E$2:$E1570=A694)))"),"petani")</f>
        <v>petani</v>
      </c>
    </row>
    <row r="695" hidden="1">
      <c r="C695" s="40" t="str">
        <f>IFERROR(__xludf.DUMMYFUNCTION("TEXTJOIN("", "",TRUE,UNIQUE(FILTER('Data Master'!$B$2:$B1570,'Data Master'!$E$2:$E1570=A695)))"),"petani")</f>
        <v>petani</v>
      </c>
    </row>
    <row r="696" hidden="1">
      <c r="C696" s="40" t="str">
        <f>IFERROR(__xludf.DUMMYFUNCTION("TEXTJOIN("", "",TRUE,UNIQUE(FILTER('Data Master'!$B$2:$B1570,'Data Master'!$E$2:$E1570=A696)))"),"petani")</f>
        <v>petani</v>
      </c>
    </row>
    <row r="697" hidden="1">
      <c r="C697" s="40" t="str">
        <f>IFERROR(__xludf.DUMMYFUNCTION("TEXTJOIN("", "",TRUE,UNIQUE(FILTER('Data Master'!$B$2:$B1570,'Data Master'!$E$2:$E1570=A697)))"),"petani")</f>
        <v>petani</v>
      </c>
    </row>
    <row r="698" hidden="1">
      <c r="C698" s="40" t="str">
        <f>IFERROR(__xludf.DUMMYFUNCTION("TEXTJOIN("", "",TRUE,UNIQUE(FILTER('Data Master'!$B$2:$B1570,'Data Master'!$E$2:$E1570=A698)))"),"petani")</f>
        <v>petani</v>
      </c>
    </row>
    <row r="699" hidden="1">
      <c r="C699" s="40" t="str">
        <f>IFERROR(__xludf.DUMMYFUNCTION("TEXTJOIN("", "",TRUE,UNIQUE(FILTER('Data Master'!$B$2:$B1570,'Data Master'!$E$2:$E1570=A699)))"),"petani")</f>
        <v>petani</v>
      </c>
    </row>
    <row r="700" hidden="1">
      <c r="C700" s="40" t="str">
        <f>IFERROR(__xludf.DUMMYFUNCTION("TEXTJOIN("", "",TRUE,UNIQUE(FILTER('Data Master'!$B$2:$B1570,'Data Master'!$E$2:$E1570=A700)))"),"petani")</f>
        <v>petani</v>
      </c>
    </row>
    <row r="701" hidden="1">
      <c r="C701" s="40" t="str">
        <f>IFERROR(__xludf.DUMMYFUNCTION("TEXTJOIN("", "",TRUE,UNIQUE(FILTER('Data Master'!$B$2:$B1570,'Data Master'!$E$2:$E1570=A701)))"),"petani")</f>
        <v>petani</v>
      </c>
    </row>
    <row r="702" hidden="1">
      <c r="C702" s="40" t="str">
        <f>IFERROR(__xludf.DUMMYFUNCTION("TEXTJOIN("", "",TRUE,UNIQUE(FILTER('Data Master'!$B$2:$B1570,'Data Master'!$E$2:$E1570=A702)))"),"petani")</f>
        <v>petani</v>
      </c>
    </row>
    <row r="703" hidden="1">
      <c r="C703" s="40" t="str">
        <f>IFERROR(__xludf.DUMMYFUNCTION("TEXTJOIN("", "",TRUE,UNIQUE(FILTER('Data Master'!$B$2:$B1570,'Data Master'!$E$2:$E1570=A703)))"),"petani")</f>
        <v>petani</v>
      </c>
    </row>
    <row r="704" hidden="1">
      <c r="C704" s="40" t="str">
        <f>IFERROR(__xludf.DUMMYFUNCTION("TEXTJOIN("", "",TRUE,UNIQUE(FILTER('Data Master'!$B$2:$B1570,'Data Master'!$E$2:$E1570=A704)))"),"petani")</f>
        <v>petani</v>
      </c>
    </row>
    <row r="705" hidden="1">
      <c r="C705" s="40" t="str">
        <f>IFERROR(__xludf.DUMMYFUNCTION("TEXTJOIN("", "",TRUE,UNIQUE(FILTER('Data Master'!$B$2:$B1570,'Data Master'!$E$2:$E1570=A705)))"),"petani")</f>
        <v>petani</v>
      </c>
    </row>
    <row r="706" hidden="1">
      <c r="C706" s="40" t="str">
        <f>IFERROR(__xludf.DUMMYFUNCTION("TEXTJOIN("", "",TRUE,UNIQUE(FILTER('Data Master'!$B$2:$B1570,'Data Master'!$E$2:$E1570=A706)))"),"petani")</f>
        <v>petani</v>
      </c>
    </row>
    <row r="707" hidden="1">
      <c r="C707" s="40" t="str">
        <f>IFERROR(__xludf.DUMMYFUNCTION("TEXTJOIN("", "",TRUE,UNIQUE(FILTER('Data Master'!$B$2:$B1570,'Data Master'!$E$2:$E1570=A707)))"),"petani")</f>
        <v>petani</v>
      </c>
    </row>
    <row r="708" hidden="1">
      <c r="C708" s="40" t="str">
        <f>IFERROR(__xludf.DUMMYFUNCTION("TEXTJOIN("", "",TRUE,UNIQUE(FILTER('Data Master'!$B$2:$B1570,'Data Master'!$E$2:$E1570=A708)))"),"petani")</f>
        <v>petani</v>
      </c>
    </row>
    <row r="709" hidden="1">
      <c r="C709" s="40" t="str">
        <f>IFERROR(__xludf.DUMMYFUNCTION("TEXTJOIN("", "",TRUE,UNIQUE(FILTER('Data Master'!$B$2:$B1570,'Data Master'!$E$2:$E1570=A709)))"),"petani")</f>
        <v>petani</v>
      </c>
    </row>
    <row r="710" hidden="1">
      <c r="C710" s="40" t="str">
        <f>IFERROR(__xludf.DUMMYFUNCTION("TEXTJOIN("", "",TRUE,UNIQUE(FILTER('Data Master'!$B$2:$B1570,'Data Master'!$E$2:$E1570=A710)))"),"petani")</f>
        <v>petani</v>
      </c>
    </row>
    <row r="711" hidden="1">
      <c r="C711" s="40" t="str">
        <f>IFERROR(__xludf.DUMMYFUNCTION("TEXTJOIN("", "",TRUE,UNIQUE(FILTER('Data Master'!$B$2:$B1570,'Data Master'!$E$2:$E1570=A711)))"),"petani")</f>
        <v>petani</v>
      </c>
    </row>
    <row r="712" hidden="1">
      <c r="C712" s="40" t="str">
        <f>IFERROR(__xludf.DUMMYFUNCTION("TEXTJOIN("", "",TRUE,UNIQUE(FILTER('Data Master'!$B$2:$B1570,'Data Master'!$E$2:$E1570=A712)))"),"petani")</f>
        <v>petani</v>
      </c>
    </row>
    <row r="713" hidden="1">
      <c r="C713" s="40" t="str">
        <f>IFERROR(__xludf.DUMMYFUNCTION("TEXTJOIN("", "",TRUE,UNIQUE(FILTER('Data Master'!$B$2:$B1570,'Data Master'!$E$2:$E1570=A713)))"),"penyuluh")</f>
        <v>penyuluh</v>
      </c>
    </row>
    <row r="714" hidden="1">
      <c r="C714" s="40" t="str">
        <f>IFERROR(__xludf.DUMMYFUNCTION("TEXTJOIN("", "",TRUE,UNIQUE(FILTER('Data Master'!$B$2:$B1570,'Data Master'!$E$2:$E1570=A714)))"),"petani")</f>
        <v>petani</v>
      </c>
    </row>
    <row r="715" hidden="1">
      <c r="C715" s="40" t="str">
        <f>IFERROR(__xludf.DUMMYFUNCTION("TEXTJOIN("", "",TRUE,UNIQUE(FILTER('Data Master'!$B$2:$B1570,'Data Master'!$E$2:$E1570=A715)))"),"petani")</f>
        <v>petani</v>
      </c>
    </row>
    <row r="716" hidden="1">
      <c r="C716" s="40" t="str">
        <f>IFERROR(__xludf.DUMMYFUNCTION("TEXTJOIN("", "",TRUE,UNIQUE(FILTER('Data Master'!$B$2:$B1570,'Data Master'!$E$2:$E1570=A716)))"),"petani")</f>
        <v>petani</v>
      </c>
    </row>
    <row r="717" hidden="1">
      <c r="C717" s="40" t="str">
        <f>IFERROR(__xludf.DUMMYFUNCTION("TEXTJOIN("", "",TRUE,UNIQUE(FILTER('Data Master'!$B$2:$B1570,'Data Master'!$E$2:$E1570=A717)))"),"petani")</f>
        <v>petani</v>
      </c>
    </row>
    <row r="718" hidden="1">
      <c r="C718" s="40" t="str">
        <f>IFERROR(__xludf.DUMMYFUNCTION("TEXTJOIN("", "",TRUE,UNIQUE(FILTER('Data Master'!$B$2:$B1570,'Data Master'!$E$2:$E1570=A718)))"),"petani")</f>
        <v>petani</v>
      </c>
    </row>
    <row r="719" hidden="1">
      <c r="C719" s="40" t="str">
        <f>IFERROR(__xludf.DUMMYFUNCTION("TEXTJOIN("", "",TRUE,UNIQUE(FILTER('Data Master'!$B$2:$B1570,'Data Master'!$E$2:$E1570=A719)))"),"petani")</f>
        <v>petani</v>
      </c>
    </row>
    <row r="720" hidden="1">
      <c r="C720" s="40" t="str">
        <f>IFERROR(__xludf.DUMMYFUNCTION("TEXTJOIN("", "",TRUE,UNIQUE(FILTER('Data Master'!$B$2:$B1570,'Data Master'!$E$2:$E1570=A720)))"),"petani")</f>
        <v>petani</v>
      </c>
    </row>
    <row r="721" hidden="1">
      <c r="C721" s="40" t="str">
        <f>IFERROR(__xludf.DUMMYFUNCTION("TEXTJOIN("", "",TRUE,UNIQUE(FILTER('Data Master'!$B$2:$B1570,'Data Master'!$E$2:$E1570=A721)))"),"petani")</f>
        <v>petani</v>
      </c>
    </row>
    <row r="722" hidden="1">
      <c r="C722" s="40" t="str">
        <f>IFERROR(__xludf.DUMMYFUNCTION("TEXTJOIN("", "",TRUE,UNIQUE(FILTER('Data Master'!$B$2:$B1570,'Data Master'!$E$2:$E1570=A722)))"),"petani")</f>
        <v>petani</v>
      </c>
    </row>
    <row r="723" hidden="1">
      <c r="C723" s="40" t="str">
        <f>IFERROR(__xludf.DUMMYFUNCTION("TEXTJOIN("", "",TRUE,UNIQUE(FILTER('Data Master'!$B$2:$B1570,'Data Master'!$E$2:$E1570=A723)))"),"petani")</f>
        <v>petani</v>
      </c>
    </row>
    <row r="724" hidden="1">
      <c r="C724" s="40" t="str">
        <f>IFERROR(__xludf.DUMMYFUNCTION("TEXTJOIN("", "",TRUE,UNIQUE(FILTER('Data Master'!$B$2:$B1570,'Data Master'!$E$2:$E1570=A724)))"),"petani")</f>
        <v>petani</v>
      </c>
    </row>
    <row r="725" hidden="1">
      <c r="C725" s="40" t="str">
        <f>IFERROR(__xludf.DUMMYFUNCTION("TEXTJOIN("", "",TRUE,UNIQUE(FILTER('Data Master'!$B$2:$B1570,'Data Master'!$E$2:$E1570=A725)))"),"petani")</f>
        <v>petani</v>
      </c>
    </row>
    <row r="726" hidden="1">
      <c r="C726" s="40" t="str">
        <f>IFERROR(__xludf.DUMMYFUNCTION("TEXTJOIN("", "",TRUE,UNIQUE(FILTER('Data Master'!$B$2:$B1570,'Data Master'!$E$2:$E1570=A726)))"),"penyuluh")</f>
        <v>penyuluh</v>
      </c>
    </row>
    <row r="727" hidden="1">
      <c r="C727" s="40" t="str">
        <f>IFERROR(__xludf.DUMMYFUNCTION("TEXTJOIN("", "",TRUE,UNIQUE(FILTER('Data Master'!$B$2:$B1570,'Data Master'!$E$2:$E1570=A727)))"),"petani")</f>
        <v>petani</v>
      </c>
    </row>
    <row r="728" hidden="1">
      <c r="C728" s="40" t="str">
        <f>IFERROR(__xludf.DUMMYFUNCTION("TEXTJOIN("", "",TRUE,UNIQUE(FILTER('Data Master'!$B$2:$B1570,'Data Master'!$E$2:$E1570=A728)))"),"petani")</f>
        <v>petani</v>
      </c>
    </row>
    <row r="729" hidden="1">
      <c r="C729" s="40" t="str">
        <f>IFERROR(__xludf.DUMMYFUNCTION("TEXTJOIN("", "",TRUE,UNIQUE(FILTER('Data Master'!$B$2:$B1570,'Data Master'!$E$2:$E1570=A729)))"),"petani")</f>
        <v>petani</v>
      </c>
    </row>
    <row r="730" hidden="1">
      <c r="C730" s="40" t="str">
        <f>IFERROR(__xludf.DUMMYFUNCTION("TEXTJOIN("", "",TRUE,UNIQUE(FILTER('Data Master'!$B$2:$B1570,'Data Master'!$E$2:$E1570=A730)))"),"petani")</f>
        <v>petani</v>
      </c>
    </row>
    <row r="731" hidden="1">
      <c r="C731" s="40" t="str">
        <f>IFERROR(__xludf.DUMMYFUNCTION("TEXTJOIN("", "",TRUE,UNIQUE(FILTER('Data Master'!$B$2:$B1570,'Data Master'!$E$2:$E1570=A731)))"),"petani")</f>
        <v>petani</v>
      </c>
    </row>
    <row r="732" hidden="1">
      <c r="C732" s="40" t="str">
        <f>IFERROR(__xludf.DUMMYFUNCTION("TEXTJOIN("", "",TRUE,UNIQUE(FILTER('Data Master'!$B$2:$B1570,'Data Master'!$E$2:$E1570=A732)))"),"petani")</f>
        <v>petani</v>
      </c>
    </row>
    <row r="733" hidden="1">
      <c r="C733" s="40" t="str">
        <f>IFERROR(__xludf.DUMMYFUNCTION("TEXTJOIN("", "",TRUE,UNIQUE(FILTER('Data Master'!$B$2:$B1570,'Data Master'!$E$2:$E1570=A733)))"),"petani")</f>
        <v>petani</v>
      </c>
    </row>
    <row r="734" hidden="1">
      <c r="C734" s="40" t="str">
        <f>IFERROR(__xludf.DUMMYFUNCTION("TEXTJOIN("", "",TRUE,UNIQUE(FILTER('Data Master'!$B$2:$B1570,'Data Master'!$E$2:$E1570=A734)))"),"petani")</f>
        <v>petani</v>
      </c>
    </row>
    <row r="735" hidden="1">
      <c r="C735" s="40" t="str">
        <f>IFERROR(__xludf.DUMMYFUNCTION("TEXTJOIN("", "",TRUE,UNIQUE(FILTER('Data Master'!$B$2:$B1570,'Data Master'!$E$2:$E1570=A735)))"),"petani")</f>
        <v>petani</v>
      </c>
    </row>
    <row r="736" hidden="1">
      <c r="C736" s="40" t="str">
        <f>IFERROR(__xludf.DUMMYFUNCTION("TEXTJOIN("", "",TRUE,UNIQUE(FILTER('Data Master'!$B$2:$B1570,'Data Master'!$E$2:$E1570=A736)))"),"petani")</f>
        <v>petani</v>
      </c>
    </row>
    <row r="737" hidden="1">
      <c r="C737" s="40" t="str">
        <f>IFERROR(__xludf.DUMMYFUNCTION("TEXTJOIN("", "",TRUE,UNIQUE(FILTER('Data Master'!$B$2:$B1570,'Data Master'!$E$2:$E1570=A737)))"),"petani")</f>
        <v>petani</v>
      </c>
    </row>
    <row r="738" hidden="1">
      <c r="C738" s="40" t="str">
        <f>IFERROR(__xludf.DUMMYFUNCTION("TEXTJOIN("", "",TRUE,UNIQUE(FILTER('Data Master'!$B$2:$B1570,'Data Master'!$E$2:$E1570=A738)))"),"petani")</f>
        <v>petani</v>
      </c>
    </row>
    <row r="739" hidden="1">
      <c r="C739" s="40" t="str">
        <f>IFERROR(__xludf.DUMMYFUNCTION("TEXTJOIN("", "",TRUE,UNIQUE(FILTER('Data Master'!$B$2:$B1570,'Data Master'!$E$2:$E1570=A739)))"),"petani")</f>
        <v>petani</v>
      </c>
    </row>
    <row r="740" hidden="1">
      <c r="C740" s="40" t="str">
        <f>IFERROR(__xludf.DUMMYFUNCTION("TEXTJOIN("", "",TRUE,UNIQUE(FILTER('Data Master'!$B$2:$B1570,'Data Master'!$E$2:$E1570=A740)))"),"petani")</f>
        <v>petani</v>
      </c>
    </row>
    <row r="741" hidden="1">
      <c r="C741" s="40" t="str">
        <f>IFERROR(__xludf.DUMMYFUNCTION("TEXTJOIN("", "",TRUE,UNIQUE(FILTER('Data Master'!$B$2:$B1570,'Data Master'!$E$2:$E1570=A741)))"),"petani")</f>
        <v>petani</v>
      </c>
    </row>
    <row r="742" hidden="1">
      <c r="C742" s="40" t="str">
        <f>IFERROR(__xludf.DUMMYFUNCTION("TEXTJOIN("", "",TRUE,UNIQUE(FILTER('Data Master'!$B$2:$B1570,'Data Master'!$E$2:$E1570=A742)))"),"petani")</f>
        <v>petani</v>
      </c>
    </row>
    <row r="743" hidden="1">
      <c r="C743" s="40" t="str">
        <f>IFERROR(__xludf.DUMMYFUNCTION("TEXTJOIN("", "",TRUE,UNIQUE(FILTER('Data Master'!$B$2:$B1570,'Data Master'!$E$2:$E1570=A743)))"),"petani")</f>
        <v>petani</v>
      </c>
    </row>
    <row r="744" hidden="1">
      <c r="C744" s="40" t="str">
        <f>IFERROR(__xludf.DUMMYFUNCTION("TEXTJOIN("", "",TRUE,UNIQUE(FILTER('Data Master'!$B$2:$B1570,'Data Master'!$E$2:$E1570=A744)))"),"petani")</f>
        <v>petani</v>
      </c>
    </row>
    <row r="745" hidden="1">
      <c r="C745" s="40" t="str">
        <f>IFERROR(__xludf.DUMMYFUNCTION("TEXTJOIN("", "",TRUE,UNIQUE(FILTER('Data Master'!$B$2:$B1570,'Data Master'!$E$2:$E1570=A745)))"),"petani")</f>
        <v>petani</v>
      </c>
    </row>
    <row r="746" hidden="1">
      <c r="C746" s="40" t="str">
        <f>IFERROR(__xludf.DUMMYFUNCTION("TEXTJOIN("", "",TRUE,UNIQUE(FILTER('Data Master'!$B$2:$B1570,'Data Master'!$E$2:$E1570=A746)))"),"petani")</f>
        <v>petani</v>
      </c>
    </row>
    <row r="747" hidden="1">
      <c r="C747" s="40" t="str">
        <f>IFERROR(__xludf.DUMMYFUNCTION("TEXTJOIN("", "",TRUE,UNIQUE(FILTER('Data Master'!$B$2:$B1570,'Data Master'!$E$2:$E1570=A747)))"),"petani")</f>
        <v>petani</v>
      </c>
    </row>
    <row r="748" hidden="1">
      <c r="C748" s="40" t="str">
        <f>IFERROR(__xludf.DUMMYFUNCTION("TEXTJOIN("", "",TRUE,UNIQUE(FILTER('Data Master'!$B$2:$B1570,'Data Master'!$E$2:$E1570=A748)))"),"petani")</f>
        <v>petani</v>
      </c>
    </row>
    <row r="749" hidden="1">
      <c r="C749" s="40" t="str">
        <f>IFERROR(__xludf.DUMMYFUNCTION("TEXTJOIN("", "",TRUE,UNIQUE(FILTER('Data Master'!$B$2:$B1570,'Data Master'!$E$2:$E1570=A749)))"),"petani")</f>
        <v>petani</v>
      </c>
    </row>
    <row r="750" hidden="1">
      <c r="C750" s="40" t="str">
        <f>IFERROR(__xludf.DUMMYFUNCTION("TEXTJOIN("", "",TRUE,UNIQUE(FILTER('Data Master'!$B$2:$B1570,'Data Master'!$E$2:$E1570=A750)))"),"petani")</f>
        <v>petani</v>
      </c>
    </row>
    <row r="751" hidden="1">
      <c r="C751" s="40" t="str">
        <f>IFERROR(__xludf.DUMMYFUNCTION("TEXTJOIN("", "",TRUE,UNIQUE(FILTER('Data Master'!$B$2:$B1570,'Data Master'!$E$2:$E1570=A751)))"),"petani")</f>
        <v>petani</v>
      </c>
    </row>
    <row r="752" hidden="1">
      <c r="C752" s="40" t="str">
        <f>IFERROR(__xludf.DUMMYFUNCTION("TEXTJOIN("", "",TRUE,UNIQUE(FILTER('Data Master'!$B$2:$B1570,'Data Master'!$E$2:$E1570=A752)))"),"petani")</f>
        <v>petani</v>
      </c>
    </row>
    <row r="753" hidden="1">
      <c r="C753" s="40" t="str">
        <f>IFERROR(__xludf.DUMMYFUNCTION("TEXTJOIN("", "",TRUE,UNIQUE(FILTER('Data Master'!$B$2:$B1570,'Data Master'!$E$2:$E1570=A753)))"),"petani")</f>
        <v>petani</v>
      </c>
    </row>
    <row r="754" hidden="1">
      <c r="C754" s="40" t="str">
        <f>IFERROR(__xludf.DUMMYFUNCTION("TEXTJOIN("", "",TRUE,UNIQUE(FILTER('Data Master'!$B$2:$B1570,'Data Master'!$E$2:$E1570=A754)))"),"petani")</f>
        <v>petani</v>
      </c>
    </row>
    <row r="755" hidden="1">
      <c r="C755" s="40" t="str">
        <f>IFERROR(__xludf.DUMMYFUNCTION("TEXTJOIN("", "",TRUE,UNIQUE(FILTER('Data Master'!$B$2:$B1570,'Data Master'!$E$2:$E1570=A755)))"),"petani")</f>
        <v>petani</v>
      </c>
    </row>
    <row r="756" hidden="1">
      <c r="C756" s="40" t="str">
        <f>IFERROR(__xludf.DUMMYFUNCTION("TEXTJOIN("", "",TRUE,UNIQUE(FILTER('Data Master'!$B$2:$B1570,'Data Master'!$E$2:$E1570=A756)))"),"petani")</f>
        <v>petani</v>
      </c>
    </row>
    <row r="757" hidden="1">
      <c r="C757" s="40" t="str">
        <f>IFERROR(__xludf.DUMMYFUNCTION("TEXTJOIN("", "",TRUE,UNIQUE(FILTER('Data Master'!$B$2:$B1570,'Data Master'!$E$2:$E1570=A757)))"),"petani")</f>
        <v>petani</v>
      </c>
    </row>
    <row r="758" hidden="1">
      <c r="C758" s="40" t="str">
        <f>IFERROR(__xludf.DUMMYFUNCTION("TEXTJOIN("", "",TRUE,UNIQUE(FILTER('Data Master'!$B$2:$B1570,'Data Master'!$E$2:$E1570=A758)))"),"petani")</f>
        <v>petani</v>
      </c>
    </row>
    <row r="759" hidden="1">
      <c r="C759" s="40" t="str">
        <f>IFERROR(__xludf.DUMMYFUNCTION("TEXTJOIN("", "",TRUE,UNIQUE(FILTER('Data Master'!$B$2:$B1570,'Data Master'!$E$2:$E1570=A759)))"),"petani")</f>
        <v>petani</v>
      </c>
    </row>
    <row r="760" hidden="1">
      <c r="C760" s="40" t="str">
        <f>IFERROR(__xludf.DUMMYFUNCTION("TEXTJOIN("", "",TRUE,UNIQUE(FILTER('Data Master'!$B$2:$B1570,'Data Master'!$E$2:$E1570=A760)))"),"petani")</f>
        <v>petani</v>
      </c>
    </row>
    <row r="761" hidden="1">
      <c r="C761" s="40" t="str">
        <f>IFERROR(__xludf.DUMMYFUNCTION("TEXTJOIN("", "",TRUE,UNIQUE(FILTER('Data Master'!$B$2:$B1570,'Data Master'!$E$2:$E1570=A761)))"),"petani")</f>
        <v>petani</v>
      </c>
    </row>
    <row r="762" hidden="1">
      <c r="C762" s="40" t="str">
        <f>IFERROR(__xludf.DUMMYFUNCTION("TEXTJOIN("", "",TRUE,UNIQUE(FILTER('Data Master'!$B$2:$B1570,'Data Master'!$E$2:$E1570=A762)))"),"petani")</f>
        <v>petani</v>
      </c>
    </row>
    <row r="763" hidden="1">
      <c r="C763" s="40" t="str">
        <f>IFERROR(__xludf.DUMMYFUNCTION("TEXTJOIN("", "",TRUE,UNIQUE(FILTER('Data Master'!$B$2:$B1570,'Data Master'!$E$2:$E1570=A763)))"),"petani")</f>
        <v>petani</v>
      </c>
    </row>
    <row r="764" hidden="1">
      <c r="C764" s="40" t="str">
        <f>IFERROR(__xludf.DUMMYFUNCTION("TEXTJOIN("", "",TRUE,UNIQUE(FILTER('Data Master'!$B$2:$B1570,'Data Master'!$E$2:$E1570=A764)))"),"petani")</f>
        <v>petani</v>
      </c>
    </row>
    <row r="765" hidden="1">
      <c r="C765" s="40" t="str">
        <f>IFERROR(__xludf.DUMMYFUNCTION("TEXTJOIN("", "",TRUE,UNIQUE(FILTER('Data Master'!$B$2:$B1570,'Data Master'!$E$2:$E1570=A765)))"),"petani")</f>
        <v>petani</v>
      </c>
    </row>
    <row r="766">
      <c r="C766" s="43" t="str">
        <f>IFERROR(__xludf.DUMMYFUNCTION("TEXTJOIN("", "",TRUE,UNIQUE(FILTER('Data Master'!$B$2:$B1570,'Data Master'!$E$2:$E1570=A766)))"),"penyuluh, petani")</f>
        <v>penyuluh, petani</v>
      </c>
    </row>
    <row r="767" hidden="1">
      <c r="C767" s="40" t="str">
        <f>IFERROR(__xludf.DUMMYFUNCTION("TEXTJOIN("", "",TRUE,UNIQUE(FILTER('Data Master'!$B$2:$B1570,'Data Master'!$E$2:$E1570=A767)))"),"petani")</f>
        <v>petani</v>
      </c>
    </row>
    <row r="768" hidden="1">
      <c r="C768" s="40" t="str">
        <f>IFERROR(__xludf.DUMMYFUNCTION("TEXTJOIN("", "",TRUE,UNIQUE(FILTER('Data Master'!$B$2:$B1570,'Data Master'!$E$2:$E1570=A768)))"),"petani")</f>
        <v>petani</v>
      </c>
    </row>
    <row r="769" hidden="1">
      <c r="C769" s="40" t="str">
        <f>IFERROR(__xludf.DUMMYFUNCTION("TEXTJOIN("", "",TRUE,UNIQUE(FILTER('Data Master'!$B$2:$B1570,'Data Master'!$E$2:$E1570=A769)))"),"petani")</f>
        <v>petani</v>
      </c>
    </row>
    <row r="770" hidden="1">
      <c r="C770" s="40" t="str">
        <f>IFERROR(__xludf.DUMMYFUNCTION("TEXTJOIN("", "",TRUE,UNIQUE(FILTER('Data Master'!$B$2:$B1570,'Data Master'!$E$2:$E1570=A770)))"),"petani")</f>
        <v>petani</v>
      </c>
    </row>
    <row r="771" hidden="1">
      <c r="C771" s="40" t="str">
        <f>IFERROR(__xludf.DUMMYFUNCTION("TEXTJOIN("", "",TRUE,UNIQUE(FILTER('Data Master'!$B$2:$B1570,'Data Master'!$E$2:$E1570=A771)))"),"petani")</f>
        <v>petani</v>
      </c>
    </row>
    <row r="772" hidden="1">
      <c r="C772" s="40" t="str">
        <f>IFERROR(__xludf.DUMMYFUNCTION("TEXTJOIN("", "",TRUE,UNIQUE(FILTER('Data Master'!$B$2:$B1570,'Data Master'!$E$2:$E1570=A772)))"),"petani")</f>
        <v>petani</v>
      </c>
    </row>
    <row r="773" hidden="1">
      <c r="C773" s="40" t="str">
        <f>IFERROR(__xludf.DUMMYFUNCTION("TEXTJOIN("", "",TRUE,UNIQUE(FILTER('Data Master'!$B$2:$B1570,'Data Master'!$E$2:$E1570=A773)))"),"petani")</f>
        <v>petani</v>
      </c>
    </row>
    <row r="774" hidden="1">
      <c r="C774" s="40" t="str">
        <f>IFERROR(__xludf.DUMMYFUNCTION("TEXTJOIN("", "",TRUE,UNIQUE(FILTER('Data Master'!$B$2:$B1570,'Data Master'!$E$2:$E1570=A774)))"),"petani")</f>
        <v>petani</v>
      </c>
    </row>
    <row r="775" hidden="1">
      <c r="C775" s="40" t="str">
        <f>IFERROR(__xludf.DUMMYFUNCTION("TEXTJOIN("", "",TRUE,UNIQUE(FILTER('Data Master'!$B$2:$B1570,'Data Master'!$E$2:$E1570=A775)))"),"petani")</f>
        <v>petani</v>
      </c>
    </row>
    <row r="776" hidden="1">
      <c r="C776" s="40" t="str">
        <f>IFERROR(__xludf.DUMMYFUNCTION("TEXTJOIN("", "",TRUE,UNIQUE(FILTER('Data Master'!$B$2:$B1570,'Data Master'!$E$2:$E1570=A776)))"),"penyuluh")</f>
        <v>penyuluh</v>
      </c>
    </row>
    <row r="777" hidden="1">
      <c r="C777" s="40" t="str">
        <f>IFERROR(__xludf.DUMMYFUNCTION("TEXTJOIN("", "",TRUE,UNIQUE(FILTER('Data Master'!$B$2:$B1570,'Data Master'!$E$2:$E1570=A777)))"),"petani")</f>
        <v>petani</v>
      </c>
    </row>
    <row r="778" hidden="1">
      <c r="C778" s="40" t="str">
        <f>IFERROR(__xludf.DUMMYFUNCTION("TEXTJOIN("", "",TRUE,UNIQUE(FILTER('Data Master'!$B$2:$B1570,'Data Master'!$E$2:$E1570=A778)))"),"petani")</f>
        <v>petani</v>
      </c>
    </row>
    <row r="779" hidden="1">
      <c r="C779" s="40" t="str">
        <f>IFERROR(__xludf.DUMMYFUNCTION("TEXTJOIN("", "",TRUE,UNIQUE(FILTER('Data Master'!$B$2:$B1570,'Data Master'!$E$2:$E1570=A779)))"),"petani")</f>
        <v>petani</v>
      </c>
    </row>
    <row r="780" hidden="1">
      <c r="C780" s="40" t="str">
        <f>IFERROR(__xludf.DUMMYFUNCTION("TEXTJOIN("", "",TRUE,UNIQUE(FILTER('Data Master'!$B$2:$B1570,'Data Master'!$E$2:$E1570=A780)))"),"petani")</f>
        <v>petani</v>
      </c>
    </row>
    <row r="781" hidden="1">
      <c r="C781" s="40" t="str">
        <f>IFERROR(__xludf.DUMMYFUNCTION("TEXTJOIN("", "",TRUE,UNIQUE(FILTER('Data Master'!$B$2:$B1570,'Data Master'!$E$2:$E1570=A781)))"),"petani")</f>
        <v>petani</v>
      </c>
    </row>
    <row r="782" hidden="1">
      <c r="C782" s="40" t="str">
        <f>IFERROR(__xludf.DUMMYFUNCTION("TEXTJOIN("", "",TRUE,UNIQUE(FILTER('Data Master'!$B$2:$B1570,'Data Master'!$E$2:$E1570=A782)))"),"penyuluh")</f>
        <v>penyuluh</v>
      </c>
    </row>
    <row r="783" hidden="1">
      <c r="C783" s="40" t="str">
        <f>IFERROR(__xludf.DUMMYFUNCTION("TEXTJOIN("", "",TRUE,UNIQUE(FILTER('Data Master'!$B$2:$B1570,'Data Master'!$E$2:$E1570=A783)))"),"petani")</f>
        <v>petani</v>
      </c>
    </row>
    <row r="784" hidden="1">
      <c r="C784" s="40" t="str">
        <f>IFERROR(__xludf.DUMMYFUNCTION("TEXTJOIN("", "",TRUE,UNIQUE(FILTER('Data Master'!$B$2:$B1570,'Data Master'!$E$2:$E1570=A784)))"),"penyuluh")</f>
        <v>penyuluh</v>
      </c>
    </row>
    <row r="785" hidden="1">
      <c r="C785" s="40" t="str">
        <f>IFERROR(__xludf.DUMMYFUNCTION("TEXTJOIN("", "",TRUE,UNIQUE(FILTER('Data Master'!$B$2:$B1570,'Data Master'!$E$2:$E1570=A785)))"),"penyuluh")</f>
        <v>penyuluh</v>
      </c>
    </row>
    <row r="786" hidden="1">
      <c r="C786" s="40" t="str">
        <f>IFERROR(__xludf.DUMMYFUNCTION("TEXTJOIN("", "",TRUE,UNIQUE(FILTER('Data Master'!$B$2:$B1570,'Data Master'!$E$2:$E1570=A786)))"),"petani")</f>
        <v>petani</v>
      </c>
    </row>
    <row r="787" hidden="1">
      <c r="C787" s="40" t="str">
        <f>IFERROR(__xludf.DUMMYFUNCTION("TEXTJOIN("", "",TRUE,UNIQUE(FILTER('Data Master'!$B$2:$B1570,'Data Master'!$E$2:$E1570=A787)))"),"petani")</f>
        <v>petani</v>
      </c>
    </row>
    <row r="788" hidden="1">
      <c r="C788" s="40" t="str">
        <f>IFERROR(__xludf.DUMMYFUNCTION("TEXTJOIN("", "",TRUE,UNIQUE(FILTER('Data Master'!$B$2:$B1570,'Data Master'!$E$2:$E1570=A788)))"),"petani")</f>
        <v>petani</v>
      </c>
    </row>
    <row r="789" hidden="1">
      <c r="C789" s="40" t="str">
        <f>IFERROR(__xludf.DUMMYFUNCTION("TEXTJOIN("", "",TRUE,UNIQUE(FILTER('Data Master'!$B$2:$B1570,'Data Master'!$E$2:$E1570=A789)))"),"petani")</f>
        <v>petani</v>
      </c>
    </row>
    <row r="790" hidden="1">
      <c r="C790" s="40" t="str">
        <f>IFERROR(__xludf.DUMMYFUNCTION("TEXTJOIN("", "",TRUE,UNIQUE(FILTER('Data Master'!$B$2:$B1570,'Data Master'!$E$2:$E1570=A790)))"),"petani")</f>
        <v>petani</v>
      </c>
    </row>
    <row r="791" hidden="1">
      <c r="C791" s="40" t="str">
        <f>IFERROR(__xludf.DUMMYFUNCTION("TEXTJOIN("", "",TRUE,UNIQUE(FILTER('Data Master'!$B$2:$B1570,'Data Master'!$E$2:$E1570=A791)))"),"petani")</f>
        <v>petani</v>
      </c>
    </row>
    <row r="792" hidden="1">
      <c r="C792" s="40" t="str">
        <f>IFERROR(__xludf.DUMMYFUNCTION("TEXTJOIN("", "",TRUE,UNIQUE(FILTER('Data Master'!$B$2:$B1570,'Data Master'!$E$2:$E1570=A792)))"),"petani")</f>
        <v>petani</v>
      </c>
    </row>
    <row r="793" hidden="1">
      <c r="C793" s="40" t="str">
        <f>IFERROR(__xludf.DUMMYFUNCTION("TEXTJOIN("", "",TRUE,UNIQUE(FILTER('Data Master'!$B$2:$B1570,'Data Master'!$E$2:$E1570=A793)))"),"petani")</f>
        <v>petani</v>
      </c>
    </row>
    <row r="794" hidden="1">
      <c r="C794" s="40" t="str">
        <f>IFERROR(__xludf.DUMMYFUNCTION("TEXTJOIN("", "",TRUE,UNIQUE(FILTER('Data Master'!$B$2:$B1570,'Data Master'!$E$2:$E1570=A794)))"),"petani")</f>
        <v>petani</v>
      </c>
    </row>
    <row r="795" hidden="1">
      <c r="C795" s="40" t="str">
        <f>IFERROR(__xludf.DUMMYFUNCTION("TEXTJOIN("", "",TRUE,UNIQUE(FILTER('Data Master'!$B$2:$B1570,'Data Master'!$E$2:$E1570=A795)))"),"petani")</f>
        <v>petani</v>
      </c>
    </row>
    <row r="796" hidden="1">
      <c r="C796" s="40" t="str">
        <f>IFERROR(__xludf.DUMMYFUNCTION("TEXTJOIN("", "",TRUE,UNIQUE(FILTER('Data Master'!$B$2:$B1570,'Data Master'!$E$2:$E1570=A796)))"),"petani")</f>
        <v>petani</v>
      </c>
    </row>
    <row r="797" hidden="1">
      <c r="C797" s="40" t="str">
        <f>IFERROR(__xludf.DUMMYFUNCTION("TEXTJOIN("", "",TRUE,UNIQUE(FILTER('Data Master'!$B$2:$B1570,'Data Master'!$E$2:$E1570=A797)))"),"petani")</f>
        <v>petani</v>
      </c>
    </row>
    <row r="798" hidden="1">
      <c r="C798" s="40" t="str">
        <f>IFERROR(__xludf.DUMMYFUNCTION("TEXTJOIN("", "",TRUE,UNIQUE(FILTER('Data Master'!$B$2:$B1570,'Data Master'!$E$2:$E1570=A798)))"),"petani")</f>
        <v>petani</v>
      </c>
    </row>
    <row r="799">
      <c r="C799" s="43" t="str">
        <f>IFERROR(__xludf.DUMMYFUNCTION("TEXTJOIN("", "",TRUE,UNIQUE(FILTER('Data Master'!$B$2:$B1570,'Data Master'!$E$2:$E1570=A799)))"),"penyuluh, petani")</f>
        <v>penyuluh, petani</v>
      </c>
    </row>
    <row r="800" hidden="1">
      <c r="C800" s="40" t="str">
        <f>IFERROR(__xludf.DUMMYFUNCTION("TEXTJOIN("", "",TRUE,UNIQUE(FILTER('Data Master'!$B$2:$B1570,'Data Master'!$E$2:$E1570=A800)))"),"penyuluh")</f>
        <v>penyuluh</v>
      </c>
    </row>
    <row r="801" hidden="1">
      <c r="C801" s="40" t="str">
        <f>IFERROR(__xludf.DUMMYFUNCTION("TEXTJOIN("", "",TRUE,UNIQUE(FILTER('Data Master'!$B$2:$B1570,'Data Master'!$E$2:$E1570=A801)))"),"petani")</f>
        <v>petani</v>
      </c>
    </row>
    <row r="802" hidden="1">
      <c r="C802" s="40" t="str">
        <f>IFERROR(__xludf.DUMMYFUNCTION("TEXTJOIN("", "",TRUE,UNIQUE(FILTER('Data Master'!$B$2:$B1570,'Data Master'!$E$2:$E1570=A802)))"),"petani")</f>
        <v>petani</v>
      </c>
    </row>
    <row r="803" hidden="1">
      <c r="C803" s="40" t="str">
        <f>IFERROR(__xludf.DUMMYFUNCTION("TEXTJOIN("", "",TRUE,UNIQUE(FILTER('Data Master'!$B$2:$B1570,'Data Master'!$E$2:$E1570=A803)))"),"penyuluh")</f>
        <v>penyuluh</v>
      </c>
    </row>
    <row r="804" hidden="1">
      <c r="C804" s="40" t="str">
        <f>IFERROR(__xludf.DUMMYFUNCTION("TEXTJOIN("", "",TRUE,UNIQUE(FILTER('Data Master'!$B$2:$B1570,'Data Master'!$E$2:$E1570=A804)))"),"petani")</f>
        <v>petani</v>
      </c>
    </row>
    <row r="805" hidden="1">
      <c r="C805" s="40" t="str">
        <f>IFERROR(__xludf.DUMMYFUNCTION("TEXTJOIN("", "",TRUE,UNIQUE(FILTER('Data Master'!$B$2:$B1570,'Data Master'!$E$2:$E1570=A805)))"),"petani")</f>
        <v>petani</v>
      </c>
    </row>
    <row r="806" hidden="1">
      <c r="C806" s="40" t="str">
        <f>IFERROR(__xludf.DUMMYFUNCTION("TEXTJOIN("", "",TRUE,UNIQUE(FILTER('Data Master'!$B$2:$B1570,'Data Master'!$E$2:$E1570=A806)))"),"petani")</f>
        <v>petani</v>
      </c>
    </row>
    <row r="807" hidden="1">
      <c r="C807" s="40" t="str">
        <f>IFERROR(__xludf.DUMMYFUNCTION("TEXTJOIN("", "",TRUE,UNIQUE(FILTER('Data Master'!$B$2:$B1570,'Data Master'!$E$2:$E1570=A807)))"),"petani")</f>
        <v>petani</v>
      </c>
    </row>
    <row r="808" hidden="1">
      <c r="C808" s="40" t="str">
        <f>IFERROR(__xludf.DUMMYFUNCTION("TEXTJOIN("", "",TRUE,UNIQUE(FILTER('Data Master'!$B$2:$B1570,'Data Master'!$E$2:$E1570=A808)))"),"petani")</f>
        <v>petani</v>
      </c>
    </row>
    <row r="809" hidden="1">
      <c r="C809" s="40" t="str">
        <f>IFERROR(__xludf.DUMMYFUNCTION("TEXTJOIN("", "",TRUE,UNIQUE(FILTER('Data Master'!$B$2:$B1570,'Data Master'!$E$2:$E1570=A809)))"),"petani")</f>
        <v>petani</v>
      </c>
    </row>
    <row r="810" hidden="1">
      <c r="C810" s="40" t="str">
        <f>IFERROR(__xludf.DUMMYFUNCTION("TEXTJOIN("", "",TRUE,UNIQUE(FILTER('Data Master'!$B$2:$B1570,'Data Master'!$E$2:$E1570=A810)))"),"petani")</f>
        <v>petani</v>
      </c>
    </row>
    <row r="811">
      <c r="C811" s="43" t="str">
        <f>IFERROR(__xludf.DUMMYFUNCTION("TEXTJOIN("", "",TRUE,UNIQUE(FILTER('Data Master'!$B$2:$B1570,'Data Master'!$E$2:$E1570=A811)))"),"penyuluh")</f>
        <v>penyuluh</v>
      </c>
    </row>
    <row r="812" hidden="1">
      <c r="C812" s="40" t="str">
        <f>IFERROR(__xludf.DUMMYFUNCTION("TEXTJOIN("", "",TRUE,UNIQUE(FILTER('Data Master'!$B$2:$B1570,'Data Master'!$E$2:$E1570=A812)))"),"petani")</f>
        <v>petani</v>
      </c>
    </row>
    <row r="813" hidden="1">
      <c r="C813" s="40" t="str">
        <f>IFERROR(__xludf.DUMMYFUNCTION("TEXTJOIN("", "",TRUE,UNIQUE(FILTER('Data Master'!$B$2:$B1570,'Data Master'!$E$2:$E1570=A813)))"),"penyuluh")</f>
        <v>penyuluh</v>
      </c>
    </row>
    <row r="814" hidden="1">
      <c r="C814" s="40" t="str">
        <f>IFERROR(__xludf.DUMMYFUNCTION("TEXTJOIN("", "",TRUE,UNIQUE(FILTER('Data Master'!$B$2:$B1570,'Data Master'!$E$2:$E1570=A814)))"),"petani")</f>
        <v>petani</v>
      </c>
    </row>
    <row r="815" hidden="1">
      <c r="C815" s="40" t="str">
        <f>IFERROR(__xludf.DUMMYFUNCTION("TEXTJOIN("", "",TRUE,UNIQUE(FILTER('Data Master'!$B$2:$B1570,'Data Master'!$E$2:$E1570=A815)))"),"petani")</f>
        <v>petani</v>
      </c>
    </row>
    <row r="816" hidden="1">
      <c r="C816" s="40" t="str">
        <f>IFERROR(__xludf.DUMMYFUNCTION("TEXTJOIN("", "",TRUE,UNIQUE(FILTER('Data Master'!$B$2:$B1570,'Data Master'!$E$2:$E1570=A816)))"),"petani")</f>
        <v>petani</v>
      </c>
    </row>
    <row r="817" hidden="1">
      <c r="C817" s="40" t="str">
        <f>IFERROR(__xludf.DUMMYFUNCTION("TEXTJOIN("", "",TRUE,UNIQUE(FILTER('Data Master'!$B$2:$B1570,'Data Master'!$E$2:$E1570=A817)))"),"petani")</f>
        <v>petani</v>
      </c>
    </row>
    <row r="818" hidden="1">
      <c r="C818" s="40" t="str">
        <f>IFERROR(__xludf.DUMMYFUNCTION("TEXTJOIN("", "",TRUE,UNIQUE(FILTER('Data Master'!$B$2:$B1570,'Data Master'!$E$2:$E1570=A818)))"),"petani")</f>
        <v>petani</v>
      </c>
    </row>
    <row r="819" hidden="1">
      <c r="C819" s="40" t="str">
        <f>IFERROR(__xludf.DUMMYFUNCTION("TEXTJOIN("", "",TRUE,UNIQUE(FILTER('Data Master'!$B$2:$B1570,'Data Master'!$E$2:$E1570=A819)))"),"petani")</f>
        <v>petani</v>
      </c>
    </row>
    <row r="820" hidden="1">
      <c r="C820" s="40" t="str">
        <f>IFERROR(__xludf.DUMMYFUNCTION("TEXTJOIN("", "",TRUE,UNIQUE(FILTER('Data Master'!$B$2:$B1570,'Data Master'!$E$2:$E1570=A820)))"),"petani")</f>
        <v>petani</v>
      </c>
    </row>
    <row r="821" hidden="1">
      <c r="C821" s="40" t="str">
        <f>IFERROR(__xludf.DUMMYFUNCTION("TEXTJOIN("", "",TRUE,UNIQUE(FILTER('Data Master'!$B$2:$B1570,'Data Master'!$E$2:$E1570=A821)))"),"petani")</f>
        <v>petani</v>
      </c>
    </row>
    <row r="822" hidden="1">
      <c r="C822" s="40" t="str">
        <f>IFERROR(__xludf.DUMMYFUNCTION("TEXTJOIN("", "",TRUE,UNIQUE(FILTER('Data Master'!$B$2:$B1570,'Data Master'!$E$2:$E1570=A822)))"),"petani")</f>
        <v>petani</v>
      </c>
    </row>
    <row r="823" hidden="1">
      <c r="C823" s="40" t="str">
        <f>IFERROR(__xludf.DUMMYFUNCTION("TEXTJOIN("", "",TRUE,UNIQUE(FILTER('Data Master'!$B$2:$B1570,'Data Master'!$E$2:$E1570=A823)))"),"petani")</f>
        <v>petani</v>
      </c>
    </row>
    <row r="824" hidden="1">
      <c r="C824" s="40" t="str">
        <f>IFERROR(__xludf.DUMMYFUNCTION("TEXTJOIN("", "",TRUE,UNIQUE(FILTER('Data Master'!$B$2:$B1570,'Data Master'!$E$2:$E1570=A824)))"),"petani")</f>
        <v>petani</v>
      </c>
    </row>
    <row r="825" hidden="1">
      <c r="C825" s="40" t="str">
        <f>IFERROR(__xludf.DUMMYFUNCTION("TEXTJOIN("", "",TRUE,UNIQUE(FILTER('Data Master'!$B$2:$B1570,'Data Master'!$E$2:$E1570=A825)))"),"petani")</f>
        <v>petani</v>
      </c>
    </row>
    <row r="826" hidden="1">
      <c r="C826" s="40" t="str">
        <f>IFERROR(__xludf.DUMMYFUNCTION("TEXTJOIN("", "",TRUE,UNIQUE(FILTER('Data Master'!$B$2:$B1570,'Data Master'!$E$2:$E1570=A826)))"),"petani")</f>
        <v>petani</v>
      </c>
    </row>
    <row r="827" hidden="1">
      <c r="C827" s="40" t="str">
        <f>IFERROR(__xludf.DUMMYFUNCTION("TEXTJOIN("", "",TRUE,UNIQUE(FILTER('Data Master'!$B$2:$B1570,'Data Master'!$E$2:$E1570=A827)))"),"petani")</f>
        <v>petani</v>
      </c>
    </row>
    <row r="828" hidden="1">
      <c r="C828" s="40" t="str">
        <f>IFERROR(__xludf.DUMMYFUNCTION("TEXTJOIN("", "",TRUE,UNIQUE(FILTER('Data Master'!$B$2:$B1570,'Data Master'!$E$2:$E1570=A828)))"),"petani")</f>
        <v>petani</v>
      </c>
    </row>
    <row r="829" hidden="1">
      <c r="C829" s="40" t="str">
        <f>IFERROR(__xludf.DUMMYFUNCTION("TEXTJOIN("", "",TRUE,UNIQUE(FILTER('Data Master'!$B$2:$B1570,'Data Master'!$E$2:$E1570=A829)))"),"petani")</f>
        <v>petani</v>
      </c>
    </row>
    <row r="830" hidden="1">
      <c r="C830" s="40" t="str">
        <f>IFERROR(__xludf.DUMMYFUNCTION("TEXTJOIN("", "",TRUE,UNIQUE(FILTER('Data Master'!$B$2:$B1570,'Data Master'!$E$2:$E1570=A830)))"),"petani")</f>
        <v>petani</v>
      </c>
    </row>
    <row r="831" hidden="1">
      <c r="C831" s="40" t="str">
        <f>IFERROR(__xludf.DUMMYFUNCTION("TEXTJOIN("", "",TRUE,UNIQUE(FILTER('Data Master'!$B$2:$B1570,'Data Master'!$E$2:$E1570=A831)))"),"petani")</f>
        <v>petani</v>
      </c>
    </row>
    <row r="832" hidden="1">
      <c r="C832" s="40" t="str">
        <f>IFERROR(__xludf.DUMMYFUNCTION("TEXTJOIN("", "",TRUE,UNIQUE(FILTER('Data Master'!$B$2:$B1570,'Data Master'!$E$2:$E1570=A832)))"),"petani")</f>
        <v>petani</v>
      </c>
    </row>
    <row r="833" hidden="1">
      <c r="C833" s="40" t="str">
        <f>IFERROR(__xludf.DUMMYFUNCTION("TEXTJOIN("", "",TRUE,UNIQUE(FILTER('Data Master'!$B$2:$B1570,'Data Master'!$E$2:$E1570=A833)))"),"petani")</f>
        <v>petani</v>
      </c>
    </row>
    <row r="834" hidden="1">
      <c r="C834" s="40" t="str">
        <f>IFERROR(__xludf.DUMMYFUNCTION("TEXTJOIN("", "",TRUE,UNIQUE(FILTER('Data Master'!$B$2:$B1570,'Data Master'!$E$2:$E1570=A834)))"),"petani")</f>
        <v>petani</v>
      </c>
    </row>
    <row r="835" hidden="1">
      <c r="C835" s="40" t="str">
        <f>IFERROR(__xludf.DUMMYFUNCTION("TEXTJOIN("", "",TRUE,UNIQUE(FILTER('Data Master'!$B$2:$B1570,'Data Master'!$E$2:$E1570=A835)))"),"petani")</f>
        <v>petani</v>
      </c>
    </row>
    <row r="836" hidden="1">
      <c r="C836" s="40" t="str">
        <f>IFERROR(__xludf.DUMMYFUNCTION("TEXTJOIN("", "",TRUE,UNIQUE(FILTER('Data Master'!$B$2:$B1570,'Data Master'!$E$2:$E1570=A836)))"),"petani")</f>
        <v>petani</v>
      </c>
    </row>
    <row r="837" hidden="1">
      <c r="C837" s="40" t="str">
        <f>IFERROR(__xludf.DUMMYFUNCTION("TEXTJOIN("", "",TRUE,UNIQUE(FILTER('Data Master'!$B$2:$B1570,'Data Master'!$E$2:$E1570=A837)))"),"petani")</f>
        <v>petani</v>
      </c>
    </row>
    <row r="838" hidden="1">
      <c r="C838" s="40" t="str">
        <f>IFERROR(__xludf.DUMMYFUNCTION("TEXTJOIN("", "",TRUE,UNIQUE(FILTER('Data Master'!$B$2:$B1570,'Data Master'!$E$2:$E1570=A838)))"),"petani")</f>
        <v>petani</v>
      </c>
    </row>
    <row r="839" hidden="1">
      <c r="C839" s="40" t="str">
        <f>IFERROR(__xludf.DUMMYFUNCTION("TEXTJOIN("", "",TRUE,UNIQUE(FILTER('Data Master'!$B$2:$B1570,'Data Master'!$E$2:$E1570=A839)))"),"petani")</f>
        <v>petani</v>
      </c>
    </row>
    <row r="840" hidden="1">
      <c r="C840" s="40" t="str">
        <f>IFERROR(__xludf.DUMMYFUNCTION("TEXTJOIN("", "",TRUE,UNIQUE(FILTER('Data Master'!$B$2:$B1570,'Data Master'!$E$2:$E1570=A840)))"),"petani")</f>
        <v>petani</v>
      </c>
    </row>
    <row r="841" hidden="1">
      <c r="C841" s="40" t="str">
        <f>IFERROR(__xludf.DUMMYFUNCTION("TEXTJOIN("", "",TRUE,UNIQUE(FILTER('Data Master'!$B$2:$B1570,'Data Master'!$E$2:$E1570=A841)))"),"penyuluh")</f>
        <v>penyuluh</v>
      </c>
    </row>
    <row r="842" hidden="1">
      <c r="C842" s="40" t="str">
        <f>IFERROR(__xludf.DUMMYFUNCTION("TEXTJOIN("", "",TRUE,UNIQUE(FILTER('Data Master'!$B$2:$B1570,'Data Master'!$E$2:$E1570=A842)))"),"petani")</f>
        <v>petani</v>
      </c>
    </row>
    <row r="843" hidden="1">
      <c r="C843" s="40" t="str">
        <f>IFERROR(__xludf.DUMMYFUNCTION("TEXTJOIN("", "",TRUE,UNIQUE(FILTER('Data Master'!$B$2:$B1570,'Data Master'!$E$2:$E1570=A843)))"),"petani")</f>
        <v>petani</v>
      </c>
    </row>
    <row r="844" hidden="1">
      <c r="C844" s="40" t="str">
        <f>IFERROR(__xludf.DUMMYFUNCTION("TEXTJOIN("", "",TRUE,UNIQUE(FILTER('Data Master'!$B$2:$B1570,'Data Master'!$E$2:$E1570=A844)))"),"petani")</f>
        <v>petani</v>
      </c>
    </row>
    <row r="845" hidden="1">
      <c r="C845" s="43" t="str">
        <f>IFERROR(__xludf.DUMMYFUNCTION("TEXTJOIN("", "",TRUE,UNIQUE(FILTER('Data Master'!$B$2:$B1570,'Data Master'!$E$2:$E1570=A845)))"),"penyuluh, petani")</f>
        <v>penyuluh, petani</v>
      </c>
    </row>
    <row r="846" hidden="1">
      <c r="C846" s="40" t="str">
        <f>IFERROR(__xludf.DUMMYFUNCTION("TEXTJOIN("", "",TRUE,UNIQUE(FILTER('Data Master'!$B$2:$B1570,'Data Master'!$E$2:$E1570=A846)))"),"petani")</f>
        <v>petani</v>
      </c>
    </row>
    <row r="847" hidden="1">
      <c r="C847" s="40" t="str">
        <f>IFERROR(__xludf.DUMMYFUNCTION("TEXTJOIN("", "",TRUE,UNIQUE(FILTER('Data Master'!$B$2:$B1570,'Data Master'!$E$2:$E1570=A847)))"),"petani")</f>
        <v>petani</v>
      </c>
    </row>
    <row r="848" hidden="1">
      <c r="C848" s="40" t="str">
        <f>IFERROR(__xludf.DUMMYFUNCTION("TEXTJOIN("", "",TRUE,UNIQUE(FILTER('Data Master'!$B$2:$B1570,'Data Master'!$E$2:$E1570=A848)))"),"petani")</f>
        <v>petani</v>
      </c>
    </row>
    <row r="849" hidden="1">
      <c r="C849" s="40" t="str">
        <f>IFERROR(__xludf.DUMMYFUNCTION("TEXTJOIN("", "",TRUE,UNIQUE(FILTER('Data Master'!$B$2:$B1570,'Data Master'!$E$2:$E1570=A849)))"),"petani")</f>
        <v>petani</v>
      </c>
    </row>
    <row r="850" hidden="1">
      <c r="C850" s="40" t="str">
        <f>IFERROR(__xludf.DUMMYFUNCTION("TEXTJOIN("", "",TRUE,UNIQUE(FILTER('Data Master'!$B$2:$B1570,'Data Master'!$E$2:$E1570=A850)))"),"petani")</f>
        <v>petani</v>
      </c>
    </row>
    <row r="851" hidden="1">
      <c r="C851" s="40" t="str">
        <f>IFERROR(__xludf.DUMMYFUNCTION("TEXTJOIN("", "",TRUE,UNIQUE(FILTER('Data Master'!$B$2:$B1570,'Data Master'!$E$2:$E1570=A851)))"),"petani")</f>
        <v>petani</v>
      </c>
    </row>
    <row r="852" hidden="1">
      <c r="C852" s="40" t="str">
        <f>IFERROR(__xludf.DUMMYFUNCTION("TEXTJOIN("", "",TRUE,UNIQUE(FILTER('Data Master'!$B$2:$B1570,'Data Master'!$E$2:$E1570=A852)))"),"petani")</f>
        <v>petani</v>
      </c>
    </row>
    <row r="853" hidden="1">
      <c r="C853" s="40" t="str">
        <f>IFERROR(__xludf.DUMMYFUNCTION("TEXTJOIN("", "",TRUE,UNIQUE(FILTER('Data Master'!$B$2:$B1570,'Data Master'!$E$2:$E1570=A853)))"),"petani")</f>
        <v>petani</v>
      </c>
    </row>
    <row r="854" hidden="1">
      <c r="C854" s="40" t="str">
        <f>IFERROR(__xludf.DUMMYFUNCTION("TEXTJOIN("", "",TRUE,UNIQUE(FILTER('Data Master'!$B$2:$B1570,'Data Master'!$E$2:$E1570=A854)))"),"petani")</f>
        <v>petani</v>
      </c>
    </row>
    <row r="855" hidden="1">
      <c r="C855" s="40" t="str">
        <f>IFERROR(__xludf.DUMMYFUNCTION("TEXTJOIN("", "",TRUE,UNIQUE(FILTER('Data Master'!$B$2:$B1570,'Data Master'!$E$2:$E1570=A855)))"),"petani")</f>
        <v>petani</v>
      </c>
    </row>
    <row r="856" hidden="1">
      <c r="C856" s="40" t="str">
        <f>IFERROR(__xludf.DUMMYFUNCTION("TEXTJOIN("", "",TRUE,UNIQUE(FILTER('Data Master'!$B$2:$B1570,'Data Master'!$E$2:$E1570=A856)))"),"petani")</f>
        <v>petani</v>
      </c>
    </row>
    <row r="857" hidden="1">
      <c r="C857" s="40" t="str">
        <f>IFERROR(__xludf.DUMMYFUNCTION("TEXTJOIN("", "",TRUE,UNIQUE(FILTER('Data Master'!$B$2:$B1570,'Data Master'!$E$2:$E1570=A857)))"),"petani")</f>
        <v>petani</v>
      </c>
    </row>
    <row r="858" hidden="1">
      <c r="C858" s="40" t="str">
        <f>IFERROR(__xludf.DUMMYFUNCTION("TEXTJOIN("", "",TRUE,UNIQUE(FILTER('Data Master'!$B$2:$B1570,'Data Master'!$E$2:$E1570=A858)))"),"petani")</f>
        <v>petani</v>
      </c>
    </row>
    <row r="859" hidden="1">
      <c r="C859" s="40" t="str">
        <f>IFERROR(__xludf.DUMMYFUNCTION("TEXTJOIN("", "",TRUE,UNIQUE(FILTER('Data Master'!$B$2:$B1570,'Data Master'!$E$2:$E1570=A859)))"),"petani")</f>
        <v>petani</v>
      </c>
    </row>
    <row r="860" hidden="1">
      <c r="C860" s="40" t="str">
        <f>IFERROR(__xludf.DUMMYFUNCTION("TEXTJOIN("", "",TRUE,UNIQUE(FILTER('Data Master'!$B$2:$B1570,'Data Master'!$E$2:$E1570=A860)))"),"petani")</f>
        <v>petani</v>
      </c>
    </row>
    <row r="861" hidden="1">
      <c r="C861" s="40" t="str">
        <f>IFERROR(__xludf.DUMMYFUNCTION("TEXTJOIN("", "",TRUE,UNIQUE(FILTER('Data Master'!$B$2:$B1570,'Data Master'!$E$2:$E1570=A861)))"),"petani")</f>
        <v>petani</v>
      </c>
    </row>
    <row r="862" hidden="1">
      <c r="C862" s="40" t="str">
        <f>IFERROR(__xludf.DUMMYFUNCTION("TEXTJOIN("", "",TRUE,UNIQUE(FILTER('Data Master'!$B$2:$B1570,'Data Master'!$E$2:$E1570=A862)))"),"petani")</f>
        <v>petani</v>
      </c>
    </row>
    <row r="863" hidden="1">
      <c r="C863" s="40" t="str">
        <f>IFERROR(__xludf.DUMMYFUNCTION("TEXTJOIN("", "",TRUE,UNIQUE(FILTER('Data Master'!$B$2:$B1570,'Data Master'!$E$2:$E1570=A863)))"),"petani")</f>
        <v>petani</v>
      </c>
    </row>
    <row r="864" hidden="1">
      <c r="C864" s="40" t="str">
        <f>IFERROR(__xludf.DUMMYFUNCTION("TEXTJOIN("", "",TRUE,UNIQUE(FILTER('Data Master'!$B$2:$B1570,'Data Master'!$E$2:$E1570=A864)))"),"petani")</f>
        <v>petani</v>
      </c>
    </row>
    <row r="865" hidden="1">
      <c r="C865" s="40" t="str">
        <f>IFERROR(__xludf.DUMMYFUNCTION("TEXTJOIN("", "",TRUE,UNIQUE(FILTER('Data Master'!$B$2:$B1570,'Data Master'!$E$2:$E1570=A865)))"),"petani")</f>
        <v>petani</v>
      </c>
    </row>
    <row r="866" hidden="1">
      <c r="C866" s="40" t="str">
        <f>IFERROR(__xludf.DUMMYFUNCTION("TEXTJOIN("", "",TRUE,UNIQUE(FILTER('Data Master'!$B$2:$B1570,'Data Master'!$E$2:$E1570=A866)))"),"petani")</f>
        <v>petani</v>
      </c>
    </row>
    <row r="867" hidden="1">
      <c r="C867" s="40" t="str">
        <f>IFERROR(__xludf.DUMMYFUNCTION("TEXTJOIN("", "",TRUE,UNIQUE(FILTER('Data Master'!$B$2:$B1570,'Data Master'!$E$2:$E1570=A867)))"),"petani")</f>
        <v>petani</v>
      </c>
    </row>
    <row r="868" hidden="1">
      <c r="C868" s="40" t="str">
        <f>IFERROR(__xludf.DUMMYFUNCTION("TEXTJOIN("", "",TRUE,UNIQUE(FILTER('Data Master'!$B$2:$B1570,'Data Master'!$E$2:$E1570=A868)))"),"petani")</f>
        <v>petani</v>
      </c>
    </row>
    <row r="869" hidden="1">
      <c r="C869" s="40" t="str">
        <f>IFERROR(__xludf.DUMMYFUNCTION("TEXTJOIN("", "",TRUE,UNIQUE(FILTER('Data Master'!$B$2:$B1570,'Data Master'!$E$2:$E1570=A869)))"),"petani")</f>
        <v>petani</v>
      </c>
    </row>
    <row r="870">
      <c r="C870" s="43" t="str">
        <f>IFERROR(__xludf.DUMMYFUNCTION("TEXTJOIN("", "",TRUE,UNIQUE(FILTER('Data Master'!$B$2:$B1570,'Data Master'!$E$2:$E1570=A870)))"),"operator admin, penyuluh")</f>
        <v>operator admin, penyuluh</v>
      </c>
    </row>
    <row r="871" hidden="1">
      <c r="C871" s="40" t="str">
        <f>IFERROR(__xludf.DUMMYFUNCTION("TEXTJOIN("", "",TRUE,UNIQUE(FILTER('Data Master'!$B$2:$B1570,'Data Master'!$E$2:$E1570=A871)))"),"petani")</f>
        <v>petani</v>
      </c>
    </row>
    <row r="872" hidden="1">
      <c r="C872" s="40" t="str">
        <f>IFERROR(__xludf.DUMMYFUNCTION("TEXTJOIN("", "",TRUE,UNIQUE(FILTER('Data Master'!$B$2:$B1570,'Data Master'!$E$2:$E1570=A872)))"),"petani")</f>
        <v>petani</v>
      </c>
    </row>
    <row r="873" hidden="1">
      <c r="C873" s="40" t="str">
        <f>IFERROR(__xludf.DUMMYFUNCTION("TEXTJOIN("", "",TRUE,UNIQUE(FILTER('Data Master'!$B$2:$B1570,'Data Master'!$E$2:$E1570=A873)))"),"petani")</f>
        <v>petani</v>
      </c>
    </row>
    <row r="874" hidden="1">
      <c r="C874" s="40" t="str">
        <f>IFERROR(__xludf.DUMMYFUNCTION("TEXTJOIN("", "",TRUE,UNIQUE(FILTER('Data Master'!$B$2:$B1570,'Data Master'!$E$2:$E1570=A874)))"),"petani")</f>
        <v>petani</v>
      </c>
    </row>
    <row r="875" hidden="1">
      <c r="C875" s="40" t="str">
        <f>IFERROR(__xludf.DUMMYFUNCTION("TEXTJOIN("", "",TRUE,UNIQUE(FILTER('Data Master'!$B$2:$B1570,'Data Master'!$E$2:$E1570=A875)))"),"petani")</f>
        <v>petani</v>
      </c>
    </row>
    <row r="876" hidden="1">
      <c r="C876" s="40" t="str">
        <f>IFERROR(__xludf.DUMMYFUNCTION("TEXTJOIN("", "",TRUE,UNIQUE(FILTER('Data Master'!$B$2:$B1570,'Data Master'!$E$2:$E1570=A876)))"),"petani")</f>
        <v>petani</v>
      </c>
    </row>
    <row r="877" hidden="1">
      <c r="C877" s="40" t="str">
        <f>IFERROR(__xludf.DUMMYFUNCTION("TEXTJOIN("", "",TRUE,UNIQUE(FILTER('Data Master'!$B$2:$B1570,'Data Master'!$E$2:$E1570=A877)))"),"petani")</f>
        <v>petani</v>
      </c>
    </row>
    <row r="878" hidden="1">
      <c r="C878" s="40" t="str">
        <f>IFERROR(__xludf.DUMMYFUNCTION("TEXTJOIN("", "",TRUE,UNIQUE(FILTER('Data Master'!$B$2:$B1570,'Data Master'!$E$2:$E1570=A878)))"),"petani")</f>
        <v>petani</v>
      </c>
    </row>
    <row r="879" hidden="1">
      <c r="C879" s="40" t="str">
        <f>IFERROR(__xludf.DUMMYFUNCTION("TEXTJOIN("", "",TRUE,UNIQUE(FILTER('Data Master'!$B$2:$B1570,'Data Master'!$E$2:$E1570=A879)))"),"petani")</f>
        <v>petani</v>
      </c>
    </row>
    <row r="880" hidden="1">
      <c r="C880" s="40" t="str">
        <f>IFERROR(__xludf.DUMMYFUNCTION("TEXTJOIN("", "",TRUE,UNIQUE(FILTER('Data Master'!$B$2:$B1570,'Data Master'!$E$2:$E1570=A880)))"),"petani")</f>
        <v>petani</v>
      </c>
    </row>
    <row r="881" hidden="1">
      <c r="C881" s="40" t="str">
        <f>IFERROR(__xludf.DUMMYFUNCTION("TEXTJOIN("", "",TRUE,UNIQUE(FILTER('Data Master'!$B$2:$B1570,'Data Master'!$E$2:$E1570=A881)))"),"petani")</f>
        <v>petani</v>
      </c>
    </row>
    <row r="882" hidden="1">
      <c r="C882" s="40" t="str">
        <f>IFERROR(__xludf.DUMMYFUNCTION("TEXTJOIN("", "",TRUE,UNIQUE(FILTER('Data Master'!$B$2:$B1570,'Data Master'!$E$2:$E1570=A882)))"),"petani")</f>
        <v>petani</v>
      </c>
    </row>
    <row r="883" hidden="1">
      <c r="C883" s="40" t="str">
        <f>IFERROR(__xludf.DUMMYFUNCTION("TEXTJOIN("", "",TRUE,UNIQUE(FILTER('Data Master'!$B$2:$B1570,'Data Master'!$E$2:$E1570=A883)))"),"petani")</f>
        <v>petani</v>
      </c>
    </row>
    <row r="884" hidden="1">
      <c r="C884" s="40" t="str">
        <f>IFERROR(__xludf.DUMMYFUNCTION("TEXTJOIN("", "",TRUE,UNIQUE(FILTER('Data Master'!$B$2:$B1570,'Data Master'!$E$2:$E1570=A884)))"),"petani")</f>
        <v>petani</v>
      </c>
    </row>
    <row r="885" hidden="1">
      <c r="C885" s="40" t="str">
        <f>IFERROR(__xludf.DUMMYFUNCTION("TEXTJOIN("", "",TRUE,UNIQUE(FILTER('Data Master'!$B$2:$B1570,'Data Master'!$E$2:$E1570=A885)))"),"petani")</f>
        <v>petani</v>
      </c>
    </row>
    <row r="886" hidden="1">
      <c r="C886" s="40" t="str">
        <f>IFERROR(__xludf.DUMMYFUNCTION("TEXTJOIN("", "",TRUE,UNIQUE(FILTER('Data Master'!$B$2:$B1570,'Data Master'!$E$2:$E1570=A886)))"),"petani")</f>
        <v>petani</v>
      </c>
    </row>
    <row r="887" hidden="1">
      <c r="C887" s="40" t="str">
        <f>IFERROR(__xludf.DUMMYFUNCTION("TEXTJOIN("", "",TRUE,UNIQUE(FILTER('Data Master'!$B$2:$B1570,'Data Master'!$E$2:$E1570=A887)))"),"petani")</f>
        <v>petani</v>
      </c>
    </row>
    <row r="888" hidden="1">
      <c r="C888" s="40" t="str">
        <f>IFERROR(__xludf.DUMMYFUNCTION("TEXTJOIN("", "",TRUE,UNIQUE(FILTER('Data Master'!$B$2:$B1570,'Data Master'!$E$2:$E1570=A888)))"),"petani")</f>
        <v>petani</v>
      </c>
    </row>
    <row r="889" hidden="1">
      <c r="C889" s="40" t="str">
        <f>IFERROR(__xludf.DUMMYFUNCTION("TEXTJOIN("", "",TRUE,UNIQUE(FILTER('Data Master'!$B$2:$B1570,'Data Master'!$E$2:$E1570=A889)))"),"petani")</f>
        <v>petani</v>
      </c>
    </row>
    <row r="890" hidden="1">
      <c r="C890" s="40" t="str">
        <f>IFERROR(__xludf.DUMMYFUNCTION("TEXTJOIN("", "",TRUE,UNIQUE(FILTER('Data Master'!$B$2:$B1570,'Data Master'!$E$2:$E1570=A890)))"),"penyuluh")</f>
        <v>penyuluh</v>
      </c>
    </row>
    <row r="891" hidden="1">
      <c r="C891" s="40" t="str">
        <f>IFERROR(__xludf.DUMMYFUNCTION("TEXTJOIN("", "",TRUE,UNIQUE(FILTER('Data Master'!$B$2:$B1570,'Data Master'!$E$2:$E1570=A891)))"),"petani")</f>
        <v>petani</v>
      </c>
    </row>
    <row r="892" hidden="1">
      <c r="C892" s="40" t="str">
        <f>IFERROR(__xludf.DUMMYFUNCTION("TEXTJOIN("", "",TRUE,UNIQUE(FILTER('Data Master'!$B$2:$B1570,'Data Master'!$E$2:$E1570=A892)))"),"petani")</f>
        <v>petani</v>
      </c>
    </row>
    <row r="893" hidden="1">
      <c r="C893" s="40" t="str">
        <f>IFERROR(__xludf.DUMMYFUNCTION("TEXTJOIN("", "",TRUE,UNIQUE(FILTER('Data Master'!$B$2:$B1570,'Data Master'!$E$2:$E1570=A893)))"),"petani")</f>
        <v>petani</v>
      </c>
    </row>
    <row r="894" hidden="1">
      <c r="C894" s="40" t="str">
        <f>IFERROR(__xludf.DUMMYFUNCTION("TEXTJOIN("", "",TRUE,UNIQUE(FILTER('Data Master'!$B$2:$B1570,'Data Master'!$E$2:$E1570=A894)))"),"petani")</f>
        <v>petani</v>
      </c>
    </row>
    <row r="895" hidden="1">
      <c r="C895" s="40" t="str">
        <f>IFERROR(__xludf.DUMMYFUNCTION("TEXTJOIN("", "",TRUE,UNIQUE(FILTER('Data Master'!$B$2:$B1570,'Data Master'!$E$2:$E1570=A895)))"),"petani")</f>
        <v>petani</v>
      </c>
    </row>
    <row r="896" hidden="1">
      <c r="C896" s="40" t="str">
        <f>IFERROR(__xludf.DUMMYFUNCTION("TEXTJOIN("", "",TRUE,UNIQUE(FILTER('Data Master'!$B$2:$B1570,'Data Master'!$E$2:$E1570=A896)))"),"petani")</f>
        <v>petani</v>
      </c>
    </row>
    <row r="897" hidden="1">
      <c r="C897" s="40" t="str">
        <f>IFERROR(__xludf.DUMMYFUNCTION("TEXTJOIN("", "",TRUE,UNIQUE(FILTER('Data Master'!$B$2:$B1570,'Data Master'!$E$2:$E1570=A897)))"),"petani")</f>
        <v>petani</v>
      </c>
    </row>
    <row r="898">
      <c r="C898" s="43" t="str">
        <f>IFERROR(__xludf.DUMMYFUNCTION("TEXTJOIN("", "",TRUE,UNIQUE(FILTER('Data Master'!$B$2:$B1570,'Data Master'!$E$2:$E1570=A898)))"),"operator admin, penyuluh")</f>
        <v>operator admin, penyuluh</v>
      </c>
    </row>
    <row r="899" hidden="1">
      <c r="C899" s="43" t="str">
        <f>IFERROR(__xludf.DUMMYFUNCTION("TEXTJOIN("", "",TRUE,UNIQUE(FILTER('Data Master'!$B$2:$B1570,'Data Master'!$E$2:$E1570=A899)))"),"operator admin, penyuluh, petani")</f>
        <v>operator admin, penyuluh, petani</v>
      </c>
    </row>
    <row r="900" hidden="1">
      <c r="C900" s="40" t="str">
        <f>IFERROR(__xludf.DUMMYFUNCTION("TEXTJOIN("", "",TRUE,UNIQUE(FILTER('Data Master'!$B$2:$B1570,'Data Master'!$E$2:$E1570=A900)))"),"petani")</f>
        <v>petani</v>
      </c>
    </row>
    <row r="901" hidden="1">
      <c r="C901" s="40" t="str">
        <f>IFERROR(__xludf.DUMMYFUNCTION("TEXTJOIN("", "",TRUE,UNIQUE(FILTER('Data Master'!$B$2:$B1570,'Data Master'!$E$2:$E1570=A901)))"),"petani")</f>
        <v>petani</v>
      </c>
    </row>
    <row r="902" hidden="1">
      <c r="C902" s="40" t="str">
        <f>IFERROR(__xludf.DUMMYFUNCTION("TEXTJOIN("", "",TRUE,UNIQUE(FILTER('Data Master'!$B$2:$B1570,'Data Master'!$E$2:$E1570=A902)))"),"petani")</f>
        <v>petani</v>
      </c>
    </row>
    <row r="903" hidden="1">
      <c r="C903" s="40" t="str">
        <f>IFERROR(__xludf.DUMMYFUNCTION("TEXTJOIN("", "",TRUE,UNIQUE(FILTER('Data Master'!$B$2:$B1570,'Data Master'!$E$2:$E1570=A903)))"),"petani")</f>
        <v>petani</v>
      </c>
    </row>
    <row r="904" hidden="1">
      <c r="C904" s="40" t="str">
        <f>IFERROR(__xludf.DUMMYFUNCTION("TEXTJOIN("", "",TRUE,UNIQUE(FILTER('Data Master'!$B$2:$B1570,'Data Master'!$E$2:$E1570=A904)))"),"petani")</f>
        <v>petani</v>
      </c>
    </row>
    <row r="905" hidden="1">
      <c r="C905" s="40" t="str">
        <f>IFERROR(__xludf.DUMMYFUNCTION("TEXTJOIN("", "",TRUE,UNIQUE(FILTER('Data Master'!$B$2:$B1570,'Data Master'!$E$2:$E1570=A905)))"),"petani")</f>
        <v>petani</v>
      </c>
    </row>
    <row r="906" hidden="1">
      <c r="C906" s="40" t="str">
        <f>IFERROR(__xludf.DUMMYFUNCTION("TEXTJOIN("", "",TRUE,UNIQUE(FILTER('Data Master'!$B$2:$B1570,'Data Master'!$E$2:$E1570=A906)))"),"petani")</f>
        <v>petani</v>
      </c>
    </row>
    <row r="907" hidden="1">
      <c r="C907" s="40" t="str">
        <f>IFERROR(__xludf.DUMMYFUNCTION("TEXTJOIN("", "",TRUE,UNIQUE(FILTER('Data Master'!$B$2:$B1570,'Data Master'!$E$2:$E1570=A907)))"),"petani")</f>
        <v>petani</v>
      </c>
    </row>
    <row r="908">
      <c r="C908" s="43" t="str">
        <f>IFERROR(__xludf.DUMMYFUNCTION("TEXTJOIN("", "",TRUE,UNIQUE(FILTER('Data Master'!$B$2:$B1570,'Data Master'!$E$2:$E1570=A908)))"),"penyuluh")</f>
        <v>penyuluh</v>
      </c>
    </row>
    <row r="909" hidden="1">
      <c r="C909" s="40" t="str">
        <f>IFERROR(__xludf.DUMMYFUNCTION("TEXTJOIN("", "",TRUE,UNIQUE(FILTER('Data Master'!$B$2:$B1570,'Data Master'!$E$2:$E1570=A909)))"),"petani")</f>
        <v>petani</v>
      </c>
    </row>
    <row r="910" hidden="1">
      <c r="C910" s="40" t="str">
        <f>IFERROR(__xludf.DUMMYFUNCTION("TEXTJOIN("", "",TRUE,UNIQUE(FILTER('Data Master'!$B$2:$B1570,'Data Master'!$E$2:$E1570=A910)))"),"petani")</f>
        <v>petani</v>
      </c>
    </row>
    <row r="911" hidden="1">
      <c r="C911" s="40" t="str">
        <f>IFERROR(__xludf.DUMMYFUNCTION("TEXTJOIN("", "",TRUE,UNIQUE(FILTER('Data Master'!$B$2:$B1570,'Data Master'!$E$2:$E1570=A911)))"),"petani")</f>
        <v>petani</v>
      </c>
    </row>
    <row r="912" hidden="1">
      <c r="C912" s="40" t="str">
        <f>IFERROR(__xludf.DUMMYFUNCTION("TEXTJOIN("", "",TRUE,UNIQUE(FILTER('Data Master'!$B$2:$B1570,'Data Master'!$E$2:$E1570=A912)))"),"penyuluh")</f>
        <v>penyuluh</v>
      </c>
    </row>
    <row r="913" hidden="1">
      <c r="C913" s="40" t="str">
        <f>IFERROR(__xludf.DUMMYFUNCTION("TEXTJOIN("", "",TRUE,UNIQUE(FILTER('Data Master'!$B$2:$B1570,'Data Master'!$E$2:$E1570=A913)))"),"petani")</f>
        <v>petani</v>
      </c>
    </row>
    <row r="914" hidden="1">
      <c r="C914" s="40" t="str">
        <f>IFERROR(__xludf.DUMMYFUNCTION("TEXTJOIN("", "",TRUE,UNIQUE(FILTER('Data Master'!$B$2:$B1570,'Data Master'!$E$2:$E1570=A914)))"),"petani")</f>
        <v>petani</v>
      </c>
    </row>
    <row r="915" hidden="1">
      <c r="C915" s="40" t="str">
        <f>IFERROR(__xludf.DUMMYFUNCTION("TEXTJOIN("", "",TRUE,UNIQUE(FILTER('Data Master'!$B$2:$B1570,'Data Master'!$E$2:$E1570=A915)))"),"petani")</f>
        <v>petani</v>
      </c>
    </row>
    <row r="916" hidden="1">
      <c r="C916" s="40" t="str">
        <f>IFERROR(__xludf.DUMMYFUNCTION("TEXTJOIN("", "",TRUE,UNIQUE(FILTER('Data Master'!$B$2:$B1570,'Data Master'!$E$2:$E1570=A916)))"),"petani")</f>
        <v>petani</v>
      </c>
    </row>
    <row r="917" hidden="1">
      <c r="C917" s="40" t="str">
        <f>IFERROR(__xludf.DUMMYFUNCTION("TEXTJOIN("", "",TRUE,UNIQUE(FILTER('Data Master'!$B$2:$B1570,'Data Master'!$E$2:$E1570=A917)))"),"petani")</f>
        <v>petani</v>
      </c>
    </row>
    <row r="918" hidden="1">
      <c r="C918" s="40" t="str">
        <f>IFERROR(__xludf.DUMMYFUNCTION("TEXTJOIN("", "",TRUE,UNIQUE(FILTER('Data Master'!$B$2:$B1570,'Data Master'!$E$2:$E1570=A918)))"),"petani")</f>
        <v>petani</v>
      </c>
    </row>
    <row r="919" hidden="1">
      <c r="C919" s="40" t="str">
        <f>IFERROR(__xludf.DUMMYFUNCTION("TEXTJOIN("", "",TRUE,UNIQUE(FILTER('Data Master'!$B$2:$B1570,'Data Master'!$E$2:$E1570=A919)))"),"petani")</f>
        <v>petani</v>
      </c>
    </row>
    <row r="920" hidden="1">
      <c r="C920" s="40" t="str">
        <f>IFERROR(__xludf.DUMMYFUNCTION("TEXTJOIN("", "",TRUE,UNIQUE(FILTER('Data Master'!$B$2:$B1570,'Data Master'!$E$2:$E1570=A920)))"),"petani")</f>
        <v>petani</v>
      </c>
    </row>
    <row r="921" hidden="1">
      <c r="C921" s="40" t="str">
        <f>IFERROR(__xludf.DUMMYFUNCTION("TEXTJOIN("", "",TRUE,UNIQUE(FILTER('Data Master'!$B$2:$B1570,'Data Master'!$E$2:$E1570=A921)))"),"petani")</f>
        <v>petani</v>
      </c>
    </row>
    <row r="922" hidden="1">
      <c r="C922" s="40" t="str">
        <f>IFERROR(__xludf.DUMMYFUNCTION("TEXTJOIN("", "",TRUE,UNIQUE(FILTER('Data Master'!$B$2:$B1570,'Data Master'!$E$2:$E1570=A922)))"),"petani")</f>
        <v>petani</v>
      </c>
    </row>
    <row r="923" hidden="1">
      <c r="C923" s="40" t="str">
        <f>IFERROR(__xludf.DUMMYFUNCTION("TEXTJOIN("", "",TRUE,UNIQUE(FILTER('Data Master'!$B$2:$B1570,'Data Master'!$E$2:$E1570=A923)))"),"petani")</f>
        <v>petani</v>
      </c>
    </row>
    <row r="924" hidden="1">
      <c r="C924" s="40" t="str">
        <f>IFERROR(__xludf.DUMMYFUNCTION("TEXTJOIN("", "",TRUE,UNIQUE(FILTER('Data Master'!$B$2:$B1570,'Data Master'!$E$2:$E1570=A924)))"),"petani")</f>
        <v>petani</v>
      </c>
    </row>
    <row r="925" hidden="1">
      <c r="C925" s="40" t="str">
        <f>IFERROR(__xludf.DUMMYFUNCTION("TEXTJOIN("", "",TRUE,UNIQUE(FILTER('Data Master'!$B$2:$B1570,'Data Master'!$E$2:$E1570=A925)))"),"petani")</f>
        <v>petani</v>
      </c>
    </row>
    <row r="926" hidden="1">
      <c r="C926" s="40" t="str">
        <f>IFERROR(__xludf.DUMMYFUNCTION("TEXTJOIN("", "",TRUE,UNIQUE(FILTER('Data Master'!$B$2:$B1570,'Data Master'!$E$2:$E1570=A926)))"),"petani")</f>
        <v>petani</v>
      </c>
    </row>
    <row r="927" hidden="1">
      <c r="C927" s="40" t="str">
        <f>IFERROR(__xludf.DUMMYFUNCTION("TEXTJOIN("", "",TRUE,UNIQUE(FILTER('Data Master'!$B$2:$B1570,'Data Master'!$E$2:$E1570=A927)))"),"petani")</f>
        <v>petani</v>
      </c>
    </row>
    <row r="928" hidden="1">
      <c r="C928" s="40" t="str">
        <f>IFERROR(__xludf.DUMMYFUNCTION("TEXTJOIN("", "",TRUE,UNIQUE(FILTER('Data Master'!$B$2:$B1570,'Data Master'!$E$2:$E1570=A928)))"),"petani")</f>
        <v>petani</v>
      </c>
    </row>
    <row r="929">
      <c r="C929" s="43" t="str">
        <f>IFERROR(__xludf.DUMMYFUNCTION("TEXTJOIN("", "",TRUE,UNIQUE(FILTER('Data Master'!$B$2:$B1570,'Data Master'!$E$2:$E1570=A929)))"),"operator admin, penyuluh")</f>
        <v>operator admin, penyuluh</v>
      </c>
    </row>
    <row r="930" hidden="1">
      <c r="C930" s="40" t="str">
        <f>IFERROR(__xludf.DUMMYFUNCTION("TEXTJOIN("", "",TRUE,UNIQUE(FILTER('Data Master'!$B$2:$B1570,'Data Master'!$E$2:$E1570=A930)))"),"petani")</f>
        <v>petani</v>
      </c>
    </row>
    <row r="931" hidden="1">
      <c r="C931" s="40" t="str">
        <f>IFERROR(__xludf.DUMMYFUNCTION("TEXTJOIN("", "",TRUE,UNIQUE(FILTER('Data Master'!$B$2:$B1570,'Data Master'!$E$2:$E1570=A931)))"),"petani")</f>
        <v>petani</v>
      </c>
    </row>
    <row r="932" hidden="1">
      <c r="C932" s="40" t="str">
        <f>IFERROR(__xludf.DUMMYFUNCTION("TEXTJOIN("", "",TRUE,UNIQUE(FILTER('Data Master'!$B$2:$B1570,'Data Master'!$E$2:$E1570=A932)))"),"petani")</f>
        <v>petani</v>
      </c>
    </row>
    <row r="933" hidden="1">
      <c r="C933" s="40" t="str">
        <f>IFERROR(__xludf.DUMMYFUNCTION("TEXTJOIN("", "",TRUE,UNIQUE(FILTER('Data Master'!$B$2:$B1570,'Data Master'!$E$2:$E1570=A933)))"),"petani")</f>
        <v>petani</v>
      </c>
    </row>
    <row r="934" hidden="1">
      <c r="C934" s="40" t="str">
        <f>IFERROR(__xludf.DUMMYFUNCTION("TEXTJOIN("", "",TRUE,UNIQUE(FILTER('Data Master'!$B$2:$B1570,'Data Master'!$E$2:$E1570=A934)))"),"penyuluh")</f>
        <v>penyuluh</v>
      </c>
    </row>
    <row r="935" hidden="1">
      <c r="C935" s="40" t="str">
        <f>IFERROR(__xludf.DUMMYFUNCTION("TEXTJOIN("", "",TRUE,UNIQUE(FILTER('Data Master'!$B$2:$B1570,'Data Master'!$E$2:$E1570=A935)))"),"petani")</f>
        <v>petani</v>
      </c>
    </row>
    <row r="936" hidden="1">
      <c r="C936" s="40" t="str">
        <f>IFERROR(__xludf.DUMMYFUNCTION("TEXTJOIN("", "",TRUE,UNIQUE(FILTER('Data Master'!$B$2:$B1570,'Data Master'!$E$2:$E1570=A936)))"),"petani")</f>
        <v>petani</v>
      </c>
    </row>
    <row r="937" hidden="1">
      <c r="C937" s="40" t="str">
        <f>IFERROR(__xludf.DUMMYFUNCTION("TEXTJOIN("", "",TRUE,UNIQUE(FILTER('Data Master'!$B$2:$B1570,'Data Master'!$E$2:$E1570=A937)))"),"petani")</f>
        <v>petani</v>
      </c>
    </row>
    <row r="938" hidden="1">
      <c r="C938" s="40" t="str">
        <f>IFERROR(__xludf.DUMMYFUNCTION("TEXTJOIN("", "",TRUE,UNIQUE(FILTER('Data Master'!$B$2:$B1570,'Data Master'!$E$2:$E1570=A938)))"),"petani")</f>
        <v>petani</v>
      </c>
    </row>
    <row r="939" hidden="1">
      <c r="C939" s="40" t="str">
        <f>IFERROR(__xludf.DUMMYFUNCTION("TEXTJOIN("", "",TRUE,UNIQUE(FILTER('Data Master'!$B$2:$B1570,'Data Master'!$E$2:$E1570=A939)))"),"petani")</f>
        <v>petani</v>
      </c>
    </row>
    <row r="940" hidden="1">
      <c r="C940" s="40" t="str">
        <f>IFERROR(__xludf.DUMMYFUNCTION("TEXTJOIN("", "",TRUE,UNIQUE(FILTER('Data Master'!$B$2:$B1570,'Data Master'!$E$2:$E1570=A940)))"),"petani")</f>
        <v>petani</v>
      </c>
    </row>
    <row r="941" hidden="1">
      <c r="C941" s="40" t="str">
        <f>IFERROR(__xludf.DUMMYFUNCTION("TEXTJOIN("", "",TRUE,UNIQUE(FILTER('Data Master'!$B$2:$B1570,'Data Master'!$E$2:$E1570=A941)))"),"petani")</f>
        <v>petani</v>
      </c>
    </row>
    <row r="942" hidden="1">
      <c r="C942" s="43" t="str">
        <f>IFERROR(__xludf.DUMMYFUNCTION("TEXTJOIN("", "",TRUE,UNIQUE(FILTER('Data Master'!$B$2:$B1570,'Data Master'!$E$2:$E1570=A942)))"),"penyuluh, petani")</f>
        <v>penyuluh, petani</v>
      </c>
    </row>
    <row r="943" hidden="1">
      <c r="C943" s="40" t="str">
        <f>IFERROR(__xludf.DUMMYFUNCTION("TEXTJOIN("", "",TRUE,UNIQUE(FILTER('Data Master'!$B$2:$B1570,'Data Master'!$E$2:$E1570=A943)))"),"petani")</f>
        <v>petani</v>
      </c>
    </row>
    <row r="944" hidden="1">
      <c r="C944" s="40" t="str">
        <f>IFERROR(__xludf.DUMMYFUNCTION("TEXTJOIN("", "",TRUE,UNIQUE(FILTER('Data Master'!$B$2:$B1570,'Data Master'!$E$2:$E1570=A944)))"),"petani")</f>
        <v>petani</v>
      </c>
    </row>
    <row r="945" hidden="1">
      <c r="C945" s="40" t="str">
        <f>IFERROR(__xludf.DUMMYFUNCTION("TEXTJOIN("", "",TRUE,UNIQUE(FILTER('Data Master'!$B$2:$B1570,'Data Master'!$E$2:$E1570=A945)))"),"petani")</f>
        <v>petani</v>
      </c>
    </row>
    <row r="946" hidden="1">
      <c r="C946" s="40" t="str">
        <f>IFERROR(__xludf.DUMMYFUNCTION("TEXTJOIN("", "",TRUE,UNIQUE(FILTER('Data Master'!$B$2:$B1570,'Data Master'!$E$2:$E1570=A946)))"),"petani")</f>
        <v>petani</v>
      </c>
    </row>
    <row r="947" hidden="1">
      <c r="C947" s="40" t="str">
        <f>IFERROR(__xludf.DUMMYFUNCTION("TEXTJOIN("", "",TRUE,UNIQUE(FILTER('Data Master'!$B$2:$B1570,'Data Master'!$E$2:$E1570=A947)))"),"petani")</f>
        <v>petani</v>
      </c>
    </row>
    <row r="948" hidden="1">
      <c r="C948" s="40" t="str">
        <f>IFERROR(__xludf.DUMMYFUNCTION("TEXTJOIN("", "",TRUE,UNIQUE(FILTER('Data Master'!$B$2:$B1570,'Data Master'!$E$2:$E1570=A948)))"),"petani")</f>
        <v>petani</v>
      </c>
    </row>
    <row r="949" hidden="1">
      <c r="C949" s="40" t="str">
        <f>IFERROR(__xludf.DUMMYFUNCTION("TEXTJOIN("", "",TRUE,UNIQUE(FILTER('Data Master'!$B$2:$B1570,'Data Master'!$E$2:$E1570=A949)))"),"penyuluh")</f>
        <v>penyuluh</v>
      </c>
    </row>
    <row r="950" hidden="1">
      <c r="C950" s="40" t="str">
        <f>IFERROR(__xludf.DUMMYFUNCTION("TEXTJOIN("", "",TRUE,UNIQUE(FILTER('Data Master'!$B$2:$B1570,'Data Master'!$E$2:$E1570=A950)))"),"petani")</f>
        <v>petani</v>
      </c>
    </row>
    <row r="951" hidden="1">
      <c r="C951" s="40" t="str">
        <f>IFERROR(__xludf.DUMMYFUNCTION("TEXTJOIN("", "",TRUE,UNIQUE(FILTER('Data Master'!$B$2:$B1570,'Data Master'!$E$2:$E1570=A951)))"),"petani")</f>
        <v>petani</v>
      </c>
    </row>
    <row r="952" hidden="1">
      <c r="C952" s="40" t="str">
        <f>IFERROR(__xludf.DUMMYFUNCTION("TEXTJOIN("", "",TRUE,UNIQUE(FILTER('Data Master'!$B$2:$B1570,'Data Master'!$E$2:$E1570=A952)))"),"petani")</f>
        <v>petani</v>
      </c>
    </row>
    <row r="953" hidden="1">
      <c r="C953" s="40" t="str">
        <f>IFERROR(__xludf.DUMMYFUNCTION("TEXTJOIN("", "",TRUE,UNIQUE(FILTER('Data Master'!$B$2:$B1570,'Data Master'!$E$2:$E1570=A953)))"),"petani")</f>
        <v>petani</v>
      </c>
    </row>
    <row r="954" hidden="1">
      <c r="C954" s="40" t="str">
        <f>IFERROR(__xludf.DUMMYFUNCTION("TEXTJOIN("", "",TRUE,UNIQUE(FILTER('Data Master'!$B$2:$B1570,'Data Master'!$E$2:$E1570=A954)))"),"petani")</f>
        <v>petani</v>
      </c>
    </row>
    <row r="955" hidden="1">
      <c r="C955" s="40" t="str">
        <f>IFERROR(__xludf.DUMMYFUNCTION("TEXTJOIN("", "",TRUE,UNIQUE(FILTER('Data Master'!$B$2:$B1570,'Data Master'!$E$2:$E1570=A955)))"),"petani")</f>
        <v>petani</v>
      </c>
    </row>
    <row r="956">
      <c r="C956" s="43" t="str">
        <f>IFERROR(__xludf.DUMMYFUNCTION("TEXTJOIN("", "",TRUE,UNIQUE(FILTER('Data Master'!$B$2:$B1570,'Data Master'!$E$2:$E1570=A956)))"),"penyuluh")</f>
        <v>penyuluh</v>
      </c>
    </row>
    <row r="957" hidden="1">
      <c r="C957" s="40" t="str">
        <f>IFERROR(__xludf.DUMMYFUNCTION("TEXTJOIN("", "",TRUE,UNIQUE(FILTER('Data Master'!$B$2:$B1570,'Data Master'!$E$2:$E1570=A957)))"),"petani")</f>
        <v>petani</v>
      </c>
    </row>
    <row r="958" hidden="1">
      <c r="C958" s="40" t="str">
        <f>IFERROR(__xludf.DUMMYFUNCTION("TEXTJOIN("", "",TRUE,UNIQUE(FILTER('Data Master'!$B$2:$B1570,'Data Master'!$E$2:$E1570=A958)))"),"petani")</f>
        <v>petani</v>
      </c>
    </row>
    <row r="959" hidden="1">
      <c r="C959" s="40" t="str">
        <f>IFERROR(__xludf.DUMMYFUNCTION("TEXTJOIN("", "",TRUE,UNIQUE(FILTER('Data Master'!$B$2:$B1570,'Data Master'!$E$2:$E1570=A959)))"),"petani")</f>
        <v>petani</v>
      </c>
    </row>
    <row r="960" hidden="1">
      <c r="C960" s="43" t="str">
        <f>IFERROR(__xludf.DUMMYFUNCTION("TEXTJOIN("", "",TRUE,UNIQUE(FILTER('Data Master'!$B$2:$B1570,'Data Master'!$E$2:$E1570=A960)))"),"operator admin, penyuluh")</f>
        <v>operator admin, penyuluh</v>
      </c>
    </row>
    <row r="961" hidden="1">
      <c r="C961" s="40" t="str">
        <f>IFERROR(__xludf.DUMMYFUNCTION("TEXTJOIN("", "",TRUE,UNIQUE(FILTER('Data Master'!$B$2:$B1570,'Data Master'!$E$2:$E1570=A961)))"),"petani")</f>
        <v>petani</v>
      </c>
    </row>
    <row r="962" hidden="1">
      <c r="C962" s="40" t="str">
        <f>IFERROR(__xludf.DUMMYFUNCTION("TEXTJOIN("", "",TRUE,UNIQUE(FILTER('Data Master'!$B$2:$B1570,'Data Master'!$E$2:$E1570=A962)))"),"petani")</f>
        <v>petani</v>
      </c>
    </row>
    <row r="963" hidden="1">
      <c r="C963" s="40" t="str">
        <f>IFERROR(__xludf.DUMMYFUNCTION("TEXTJOIN("", "",TRUE,UNIQUE(FILTER('Data Master'!$B$2:$B1570,'Data Master'!$E$2:$E1570=A963)))"),"petani")</f>
        <v>petani</v>
      </c>
    </row>
    <row r="964" hidden="1">
      <c r="C964" s="40" t="str">
        <f>IFERROR(__xludf.DUMMYFUNCTION("TEXTJOIN("", "",TRUE,UNIQUE(FILTER('Data Master'!$B$2:$B1570,'Data Master'!$E$2:$E1570=A964)))"),"petani")</f>
        <v>petani</v>
      </c>
    </row>
    <row r="965" hidden="1">
      <c r="C965" s="40" t="str">
        <f>IFERROR(__xludf.DUMMYFUNCTION("TEXTJOIN("", "",TRUE,UNIQUE(FILTER('Data Master'!$B$2:$B1570,'Data Master'!$E$2:$E1570=A965)))"),"petani")</f>
        <v>petani</v>
      </c>
    </row>
    <row r="966" hidden="1">
      <c r="C966" s="40" t="str">
        <f>IFERROR(__xludf.DUMMYFUNCTION("TEXTJOIN("", "",TRUE,UNIQUE(FILTER('Data Master'!$B$2:$B1570,'Data Master'!$E$2:$E1570=A966)))"),"petani")</f>
        <v>petani</v>
      </c>
    </row>
    <row r="967" hidden="1">
      <c r="C967" s="40" t="str">
        <f>IFERROR(__xludf.DUMMYFUNCTION("TEXTJOIN("", "",TRUE,UNIQUE(FILTER('Data Master'!$B$2:$B1570,'Data Master'!$E$2:$E1570=A967)))"),"petani")</f>
        <v>petani</v>
      </c>
    </row>
    <row r="968" hidden="1">
      <c r="C968" s="40" t="str">
        <f>IFERROR(__xludf.DUMMYFUNCTION("TEXTJOIN("", "",TRUE,UNIQUE(FILTER('Data Master'!$B$2:$B1570,'Data Master'!$E$2:$E1570=A968)))"),"petani")</f>
        <v>petani</v>
      </c>
    </row>
    <row r="969" hidden="1">
      <c r="C969" s="40" t="str">
        <f>IFERROR(__xludf.DUMMYFUNCTION("TEXTJOIN("", "",TRUE,UNIQUE(FILTER('Data Master'!$B$2:$B1570,'Data Master'!$E$2:$E1570=A969)))"),"petani")</f>
        <v>petani</v>
      </c>
    </row>
    <row r="970" hidden="1">
      <c r="C970" s="40" t="str">
        <f>IFERROR(__xludf.DUMMYFUNCTION("TEXTJOIN("", "",TRUE,UNIQUE(FILTER('Data Master'!$B$2:$B1570,'Data Master'!$E$2:$E1570=A970)))"),"petani")</f>
        <v>petani</v>
      </c>
    </row>
    <row r="971" hidden="1">
      <c r="C971" s="40" t="str">
        <f>IFERROR(__xludf.DUMMYFUNCTION("TEXTJOIN("", "",TRUE,UNIQUE(FILTER('Data Master'!$B$2:$B1570,'Data Master'!$E$2:$E1570=A971)))"),"penyuluh")</f>
        <v>penyuluh</v>
      </c>
    </row>
    <row r="972" hidden="1">
      <c r="C972" s="40" t="str">
        <f>IFERROR(__xludf.DUMMYFUNCTION("TEXTJOIN("", "",TRUE,UNIQUE(FILTER('Data Master'!$B$2:$B1570,'Data Master'!$E$2:$E1570=A972)))"),"petani")</f>
        <v>petani</v>
      </c>
    </row>
    <row r="973" hidden="1">
      <c r="C973" s="40" t="str">
        <f>IFERROR(__xludf.DUMMYFUNCTION("TEXTJOIN("", "",TRUE,UNIQUE(FILTER('Data Master'!$B$2:$B1570,'Data Master'!$E$2:$E1570=A973)))"),"petani")</f>
        <v>petani</v>
      </c>
    </row>
    <row r="974" hidden="1">
      <c r="C974" s="40" t="str">
        <f>IFERROR(__xludf.DUMMYFUNCTION("TEXTJOIN("", "",TRUE,UNIQUE(FILTER('Data Master'!$B$2:$B1570,'Data Master'!$E$2:$E1570=A974)))"),"petani")</f>
        <v>petani</v>
      </c>
    </row>
    <row r="975" hidden="1">
      <c r="C975" s="40" t="str">
        <f>IFERROR(__xludf.DUMMYFUNCTION("TEXTJOIN("", "",TRUE,UNIQUE(FILTER('Data Master'!$B$2:$B1570,'Data Master'!$E$2:$E1570=A975)))"),"petani")</f>
        <v>petani</v>
      </c>
    </row>
    <row r="976" hidden="1">
      <c r="C976" s="40" t="str">
        <f>IFERROR(__xludf.DUMMYFUNCTION("TEXTJOIN("", "",TRUE,UNIQUE(FILTER('Data Master'!$B$2:$B1570,'Data Master'!$E$2:$E1570=A976)))"),"petani")</f>
        <v>petani</v>
      </c>
    </row>
    <row r="977" hidden="1">
      <c r="C977" s="40" t="str">
        <f>IFERROR(__xludf.DUMMYFUNCTION("TEXTJOIN("", "",TRUE,UNIQUE(FILTER('Data Master'!$B$2:$B1570,'Data Master'!$E$2:$E1570=A977)))"),"petani")</f>
        <v>petani</v>
      </c>
    </row>
    <row r="978" hidden="1">
      <c r="C978" s="40" t="str">
        <f>IFERROR(__xludf.DUMMYFUNCTION("TEXTJOIN("", "",TRUE,UNIQUE(FILTER('Data Master'!$B$2:$B1570,'Data Master'!$E$2:$E1570=A978)))"),"petani")</f>
        <v>petani</v>
      </c>
    </row>
    <row r="979" hidden="1">
      <c r="C979" s="40" t="str">
        <f>IFERROR(__xludf.DUMMYFUNCTION("TEXTJOIN("", "",TRUE,UNIQUE(FILTER('Data Master'!$B$2:$B1570,'Data Master'!$E$2:$E1570=A979)))"),"petani")</f>
        <v>petani</v>
      </c>
    </row>
    <row r="980" hidden="1">
      <c r="C980" s="40" t="str">
        <f>IFERROR(__xludf.DUMMYFUNCTION("TEXTJOIN("", "",TRUE,UNIQUE(FILTER('Data Master'!$B$2:$B1570,'Data Master'!$E$2:$E1570=A980)))"),"petani")</f>
        <v>petani</v>
      </c>
    </row>
    <row r="981" hidden="1">
      <c r="C981" s="40" t="str">
        <f>IFERROR(__xludf.DUMMYFUNCTION("TEXTJOIN("", "",TRUE,UNIQUE(FILTER('Data Master'!$B$2:$B1570,'Data Master'!$E$2:$E1570=A981)))"),"petani")</f>
        <v>petani</v>
      </c>
    </row>
    <row r="982" hidden="1">
      <c r="C982" s="40" t="str">
        <f>IFERROR(__xludf.DUMMYFUNCTION("TEXTJOIN("", "",TRUE,UNIQUE(FILTER('Data Master'!$B$2:$B1570,'Data Master'!$E$2:$E1570=A982)))"),"petani")</f>
        <v>petani</v>
      </c>
    </row>
    <row r="983" hidden="1">
      <c r="C983" s="40" t="str">
        <f>IFERROR(__xludf.DUMMYFUNCTION("TEXTJOIN("", "",TRUE,UNIQUE(FILTER('Data Master'!$B$2:$B1570,'Data Master'!$E$2:$E1570=A983)))"),"petani")</f>
        <v>petani</v>
      </c>
    </row>
    <row r="984" hidden="1">
      <c r="C984" s="40" t="str">
        <f>IFERROR(__xludf.DUMMYFUNCTION("TEXTJOIN("", "",TRUE,UNIQUE(FILTER('Data Master'!$B$2:$B1570,'Data Master'!$E$2:$E1570=A984)))"),"petani")</f>
        <v>petani</v>
      </c>
    </row>
    <row r="985" hidden="1">
      <c r="C985" s="40" t="str">
        <f>IFERROR(__xludf.DUMMYFUNCTION("TEXTJOIN("", "",TRUE,UNIQUE(FILTER('Data Master'!$B$2:$B1570,'Data Master'!$E$2:$E1570=A985)))"),"petani")</f>
        <v>petani</v>
      </c>
    </row>
    <row r="986">
      <c r="C986" s="43" t="str">
        <f>IFERROR(__xludf.DUMMYFUNCTION("TEXTJOIN("", "",TRUE,UNIQUE(FILTER('Data Master'!$B$2:$B1570,'Data Master'!$E$2:$E1570=A986)))"),"operator poktan, penyuluh")</f>
        <v>operator poktan, penyuluh</v>
      </c>
    </row>
    <row r="987" hidden="1">
      <c r="C987" s="40" t="str">
        <f>IFERROR(__xludf.DUMMYFUNCTION("TEXTJOIN("", "",TRUE,UNIQUE(FILTER('Data Master'!$B$2:$B1570,'Data Master'!$E$2:$E1570=A987)))"),"petani")</f>
        <v>petani</v>
      </c>
    </row>
    <row r="988" hidden="1">
      <c r="C988" s="40" t="str">
        <f>IFERROR(__xludf.DUMMYFUNCTION("TEXTJOIN("", "",TRUE,UNIQUE(FILTER('Data Master'!$B$2:$B1570,'Data Master'!$E$2:$E1570=A988)))"),"petani")</f>
        <v>petani</v>
      </c>
    </row>
    <row r="989" hidden="1">
      <c r="C989" s="40" t="str">
        <f>IFERROR(__xludf.DUMMYFUNCTION("TEXTJOIN("", "",TRUE,UNIQUE(FILTER('Data Master'!$B$2:$B1570,'Data Master'!$E$2:$E1570=A989)))"),"penyuluh")</f>
        <v>penyuluh</v>
      </c>
    </row>
    <row r="990" hidden="1">
      <c r="C990" s="40" t="str">
        <f>IFERROR(__xludf.DUMMYFUNCTION("TEXTJOIN("", "",TRUE,UNIQUE(FILTER('Data Master'!$B$2:$B1570,'Data Master'!$E$2:$E1570=A990)))"),"petani")</f>
        <v>petani</v>
      </c>
    </row>
    <row r="991" hidden="1">
      <c r="C991" s="40" t="str">
        <f>IFERROR(__xludf.DUMMYFUNCTION("TEXTJOIN("", "",TRUE,UNIQUE(FILTER('Data Master'!$B$2:$B1570,'Data Master'!$E$2:$E1570=A991)))"),"petani")</f>
        <v>petani</v>
      </c>
    </row>
    <row r="992" hidden="1">
      <c r="C992" s="40" t="str">
        <f>IFERROR(__xludf.DUMMYFUNCTION("TEXTJOIN("", "",TRUE,UNIQUE(FILTER('Data Master'!$B$2:$B1570,'Data Master'!$E$2:$E1570=A992)))"),"petani")</f>
        <v>petani</v>
      </c>
    </row>
    <row r="993" hidden="1">
      <c r="C993" s="40" t="str">
        <f>IFERROR(__xludf.DUMMYFUNCTION("TEXTJOIN("", "",TRUE,UNIQUE(FILTER('Data Master'!$B$2:$B1570,'Data Master'!$E$2:$E1570=A993)))"),"petani")</f>
        <v>petani</v>
      </c>
    </row>
    <row r="994" hidden="1">
      <c r="C994" s="40" t="str">
        <f>IFERROR(__xludf.DUMMYFUNCTION("TEXTJOIN("", "",TRUE,UNIQUE(FILTER('Data Master'!$B$2:$B1570,'Data Master'!$E$2:$E1570=A994)))"),"petani")</f>
        <v>petani</v>
      </c>
    </row>
    <row r="995" hidden="1">
      <c r="C995" s="40" t="str">
        <f>IFERROR(__xludf.DUMMYFUNCTION("TEXTJOIN("", "",TRUE,UNIQUE(FILTER('Data Master'!$B$2:$B1570,'Data Master'!$E$2:$E1570=A995)))"),"petani")</f>
        <v>petani</v>
      </c>
    </row>
    <row r="996" hidden="1">
      <c r="C996" s="40" t="str">
        <f>IFERROR(__xludf.DUMMYFUNCTION("TEXTJOIN("", "",TRUE,UNIQUE(FILTER('Data Master'!$B$2:$B1570,'Data Master'!$E$2:$E1570=A996)))"),"penyuluh")</f>
        <v>penyuluh</v>
      </c>
    </row>
    <row r="997" hidden="1">
      <c r="C997" s="40" t="str">
        <f>IFERROR(__xludf.DUMMYFUNCTION("TEXTJOIN("", "",TRUE,UNIQUE(FILTER('Data Master'!$B$2:$B1570,'Data Master'!$E$2:$E1570=A997)))"),"petani")</f>
        <v>petani</v>
      </c>
    </row>
    <row r="998" hidden="1">
      <c r="C998" s="40" t="str">
        <f>IFERROR(__xludf.DUMMYFUNCTION("TEXTJOIN("", "",TRUE,UNIQUE(FILTER('Data Master'!$B$2:$B1570,'Data Master'!$E$2:$E1570=A998)))"),"penyuluh")</f>
        <v>penyuluh</v>
      </c>
    </row>
    <row r="999" hidden="1">
      <c r="C999" s="40" t="str">
        <f>IFERROR(__xludf.DUMMYFUNCTION("TEXTJOIN("", "",TRUE,UNIQUE(FILTER('Data Master'!$B$2:$B1570,'Data Master'!$E$2:$E1570=A999)))"),"petani")</f>
        <v>petani</v>
      </c>
    </row>
    <row r="1000" hidden="1">
      <c r="C1000" s="40" t="str">
        <f>IFERROR(__xludf.DUMMYFUNCTION("TEXTJOIN("", "",TRUE,UNIQUE(FILTER('Data Master'!$B$2:$B1570,'Data Master'!$E$2:$E1570=A1000)))"),"penyuluh")</f>
        <v>penyuluh</v>
      </c>
    </row>
    <row r="1001" hidden="1">
      <c r="C1001" s="40" t="str">
        <f>IFERROR(__xludf.DUMMYFUNCTION("TEXTJOIN("", "",TRUE,UNIQUE(FILTER('Data Master'!$B$2:$B1570,'Data Master'!$E$2:$E1570=A1001)))"),"penyuluh")</f>
        <v>penyuluh</v>
      </c>
    </row>
    <row r="1002" hidden="1">
      <c r="C1002" s="40" t="str">
        <f>IFERROR(__xludf.DUMMYFUNCTION("TEXTJOIN("", "",TRUE,UNIQUE(FILTER('Data Master'!$B$2:$B1570,'Data Master'!$E$2:$E1570=A1002)))"),"petani")</f>
        <v>petani</v>
      </c>
    </row>
    <row r="1003" hidden="1">
      <c r="C1003" s="40" t="str">
        <f>IFERROR(__xludf.DUMMYFUNCTION("TEXTJOIN("", "",TRUE,UNIQUE(FILTER('Data Master'!$B$2:$B1570,'Data Master'!$E$2:$E1570=A1003)))"),"petani")</f>
        <v>petani</v>
      </c>
    </row>
    <row r="1004" hidden="1">
      <c r="C1004" s="40" t="str">
        <f>IFERROR(__xludf.DUMMYFUNCTION("TEXTJOIN("", "",TRUE,UNIQUE(FILTER('Data Master'!$B$2:$B1570,'Data Master'!$E$2:$E1570=A1004)))"),"petani")</f>
        <v>petani</v>
      </c>
    </row>
    <row r="1005" hidden="1">
      <c r="C1005" s="40" t="str">
        <f>IFERROR(__xludf.DUMMYFUNCTION("TEXTJOIN("", "",TRUE,UNIQUE(FILTER('Data Master'!$B$2:$B1570,'Data Master'!$E$2:$E1570=A1005)))"),"petani")</f>
        <v>petani</v>
      </c>
    </row>
    <row r="1006" hidden="1">
      <c r="C1006" s="40" t="str">
        <f>IFERROR(__xludf.DUMMYFUNCTION("TEXTJOIN("", "",TRUE,UNIQUE(FILTER('Data Master'!$B$2:$B1570,'Data Master'!$E$2:$E1570=A1006)))"),"petani")</f>
        <v>petani</v>
      </c>
    </row>
    <row r="1007" hidden="1">
      <c r="C1007" s="40" t="str">
        <f>IFERROR(__xludf.DUMMYFUNCTION("TEXTJOIN("", "",TRUE,UNIQUE(FILTER('Data Master'!$B$2:$B1570,'Data Master'!$E$2:$E1570=A1007)))"),"petani")</f>
        <v>petani</v>
      </c>
    </row>
    <row r="1008" hidden="1">
      <c r="C1008" s="40" t="str">
        <f>IFERROR(__xludf.DUMMYFUNCTION("TEXTJOIN("", "",TRUE,UNIQUE(FILTER('Data Master'!$B$2:$B1570,'Data Master'!$E$2:$E1570=A1008)))"),"petani")</f>
        <v>petani</v>
      </c>
    </row>
    <row r="1009" hidden="1">
      <c r="C1009" s="40" t="str">
        <f>IFERROR(__xludf.DUMMYFUNCTION("TEXTJOIN("", "",TRUE,UNIQUE(FILTER('Data Master'!$B$2:$B1570,'Data Master'!$E$2:$E1570=A1009)))"),"petani")</f>
        <v>petani</v>
      </c>
    </row>
    <row r="1010" hidden="1">
      <c r="C1010" s="40" t="str">
        <f>IFERROR(__xludf.DUMMYFUNCTION("TEXTJOIN("", "",TRUE,UNIQUE(FILTER('Data Master'!$B$2:$B1570,'Data Master'!$E$2:$E1570=A1010)))"),"petani")</f>
        <v>petani</v>
      </c>
    </row>
    <row r="1011" hidden="1">
      <c r="C1011" s="40" t="str">
        <f>IFERROR(__xludf.DUMMYFUNCTION("TEXTJOIN("", "",TRUE,UNIQUE(FILTER('Data Master'!$B$2:$B1570,'Data Master'!$E$2:$E1570=A1011)))"),"petani")</f>
        <v>petani</v>
      </c>
    </row>
    <row r="1012" hidden="1">
      <c r="C1012" s="40" t="str">
        <f>IFERROR(__xludf.DUMMYFUNCTION("TEXTJOIN("", "",TRUE,UNIQUE(FILTER('Data Master'!$B$2:$B1570,'Data Master'!$E$2:$E1570=A1012)))"),"petani")</f>
        <v>petani</v>
      </c>
    </row>
    <row r="1013" hidden="1">
      <c r="C1013" s="40" t="str">
        <f>IFERROR(__xludf.DUMMYFUNCTION("TEXTJOIN("", "",TRUE,UNIQUE(FILTER('Data Master'!$B$2:$B1570,'Data Master'!$E$2:$E1570=A1013)))"),"petani")</f>
        <v>petani</v>
      </c>
    </row>
    <row r="1014" hidden="1">
      <c r="C1014" s="40" t="str">
        <f>IFERROR(__xludf.DUMMYFUNCTION("TEXTJOIN("", "",TRUE,UNIQUE(FILTER('Data Master'!$B$2:$B1570,'Data Master'!$E$2:$E1570=A1014)))"),"petani")</f>
        <v>petani</v>
      </c>
    </row>
    <row r="1015" hidden="1">
      <c r="C1015" s="40" t="str">
        <f>IFERROR(__xludf.DUMMYFUNCTION("TEXTJOIN("", "",TRUE,UNIQUE(FILTER('Data Master'!$B$2:$B1570,'Data Master'!$E$2:$E1570=A1015)))"),"petani")</f>
        <v>petani</v>
      </c>
    </row>
    <row r="1016" hidden="1">
      <c r="C1016" s="40" t="str">
        <f>IFERROR(__xludf.DUMMYFUNCTION("TEXTJOIN("", "",TRUE,UNIQUE(FILTER('Data Master'!$B$2:$B1570,'Data Master'!$E$2:$E1570=A1016)))"),"penyuluh")</f>
        <v>penyuluh</v>
      </c>
    </row>
    <row r="1017">
      <c r="C1017" s="43" t="str">
        <f>IFERROR(__xludf.DUMMYFUNCTION("TEXTJOIN("", "",TRUE,UNIQUE(FILTER('Data Master'!$B$2:$B1570,'Data Master'!$E$2:$E1570=A1017)))"),"operator admin, penyuluh")</f>
        <v>operator admin, penyuluh</v>
      </c>
    </row>
    <row r="1018" hidden="1">
      <c r="C1018" s="40" t="str">
        <f>IFERROR(__xludf.DUMMYFUNCTION("TEXTJOIN("", "",TRUE,UNIQUE(FILTER('Data Master'!$B$2:$B1570,'Data Master'!$E$2:$E1570=A1018)))"),"petani")</f>
        <v>petani</v>
      </c>
    </row>
    <row r="1019" hidden="1">
      <c r="C1019" s="40" t="str">
        <f>IFERROR(__xludf.DUMMYFUNCTION("TEXTJOIN("", "",TRUE,UNIQUE(FILTER('Data Master'!$B$2:$B1570,'Data Master'!$E$2:$E1570=A1019)))"),"petani")</f>
        <v>petani</v>
      </c>
    </row>
    <row r="1020" hidden="1">
      <c r="C1020" s="40" t="str">
        <f>IFERROR(__xludf.DUMMYFUNCTION("TEXTJOIN("", "",TRUE,UNIQUE(FILTER('Data Master'!$B$2:$B1570,'Data Master'!$E$2:$E1570=A1020)))"),"petani")</f>
        <v>petani</v>
      </c>
    </row>
    <row r="1021" hidden="1">
      <c r="C1021" s="40" t="str">
        <f>IFERROR(__xludf.DUMMYFUNCTION("TEXTJOIN("", "",TRUE,UNIQUE(FILTER('Data Master'!$B$2:$B1570,'Data Master'!$E$2:$E1570=A1021)))"),"petani")</f>
        <v>petani</v>
      </c>
    </row>
    <row r="1022" hidden="1">
      <c r="C1022" s="40" t="str">
        <f>IFERROR(__xludf.DUMMYFUNCTION("TEXTJOIN("", "",TRUE,UNIQUE(FILTER('Data Master'!$B$2:$B1570,'Data Master'!$E$2:$E1570=A1022)))"),"petani")</f>
        <v>petani</v>
      </c>
    </row>
    <row r="1023" hidden="1">
      <c r="C1023" s="40" t="str">
        <f>IFERROR(__xludf.DUMMYFUNCTION("TEXTJOIN("", "",TRUE,UNIQUE(FILTER('Data Master'!$B$2:$B1570,'Data Master'!$E$2:$E1570=A1023)))"),"petani")</f>
        <v>petani</v>
      </c>
    </row>
    <row r="1024" hidden="1">
      <c r="C1024" s="43" t="str">
        <f>IFERROR(__xludf.DUMMYFUNCTION("TEXTJOIN("", "",TRUE,UNIQUE(FILTER('Data Master'!$B$2:$B1570,'Data Master'!$E$2:$E1570=A1024)))"),"operator admin, penyuluh")</f>
        <v>operator admin, penyuluh</v>
      </c>
    </row>
    <row r="1025" hidden="1">
      <c r="C1025" s="40" t="str">
        <f>IFERROR(__xludf.DUMMYFUNCTION("TEXTJOIN("", "",TRUE,UNIQUE(FILTER('Data Master'!$B$2:$B1570,'Data Master'!$E$2:$E1570=A1025)))"),"petani")</f>
        <v>petani</v>
      </c>
    </row>
    <row r="1026">
      <c r="C1026" s="43" t="str">
        <f>IFERROR(__xludf.DUMMYFUNCTION("TEXTJOIN("", "",TRUE,UNIQUE(FILTER('Data Master'!$B$2:$B1570,'Data Master'!$E$2:$E1570=A1026)))"),"penyuluh")</f>
        <v>penyuluh</v>
      </c>
    </row>
    <row r="1027" hidden="1">
      <c r="C1027" s="40" t="str">
        <f>IFERROR(__xludf.DUMMYFUNCTION("TEXTJOIN("", "",TRUE,UNIQUE(FILTER('Data Master'!$B$2:$B1570,'Data Master'!$E$2:$E1570=A1027)))"),"petani")</f>
        <v>petani</v>
      </c>
    </row>
    <row r="1028" hidden="1">
      <c r="C1028" s="40" t="str">
        <f>IFERROR(__xludf.DUMMYFUNCTION("TEXTJOIN("", "",TRUE,UNIQUE(FILTER('Data Master'!$B$2:$B1570,'Data Master'!$E$2:$E1570=A1028)))"),"petani")</f>
        <v>petani</v>
      </c>
    </row>
    <row r="1029" hidden="1">
      <c r="C1029" s="40" t="str">
        <f>IFERROR(__xludf.DUMMYFUNCTION("TEXTJOIN("", "",TRUE,UNIQUE(FILTER('Data Master'!$B$2:$B1570,'Data Master'!$E$2:$E1570=A1029)))"),"petani")</f>
        <v>petani</v>
      </c>
    </row>
    <row r="1030" hidden="1">
      <c r="C1030" s="40" t="str">
        <f>IFERROR(__xludf.DUMMYFUNCTION("TEXTJOIN("", "",TRUE,UNIQUE(FILTER('Data Master'!$B$2:$B1570,'Data Master'!$E$2:$E1570=A1030)))"),"petani")</f>
        <v>petani</v>
      </c>
    </row>
    <row r="1031" hidden="1">
      <c r="C1031" s="40" t="str">
        <f>IFERROR(__xludf.DUMMYFUNCTION("TEXTJOIN("", "",TRUE,UNIQUE(FILTER('Data Master'!$B$2:$B1570,'Data Master'!$E$2:$E1570=A1031)))"),"petani")</f>
        <v>petani</v>
      </c>
    </row>
    <row r="1032" hidden="1">
      <c r="C1032" s="40" t="str">
        <f>IFERROR(__xludf.DUMMYFUNCTION("TEXTJOIN("", "",TRUE,UNIQUE(FILTER('Data Master'!$B$2:$B1570,'Data Master'!$E$2:$E1570=A1032)))"),"petani")</f>
        <v>petani</v>
      </c>
    </row>
    <row r="1033" hidden="1">
      <c r="C1033" s="40" t="str">
        <f>IFERROR(__xludf.DUMMYFUNCTION("TEXTJOIN("", "",TRUE,UNIQUE(FILTER('Data Master'!$B$2:$B1570,'Data Master'!$E$2:$E1570=A1033)))"),"petani")</f>
        <v>petani</v>
      </c>
    </row>
    <row r="1034" hidden="1">
      <c r="C1034" s="40" t="str">
        <f>IFERROR(__xludf.DUMMYFUNCTION("TEXTJOIN("", "",TRUE,UNIQUE(FILTER('Data Master'!$B$2:$B1570,'Data Master'!$E$2:$E1570=A1034)))"),"petani")</f>
        <v>petani</v>
      </c>
    </row>
    <row r="1035" hidden="1">
      <c r="C1035" s="40" t="str">
        <f>IFERROR(__xludf.DUMMYFUNCTION("TEXTJOIN("", "",TRUE,UNIQUE(FILTER('Data Master'!$B$2:$B1570,'Data Master'!$E$2:$E1570=A1035)))"),"penyuluh")</f>
        <v>penyuluh</v>
      </c>
    </row>
    <row r="1036" hidden="1">
      <c r="C1036" s="40" t="str">
        <f>IFERROR(__xludf.DUMMYFUNCTION("TEXTJOIN("", "",TRUE,UNIQUE(FILTER('Data Master'!$B$2:$B1570,'Data Master'!$E$2:$E1570=A1036)))"),"petani")</f>
        <v>petani</v>
      </c>
    </row>
    <row r="1037" hidden="1">
      <c r="C1037" s="40" t="str">
        <f>IFERROR(__xludf.DUMMYFUNCTION("TEXTJOIN("", "",TRUE,UNIQUE(FILTER('Data Master'!$B$2:$B1570,'Data Master'!$E$2:$E1570=A1037)))"),"petani")</f>
        <v>petani</v>
      </c>
    </row>
    <row r="1038" hidden="1">
      <c r="C1038" s="40" t="str">
        <f>IFERROR(__xludf.DUMMYFUNCTION("TEXTJOIN("", "",TRUE,UNIQUE(FILTER('Data Master'!$B$2:$B1570,'Data Master'!$E$2:$E1570=A1038)))"),"petani")</f>
        <v>petani</v>
      </c>
    </row>
    <row r="1039" hidden="1">
      <c r="C1039" s="40" t="str">
        <f>IFERROR(__xludf.DUMMYFUNCTION("TEXTJOIN("", "",TRUE,UNIQUE(FILTER('Data Master'!$B$2:$B1570,'Data Master'!$E$2:$E1570=A1039)))"),"penyuluh")</f>
        <v>penyuluh</v>
      </c>
    </row>
    <row r="1040" hidden="1">
      <c r="C1040" s="40" t="str">
        <f>IFERROR(__xludf.DUMMYFUNCTION("TEXTJOIN("", "",TRUE,UNIQUE(FILTER('Data Master'!$B$2:$B1570,'Data Master'!$E$2:$E1570=A1040)))"),"petani")</f>
        <v>petani</v>
      </c>
    </row>
    <row r="1041">
      <c r="C1041" s="43" t="str">
        <f>IFERROR(__xludf.DUMMYFUNCTION("TEXTJOIN("", "",TRUE,UNIQUE(FILTER('Data Master'!$B$2:$B1570,'Data Master'!$E$2:$E1570=A1041)))"),"operator admin, penyuluh")</f>
        <v>operator admin, penyuluh</v>
      </c>
    </row>
    <row r="1042" hidden="1">
      <c r="C1042" s="40" t="str">
        <f>IFERROR(__xludf.DUMMYFUNCTION("TEXTJOIN("", "",TRUE,UNIQUE(FILTER('Data Master'!$B$2:$B1570,'Data Master'!$E$2:$E1570=A1042)))"),"petani")</f>
        <v>petani</v>
      </c>
    </row>
    <row r="1043" hidden="1">
      <c r="C1043" s="40" t="str">
        <f>IFERROR(__xludf.DUMMYFUNCTION("TEXTJOIN("", "",TRUE,UNIQUE(FILTER('Data Master'!$B$2:$B1570,'Data Master'!$E$2:$E1570=A1043)))"),"petani")</f>
        <v>petani</v>
      </c>
    </row>
    <row r="1044" hidden="1">
      <c r="C1044" s="40" t="str">
        <f>IFERROR(__xludf.DUMMYFUNCTION("TEXTJOIN("", "",TRUE,UNIQUE(FILTER('Data Master'!$B$2:$B1570,'Data Master'!$E$2:$E1570=A1044)))"),"penyuluh")</f>
        <v>penyuluh</v>
      </c>
    </row>
    <row r="1045" hidden="1">
      <c r="C1045" s="40" t="str">
        <f>IFERROR(__xludf.DUMMYFUNCTION("TEXTJOIN("", "",TRUE,UNIQUE(FILTER('Data Master'!$B$2:$B1570,'Data Master'!$E$2:$E1570=A1045)))"),"petani")</f>
        <v>petani</v>
      </c>
    </row>
    <row r="1046" hidden="1">
      <c r="C1046" s="40" t="str">
        <f>IFERROR(__xludf.DUMMYFUNCTION("TEXTJOIN("", "",TRUE,UNIQUE(FILTER('Data Master'!$B$2:$B1570,'Data Master'!$E$2:$E1570=A1046)))"),"petani")</f>
        <v>petani</v>
      </c>
    </row>
    <row r="1047">
      <c r="C1047" s="43" t="str">
        <f>IFERROR(__xludf.DUMMYFUNCTION("TEXTJOIN("", "",TRUE,UNIQUE(FILTER('Data Master'!$B$2:$B1570,'Data Master'!$E$2:$E1570=A1047)))"),"operator admin, penyuluh")</f>
        <v>operator admin, penyuluh</v>
      </c>
    </row>
    <row r="1048" hidden="1">
      <c r="C1048" s="40" t="str">
        <f>IFERROR(__xludf.DUMMYFUNCTION("TEXTJOIN("", "",TRUE,UNIQUE(FILTER('Data Master'!$B$2:$B1570,'Data Master'!$E$2:$E1570=A1048)))"),"operator admin")</f>
        <v>operator admin</v>
      </c>
    </row>
    <row r="1049" hidden="1">
      <c r="C1049" s="40" t="str">
        <f>IFERROR(__xludf.DUMMYFUNCTION("TEXTJOIN("", "",TRUE,UNIQUE(FILTER('Data Master'!$B$2:$B1570,'Data Master'!$E$2:$E1570=A1049)))"),"penyuluh")</f>
        <v>penyuluh</v>
      </c>
    </row>
    <row r="1050">
      <c r="C1050" s="43" t="str">
        <f>IFERROR(__xludf.DUMMYFUNCTION("TEXTJOIN("", "",TRUE,UNIQUE(FILTER('Data Master'!$B$2:$B1570,'Data Master'!$E$2:$E1570=A1050)))"),"penyuluh")</f>
        <v>penyuluh</v>
      </c>
    </row>
    <row r="1051" hidden="1">
      <c r="C1051" s="40" t="str">
        <f>IFERROR(__xludf.DUMMYFUNCTION("TEXTJOIN("", "",TRUE,UNIQUE(FILTER('Data Master'!$B$2:$B1570,'Data Master'!$E$2:$E1570=A1051)))"),"penyuluh")</f>
        <v>penyuluh</v>
      </c>
    </row>
    <row r="1052" hidden="1">
      <c r="C1052" s="40" t="str">
        <f>IFERROR(__xludf.DUMMYFUNCTION("TEXTJOIN("", "",TRUE,UNIQUE(FILTER('Data Master'!$B$2:$B1570,'Data Master'!$E$2:$E1570=A1052)))"),"petani")</f>
        <v>petani</v>
      </c>
    </row>
    <row r="1053" hidden="1">
      <c r="C1053" s="40" t="str">
        <f>IFERROR(__xludf.DUMMYFUNCTION("TEXTJOIN("", "",TRUE,UNIQUE(FILTER('Data Master'!$B$2:$B1570,'Data Master'!$E$2:$E1570=A1053)))"),"petani")</f>
        <v>petani</v>
      </c>
    </row>
    <row r="1054">
      <c r="C1054" s="43" t="str">
        <f>IFERROR(__xludf.DUMMYFUNCTION("TEXTJOIN("", "",TRUE,UNIQUE(FILTER('Data Master'!$B$2:$B1570,'Data Master'!$E$2:$E1570=A1054)))"),"operator poktan, penyuluh")</f>
        <v>operator poktan, penyuluh</v>
      </c>
    </row>
    <row r="1055" hidden="1">
      <c r="C1055" s="40" t="str">
        <f>IFERROR(__xludf.DUMMYFUNCTION("TEXTJOIN("", "",TRUE,UNIQUE(FILTER('Data Master'!$B$2:$B1570,'Data Master'!$E$2:$E1570=A1055)))"),"penyuluh")</f>
        <v>penyuluh</v>
      </c>
    </row>
    <row r="1056" hidden="1">
      <c r="C1056" s="40" t="str">
        <f>IFERROR(__xludf.DUMMYFUNCTION("TEXTJOIN("", "",TRUE,UNIQUE(FILTER('Data Master'!$B$2:$B1570,'Data Master'!$E$2:$E1570=A1056)))"),"petani")</f>
        <v>petani</v>
      </c>
    </row>
    <row r="1057" hidden="1">
      <c r="C1057" s="40" t="str">
        <f>IFERROR(__xludf.DUMMYFUNCTION("TEXTJOIN("", "",TRUE,UNIQUE(FILTER('Data Master'!$B$2:$B1570,'Data Master'!$E$2:$E1570=A1057)))"),"petani")</f>
        <v>petani</v>
      </c>
    </row>
    <row r="1058" hidden="1">
      <c r="C1058" s="40" t="str">
        <f>IFERROR(__xludf.DUMMYFUNCTION("TEXTJOIN("", "",TRUE,UNIQUE(FILTER('Data Master'!$B$2:$B1570,'Data Master'!$E$2:$E1570=A1058)))"),"petani")</f>
        <v>petani</v>
      </c>
    </row>
    <row r="1059" hidden="1">
      <c r="C1059" s="40" t="str">
        <f>IFERROR(__xludf.DUMMYFUNCTION("TEXTJOIN("", "",TRUE,UNIQUE(FILTER('Data Master'!$B$2:$B1570,'Data Master'!$E$2:$E1570=A1059)))"),"petani")</f>
        <v>petani</v>
      </c>
    </row>
    <row r="1060" hidden="1">
      <c r="C1060" s="40" t="str">
        <f>IFERROR(__xludf.DUMMYFUNCTION("TEXTJOIN("", "",TRUE,UNIQUE(FILTER('Data Master'!$B$2:$B1570,'Data Master'!$E$2:$E1570=A1060)))"),"petani")</f>
        <v>petani</v>
      </c>
    </row>
    <row r="1061" hidden="1">
      <c r="C1061" s="40" t="str">
        <f>IFERROR(__xludf.DUMMYFUNCTION("TEXTJOIN("", "",TRUE,UNIQUE(FILTER('Data Master'!$B$2:$B1570,'Data Master'!$E$2:$E1570=A1061)))"),"penyuluh")</f>
        <v>penyuluh</v>
      </c>
    </row>
    <row r="1062" hidden="1">
      <c r="C1062" s="40" t="str">
        <f>IFERROR(__xludf.DUMMYFUNCTION("TEXTJOIN("", "",TRUE,UNIQUE(FILTER('Data Master'!$B$2:$B1570,'Data Master'!$E$2:$E1570=A1062)))"),"penyuluh")</f>
        <v>penyuluh</v>
      </c>
    </row>
    <row r="1063" hidden="1">
      <c r="C1063" s="40" t="str">
        <f>IFERROR(__xludf.DUMMYFUNCTION("TEXTJOIN("", "",TRUE,UNIQUE(FILTER('Data Master'!$B$2:$B1570,'Data Master'!$E$2:$E1570=A1063)))"),"petani")</f>
        <v>petani</v>
      </c>
    </row>
    <row r="1064" hidden="1">
      <c r="C1064" s="40" t="str">
        <f>IFERROR(__xludf.DUMMYFUNCTION("TEXTJOIN("", "",TRUE,UNIQUE(FILTER('Data Master'!$B$2:$B1570,'Data Master'!$E$2:$E1570=A1064)))"),"petani")</f>
        <v>petani</v>
      </c>
    </row>
    <row r="1065" hidden="1">
      <c r="C1065" s="40" t="str">
        <f>IFERROR(__xludf.DUMMYFUNCTION("TEXTJOIN("", "",TRUE,UNIQUE(FILTER('Data Master'!$B$2:$B1570,'Data Master'!$E$2:$E1570=A1065)))"),"petani")</f>
        <v>petani</v>
      </c>
    </row>
    <row r="1066" hidden="1">
      <c r="C1066" s="40" t="str">
        <f>IFERROR(__xludf.DUMMYFUNCTION("TEXTJOIN("", "",TRUE,UNIQUE(FILTER('Data Master'!$B$2:$B1570,'Data Master'!$E$2:$E1570=A1066)))"),"petani")</f>
        <v>petani</v>
      </c>
    </row>
    <row r="1067" hidden="1">
      <c r="C1067" s="40" t="str">
        <f>IFERROR(__xludf.DUMMYFUNCTION("TEXTJOIN("", "",TRUE,UNIQUE(FILTER('Data Master'!$B$2:$B1570,'Data Master'!$E$2:$E1570=A1067)))"),"petani")</f>
        <v>petani</v>
      </c>
    </row>
    <row r="1068" hidden="1">
      <c r="C1068" s="40" t="str">
        <f>IFERROR(__xludf.DUMMYFUNCTION("TEXTJOIN("", "",TRUE,UNIQUE(FILTER('Data Master'!$B$2:$B1570,'Data Master'!$E$2:$E1570=A1068)))"),"penyuluh")</f>
        <v>penyuluh</v>
      </c>
    </row>
    <row r="1069" hidden="1">
      <c r="C1069" s="40" t="str">
        <f>IFERROR(__xludf.DUMMYFUNCTION("TEXTJOIN("", "",TRUE,UNIQUE(FILTER('Data Master'!$B$2:$B1570,'Data Master'!$E$2:$E1570=A1069)))"),"penyuluh")</f>
        <v>penyuluh</v>
      </c>
    </row>
    <row r="1070"/>
  </sheetData>
  <autoFilter ref="$A$1:$C$1069">
    <filterColumn colId="1">
      <filters>
        <filter val="44"/>
        <filter val="2"/>
        <filter val="6"/>
        <filter val="7"/>
        <filter val="8"/>
        <filter val="10"/>
        <filter val="21"/>
      </filters>
    </filterColumn>
    <filterColumn colId="2">
      <filters blank="1">
        <filter val="operator super admin"/>
        <filter val="operator poktan, operator super admin, penyuluh"/>
        <filter val="operator super admin, penyuluh"/>
        <filter val="penyuluh"/>
        <filter val="penyuluh_swadaya"/>
        <filter val="operator admin, penyuluh"/>
        <filter val="operator admin"/>
        <filter val="operator admin, penyuluh, petani"/>
        <filter val="penyuluh, petani"/>
        <filter val="operator poktan, penyuluh"/>
      </filters>
    </filterColumn>
  </autoFilter>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88"/>
    <col customWidth="1" min="2" max="2" width="14.38"/>
    <col customWidth="1" min="3" max="3" width="37.13"/>
  </cols>
  <sheetData>
    <row r="1">
      <c r="C1" s="41" t="s">
        <v>1450</v>
      </c>
    </row>
    <row r="2" hidden="1">
      <c r="C2" s="40"/>
    </row>
    <row r="3" hidden="1">
      <c r="C3" s="40" t="str">
        <f>IFERROR(__xludf.DUMMYFUNCTION("TEXTJOIN("", "",TRUE,UNIQUE(FILTER('Data Master'!$B$2:$B2880,'Data Master'!$J$2:$J2880=A3)))"),"petani")</f>
        <v>petani</v>
      </c>
    </row>
    <row r="4">
      <c r="C4" s="43" t="str">
        <f>IFERROR(__xludf.DUMMYFUNCTION("TEXTJOIN("", "",TRUE,UNIQUE(FILTER('Data Master'!$B$2:$B2880,'Data Master'!$J$2:$J2880=A4)))"),"penyuluh")</f>
        <v>penyuluh</v>
      </c>
    </row>
    <row r="5" hidden="1">
      <c r="C5" s="40" t="str">
        <f>IFERROR(__xludf.DUMMYFUNCTION("TEXTJOIN("", "",TRUE,UNIQUE(FILTER('Data Master'!$B$2:$B2880,'Data Master'!$J$2:$J2880=A5)))"),"penyuluh")</f>
        <v>penyuluh</v>
      </c>
    </row>
    <row r="6" hidden="1">
      <c r="C6" s="40" t="str">
        <f>IFERROR(__xludf.DUMMYFUNCTION("TEXTJOIN("", "",TRUE,UNIQUE(FILTER('Data Master'!$B$2:$B2880,'Data Master'!$J$2:$J2880=A6)))"),"penyuluh")</f>
        <v>penyuluh</v>
      </c>
    </row>
    <row r="7" hidden="1">
      <c r="C7" s="40" t="str">
        <f>IFERROR(__xludf.DUMMYFUNCTION("TEXTJOIN("", "",TRUE,UNIQUE(FILTER('Data Master'!$B$2:$B2880,'Data Master'!$J$2:$J2880=A7)))"),"penyuluh")</f>
        <v>penyuluh</v>
      </c>
    </row>
    <row r="8" hidden="1">
      <c r="C8" s="40" t="str">
        <f>IFERROR(__xludf.DUMMYFUNCTION("TEXTJOIN("", "",TRUE,UNIQUE(FILTER('Data Master'!$B$2:$B2880,'Data Master'!$J$2:$J2880=A8)))"),"penyuluh")</f>
        <v>penyuluh</v>
      </c>
    </row>
    <row r="9" hidden="1">
      <c r="C9" s="40" t="str">
        <f>IFERROR(__xludf.DUMMYFUNCTION("TEXTJOIN("", "",TRUE,UNIQUE(FILTER('Data Master'!$B$2:$B2880,'Data Master'!$J$2:$J2880=A9)))"),"penyuluh")</f>
        <v>penyuluh</v>
      </c>
    </row>
    <row r="10" hidden="1">
      <c r="C10" s="40" t="str">
        <f>IFERROR(__xludf.DUMMYFUNCTION("TEXTJOIN("", "",TRUE,UNIQUE(FILTER('Data Master'!$B$2:$B2880,'Data Master'!$J$2:$J2880=A10)))"),"penyuluh")</f>
        <v>penyuluh</v>
      </c>
    </row>
    <row r="11" hidden="1">
      <c r="C11" s="40" t="str">
        <f>IFERROR(__xludf.DUMMYFUNCTION("TEXTJOIN("", "",TRUE,UNIQUE(FILTER('Data Master'!$B$2:$B2880,'Data Master'!$J$2:$J2880=A11)))"),"penyuluh")</f>
        <v>penyuluh</v>
      </c>
    </row>
    <row r="12" hidden="1">
      <c r="C12" s="40" t="str">
        <f>IFERROR(__xludf.DUMMYFUNCTION("TEXTJOIN("", "",TRUE,UNIQUE(FILTER('Data Master'!$B$2:$B2880,'Data Master'!$J$2:$J2880=A12)))"),"penyuluh")</f>
        <v>penyuluh</v>
      </c>
    </row>
    <row r="13" hidden="1">
      <c r="C13" s="40" t="str">
        <f>IFERROR(__xludf.DUMMYFUNCTION("TEXTJOIN("", "",TRUE,UNIQUE(FILTER('Data Master'!$B$2:$B2880,'Data Master'!$J$2:$J2880=A13)))"),"penyuluh")</f>
        <v>penyuluh</v>
      </c>
    </row>
    <row r="14" hidden="1">
      <c r="C14" s="40" t="str">
        <f>IFERROR(__xludf.DUMMYFUNCTION("TEXTJOIN("", "",TRUE,UNIQUE(FILTER('Data Master'!$B$2:$B2880,'Data Master'!$J$2:$J2880=A14)))"),"penyuluh")</f>
        <v>penyuluh</v>
      </c>
    </row>
    <row r="15" hidden="1">
      <c r="C15" s="40" t="str">
        <f>IFERROR(__xludf.DUMMYFUNCTION("TEXTJOIN("", "",TRUE,UNIQUE(FILTER('Data Master'!$B$2:$B2880,'Data Master'!$J$2:$J2880=A15)))"),"penyuluh")</f>
        <v>penyuluh</v>
      </c>
    </row>
    <row r="16" hidden="1">
      <c r="C16" s="40" t="str">
        <f>IFERROR(__xludf.DUMMYFUNCTION("TEXTJOIN("", "",TRUE,UNIQUE(FILTER('Data Master'!$B$2:$B2880,'Data Master'!$J$2:$J2880=A16)))"),"penyuluh")</f>
        <v>penyuluh</v>
      </c>
    </row>
    <row r="17" hidden="1">
      <c r="C17" s="40" t="str">
        <f>IFERROR(__xludf.DUMMYFUNCTION("TEXTJOIN("", "",TRUE,UNIQUE(FILTER('Data Master'!$B$2:$B2880,'Data Master'!$J$2:$J2880=A17)))"),"penyuluh_swadaya")</f>
        <v>penyuluh_swadaya</v>
      </c>
    </row>
    <row r="18" hidden="1">
      <c r="C18" s="40" t="str">
        <f>IFERROR(__xludf.DUMMYFUNCTION("TEXTJOIN("", "",TRUE,UNIQUE(FILTER('Data Master'!$B$2:$B2880,'Data Master'!$J$2:$J2880=A18)))"),"penyuluh")</f>
        <v>penyuluh</v>
      </c>
    </row>
    <row r="19" hidden="1">
      <c r="C19" s="40" t="str">
        <f>IFERROR(__xludf.DUMMYFUNCTION("TEXTJOIN("", "",TRUE,UNIQUE(FILTER('Data Master'!$B$2:$B2880,'Data Master'!$J$2:$J2880=A19)))"),"petani")</f>
        <v>petani</v>
      </c>
    </row>
    <row r="20" hidden="1">
      <c r="C20" s="40" t="str">
        <f>IFERROR(__xludf.DUMMYFUNCTION("TEXTJOIN("", "",TRUE,UNIQUE(FILTER('Data Master'!$B$2:$B2880,'Data Master'!$J$2:$J2880=A20)))"),"penyuluh")</f>
        <v>penyuluh</v>
      </c>
    </row>
    <row r="21" hidden="1">
      <c r="C21" s="40" t="str">
        <f>IFERROR(__xludf.DUMMYFUNCTION("TEXTJOIN("", "",TRUE,UNIQUE(FILTER('Data Master'!$B$2:$B2880,'Data Master'!$J$2:$J2880=A21)))"),"petani")</f>
        <v>petani</v>
      </c>
    </row>
    <row r="22" hidden="1">
      <c r="C22" s="40" t="str">
        <f>IFERROR(__xludf.DUMMYFUNCTION("TEXTJOIN("", "",TRUE,UNIQUE(FILTER('Data Master'!$B$2:$B2880,'Data Master'!$J$2:$J2880=A22)))"),"petani")</f>
        <v>petani</v>
      </c>
    </row>
    <row r="23" hidden="1">
      <c r="C23" s="40" t="str">
        <f>IFERROR(__xludf.DUMMYFUNCTION("TEXTJOIN("", "",TRUE,UNIQUE(FILTER('Data Master'!$B$2:$B2880,'Data Master'!$J$2:$J2880=A23)))"),"petani")</f>
        <v>petani</v>
      </c>
    </row>
    <row r="24" hidden="1">
      <c r="C24" s="40" t="str">
        <f>IFERROR(__xludf.DUMMYFUNCTION("TEXTJOIN("", "",TRUE,UNIQUE(FILTER('Data Master'!$B$2:$B2880,'Data Master'!$J$2:$J2880=A24)))"),"petani")</f>
        <v>petani</v>
      </c>
    </row>
    <row r="25" hidden="1">
      <c r="C25" s="40" t="str">
        <f>IFERROR(__xludf.DUMMYFUNCTION("TEXTJOIN("", "",TRUE,UNIQUE(FILTER('Data Master'!$B$2:$B2880,'Data Master'!$J$2:$J2880=A25)))"),"petani")</f>
        <v>petani</v>
      </c>
    </row>
    <row r="26" hidden="1">
      <c r="C26" s="40" t="str">
        <f>IFERROR(__xludf.DUMMYFUNCTION("TEXTJOIN("", "",TRUE,UNIQUE(FILTER('Data Master'!$B$2:$B2880,'Data Master'!$J$2:$J2880=A26)))"),"petani")</f>
        <v>petani</v>
      </c>
    </row>
    <row r="27" hidden="1">
      <c r="C27" s="40" t="str">
        <f>IFERROR(__xludf.DUMMYFUNCTION("TEXTJOIN("", "",TRUE,UNIQUE(FILTER('Data Master'!$B$2:$B2880,'Data Master'!$J$2:$J2880=A27)))"),"petani")</f>
        <v>petani</v>
      </c>
    </row>
    <row r="28" hidden="1">
      <c r="C28" s="40" t="str">
        <f>IFERROR(__xludf.DUMMYFUNCTION("TEXTJOIN("", "",TRUE,UNIQUE(FILTER('Data Master'!$B$2:$B2880,'Data Master'!$J$2:$J2880=A28)))"),"penyuluh")</f>
        <v>penyuluh</v>
      </c>
    </row>
    <row r="29" hidden="1">
      <c r="C29" s="40" t="str">
        <f>IFERROR(__xludf.DUMMYFUNCTION("TEXTJOIN("", "",TRUE,UNIQUE(FILTER('Data Master'!$B$2:$B2880,'Data Master'!$J$2:$J2880=A29)))"),"petani")</f>
        <v>petani</v>
      </c>
    </row>
    <row r="30" hidden="1">
      <c r="C30" s="40" t="str">
        <f>IFERROR(__xludf.DUMMYFUNCTION("TEXTJOIN("", "",TRUE,UNIQUE(FILTER('Data Master'!$B$2:$B2880,'Data Master'!$J$2:$J2880=A30)))"),"petani")</f>
        <v>petani</v>
      </c>
    </row>
    <row r="31" hidden="1">
      <c r="C31" s="40" t="str">
        <f>IFERROR(__xludf.DUMMYFUNCTION("TEXTJOIN("", "",TRUE,UNIQUE(FILTER('Data Master'!$B$2:$B2880,'Data Master'!$J$2:$J2880=A31)))"),"petani")</f>
        <v>petani</v>
      </c>
    </row>
    <row r="32" hidden="1">
      <c r="C32" s="40" t="str">
        <f>IFERROR(__xludf.DUMMYFUNCTION("TEXTJOIN("", "",TRUE,UNIQUE(FILTER('Data Master'!$B$2:$B2880,'Data Master'!$J$2:$J2880=A32)))"),"petani")</f>
        <v>petani</v>
      </c>
    </row>
    <row r="33" hidden="1">
      <c r="C33" s="40" t="str">
        <f>IFERROR(__xludf.DUMMYFUNCTION("TEXTJOIN("", "",TRUE,UNIQUE(FILTER('Data Master'!$B$2:$B2880,'Data Master'!$J$2:$J2880=A33)))"),"petani")</f>
        <v>petani</v>
      </c>
    </row>
    <row r="34" hidden="1">
      <c r="C34" s="40" t="str">
        <f>IFERROR(__xludf.DUMMYFUNCTION("TEXTJOIN("", "",TRUE,UNIQUE(FILTER('Data Master'!$B$2:$B2880,'Data Master'!$J$2:$J2880=A34)))"),"petani")</f>
        <v>petani</v>
      </c>
    </row>
    <row r="35" hidden="1">
      <c r="C35" s="40" t="str">
        <f>IFERROR(__xludf.DUMMYFUNCTION("TEXTJOIN("", "",TRUE,UNIQUE(FILTER('Data Master'!$B$2:$B2880,'Data Master'!$J$2:$J2880=A35)))"),"petani")</f>
        <v>petani</v>
      </c>
    </row>
    <row r="36" hidden="1">
      <c r="C36" s="40" t="str">
        <f>IFERROR(__xludf.DUMMYFUNCTION("TEXTJOIN("", "",TRUE,UNIQUE(FILTER('Data Master'!$B$2:$B2880,'Data Master'!$J$2:$J2880=A36)))"),"petani")</f>
        <v>petani</v>
      </c>
    </row>
    <row r="37" hidden="1">
      <c r="C37" s="40" t="str">
        <f>IFERROR(__xludf.DUMMYFUNCTION("TEXTJOIN("", "",TRUE,UNIQUE(FILTER('Data Master'!$B$2:$B2880,'Data Master'!$J$2:$J2880=A37)))"),"petani")</f>
        <v>petani</v>
      </c>
    </row>
    <row r="38" hidden="1">
      <c r="C38" s="40" t="str">
        <f>IFERROR(__xludf.DUMMYFUNCTION("TEXTJOIN("", "",TRUE,UNIQUE(FILTER('Data Master'!$B$2:$B2880,'Data Master'!$J$2:$J2880=A38)))"),"petani")</f>
        <v>petani</v>
      </c>
    </row>
    <row r="39" hidden="1">
      <c r="C39" s="40" t="str">
        <f>IFERROR(__xludf.DUMMYFUNCTION("TEXTJOIN("", "",TRUE,UNIQUE(FILTER('Data Master'!$B$2:$B2880,'Data Master'!$J$2:$J2880=A39)))"),"petani")</f>
        <v>petani</v>
      </c>
    </row>
    <row r="40" hidden="1">
      <c r="C40" s="40" t="str">
        <f>IFERROR(__xludf.DUMMYFUNCTION("TEXTJOIN("", "",TRUE,UNIQUE(FILTER('Data Master'!$B$2:$B2880,'Data Master'!$J$2:$J2880=A40)))"),"petani")</f>
        <v>petani</v>
      </c>
    </row>
    <row r="41" hidden="1">
      <c r="C41" s="40" t="str">
        <f>IFERROR(__xludf.DUMMYFUNCTION("TEXTJOIN("", "",TRUE,UNIQUE(FILTER('Data Master'!$B$2:$B2880,'Data Master'!$J$2:$J2880=A41)))"),"petani")</f>
        <v>petani</v>
      </c>
    </row>
    <row r="42" hidden="1">
      <c r="C42" s="40" t="str">
        <f>IFERROR(__xludf.DUMMYFUNCTION("TEXTJOIN("", "",TRUE,UNIQUE(FILTER('Data Master'!$B$2:$B2880,'Data Master'!$J$2:$J2880=A42)))"),"petani")</f>
        <v>petani</v>
      </c>
    </row>
    <row r="43" hidden="1">
      <c r="C43" s="40" t="str">
        <f>IFERROR(__xludf.DUMMYFUNCTION("TEXTJOIN("", "",TRUE,UNIQUE(FILTER('Data Master'!$B$2:$B2880,'Data Master'!$J$2:$J2880=A43)))"),"petani")</f>
        <v>petani</v>
      </c>
    </row>
    <row r="44" hidden="1">
      <c r="C44" s="40" t="str">
        <f>IFERROR(__xludf.DUMMYFUNCTION("TEXTJOIN("", "",TRUE,UNIQUE(FILTER('Data Master'!$B$2:$B2880,'Data Master'!$J$2:$J2880=A44)))"),"petani")</f>
        <v>petani</v>
      </c>
    </row>
    <row r="45" hidden="1">
      <c r="C45" s="40" t="str">
        <f>IFERROR(__xludf.DUMMYFUNCTION("TEXTJOIN("", "",TRUE,UNIQUE(FILTER('Data Master'!$B$2:$B2880,'Data Master'!$J$2:$J2880=A45)))"),"petani")</f>
        <v>petani</v>
      </c>
    </row>
    <row r="46" hidden="1">
      <c r="C46" s="40" t="str">
        <f>IFERROR(__xludf.DUMMYFUNCTION("TEXTJOIN("", "",TRUE,UNIQUE(FILTER('Data Master'!$B$2:$B2880,'Data Master'!$J$2:$J2880=A46)))"),"petani")</f>
        <v>petani</v>
      </c>
    </row>
    <row r="47" hidden="1">
      <c r="C47" s="40" t="str">
        <f>IFERROR(__xludf.DUMMYFUNCTION("TEXTJOIN("", "",TRUE,UNIQUE(FILTER('Data Master'!$B$2:$B2880,'Data Master'!$J$2:$J2880=A47)))"),"petani")</f>
        <v>petani</v>
      </c>
    </row>
    <row r="48" hidden="1">
      <c r="C48" s="40" t="str">
        <f>IFERROR(__xludf.DUMMYFUNCTION("TEXTJOIN("", "",TRUE,UNIQUE(FILTER('Data Master'!$B$2:$B2880,'Data Master'!$J$2:$J2880=A48)))"),"petani")</f>
        <v>petani</v>
      </c>
    </row>
    <row r="49" hidden="1">
      <c r="C49" s="40" t="str">
        <f>IFERROR(__xludf.DUMMYFUNCTION("TEXTJOIN("", "",TRUE,UNIQUE(FILTER('Data Master'!$B$2:$B2880,'Data Master'!$J$2:$J2880=A49)))"),"petani")</f>
        <v>petani</v>
      </c>
    </row>
    <row r="50" hidden="1">
      <c r="C50" s="40" t="str">
        <f>IFERROR(__xludf.DUMMYFUNCTION("TEXTJOIN("", "",TRUE,UNIQUE(FILTER('Data Master'!$B$2:$B2880,'Data Master'!$J$2:$J2880=A50)))"),"petani")</f>
        <v>petani</v>
      </c>
    </row>
    <row r="51" hidden="1">
      <c r="C51" s="40" t="str">
        <f>IFERROR(__xludf.DUMMYFUNCTION("TEXTJOIN("", "",TRUE,UNIQUE(FILTER('Data Master'!$B$2:$B2880,'Data Master'!$J$2:$J2880=A51)))"),"petani")</f>
        <v>petani</v>
      </c>
    </row>
    <row r="52" hidden="1">
      <c r="C52" s="40" t="str">
        <f>IFERROR(__xludf.DUMMYFUNCTION("TEXTJOIN("", "",TRUE,UNIQUE(FILTER('Data Master'!$B$2:$B2880,'Data Master'!$J$2:$J2880=A52)))"),"petani")</f>
        <v>petani</v>
      </c>
    </row>
    <row r="53" hidden="1">
      <c r="C53" s="40" t="str">
        <f>IFERROR(__xludf.DUMMYFUNCTION("TEXTJOIN("", "",TRUE,UNIQUE(FILTER('Data Master'!$B$2:$B2880,'Data Master'!$J$2:$J2880=A53)))"),"petani")</f>
        <v>petani</v>
      </c>
    </row>
    <row r="54" hidden="1">
      <c r="C54" s="40" t="str">
        <f>IFERROR(__xludf.DUMMYFUNCTION("TEXTJOIN("", "",TRUE,UNIQUE(FILTER('Data Master'!$B$2:$B2880,'Data Master'!$J$2:$J2880=A54)))"),"petani")</f>
        <v>petani</v>
      </c>
    </row>
    <row r="55" hidden="1">
      <c r="C55" s="40" t="str">
        <f>IFERROR(__xludf.DUMMYFUNCTION("TEXTJOIN("", "",TRUE,UNIQUE(FILTER('Data Master'!$B$2:$B2880,'Data Master'!$J$2:$J2880=A55)))"),"petani")</f>
        <v>petani</v>
      </c>
    </row>
    <row r="56" hidden="1">
      <c r="C56" s="40" t="str">
        <f>IFERROR(__xludf.DUMMYFUNCTION("TEXTJOIN("", "",TRUE,UNIQUE(FILTER('Data Master'!$B$2:$B2880,'Data Master'!$J$2:$J2880=A56)))"),"petani")</f>
        <v>petani</v>
      </c>
    </row>
    <row r="57" hidden="1">
      <c r="C57" s="40" t="str">
        <f>IFERROR(__xludf.DUMMYFUNCTION("TEXTJOIN("", "",TRUE,UNIQUE(FILTER('Data Master'!$B$2:$B2880,'Data Master'!$J$2:$J2880=A57)))"),"petani")</f>
        <v>petani</v>
      </c>
    </row>
    <row r="58" hidden="1">
      <c r="C58" s="40" t="str">
        <f>IFERROR(__xludf.DUMMYFUNCTION("TEXTJOIN("", "",TRUE,UNIQUE(FILTER('Data Master'!$B$2:$B2880,'Data Master'!$J$2:$J2880=A58)))"),"petani")</f>
        <v>petani</v>
      </c>
    </row>
    <row r="59" hidden="1">
      <c r="C59" s="40" t="str">
        <f>IFERROR(__xludf.DUMMYFUNCTION("TEXTJOIN("", "",TRUE,UNIQUE(FILTER('Data Master'!$B$2:$B2880,'Data Master'!$J$2:$J2880=A59)))"),"petani")</f>
        <v>petani</v>
      </c>
    </row>
    <row r="60" hidden="1">
      <c r="C60" s="40" t="str">
        <f>IFERROR(__xludf.DUMMYFUNCTION("TEXTJOIN("", "",TRUE,UNIQUE(FILTER('Data Master'!$B$2:$B2880,'Data Master'!$J$2:$J2880=A60)))"),"petani")</f>
        <v>petani</v>
      </c>
    </row>
    <row r="61" hidden="1">
      <c r="C61" s="40" t="str">
        <f>IFERROR(__xludf.DUMMYFUNCTION("TEXTJOIN("", "",TRUE,UNIQUE(FILTER('Data Master'!$B$2:$B2880,'Data Master'!$J$2:$J2880=A61)))"),"petani")</f>
        <v>petani</v>
      </c>
    </row>
    <row r="62" hidden="1">
      <c r="C62" s="40" t="str">
        <f>IFERROR(__xludf.DUMMYFUNCTION("TEXTJOIN("", "",TRUE,UNIQUE(FILTER('Data Master'!$B$2:$B2880,'Data Master'!$J$2:$J2880=A62)))"),"petani")</f>
        <v>petani</v>
      </c>
    </row>
    <row r="63" hidden="1">
      <c r="C63" s="40" t="str">
        <f>IFERROR(__xludf.DUMMYFUNCTION("TEXTJOIN("", "",TRUE,UNIQUE(FILTER('Data Master'!$B$2:$B2880,'Data Master'!$J$2:$J2880=A63)))"),"petani")</f>
        <v>petani</v>
      </c>
    </row>
    <row r="64" hidden="1">
      <c r="C64" s="40" t="str">
        <f>IFERROR(__xludf.DUMMYFUNCTION("TEXTJOIN("", "",TRUE,UNIQUE(FILTER('Data Master'!$B$2:$B2880,'Data Master'!$J$2:$J2880=A64)))"),"petani")</f>
        <v>petani</v>
      </c>
    </row>
    <row r="65" hidden="1">
      <c r="C65" s="40" t="str">
        <f>IFERROR(__xludf.DUMMYFUNCTION("TEXTJOIN("", "",TRUE,UNIQUE(FILTER('Data Master'!$B$2:$B2880,'Data Master'!$J$2:$J2880=A65)))"),"petani")</f>
        <v>petani</v>
      </c>
    </row>
    <row r="66" hidden="1">
      <c r="C66" s="40" t="str">
        <f>IFERROR(__xludf.DUMMYFUNCTION("TEXTJOIN("", "",TRUE,UNIQUE(FILTER('Data Master'!$B$2:$B2880,'Data Master'!$J$2:$J2880=A66)))"),"petani")</f>
        <v>petani</v>
      </c>
    </row>
    <row r="67" hidden="1">
      <c r="C67" s="40" t="str">
        <f>IFERROR(__xludf.DUMMYFUNCTION("TEXTJOIN("", "",TRUE,UNIQUE(FILTER('Data Master'!$B$2:$B2880,'Data Master'!$J$2:$J2880=A67)))"),"petani")</f>
        <v>petani</v>
      </c>
    </row>
    <row r="68" hidden="1">
      <c r="C68" s="40" t="str">
        <f>IFERROR(__xludf.DUMMYFUNCTION("TEXTJOIN("", "",TRUE,UNIQUE(FILTER('Data Master'!$B$2:$B2880,'Data Master'!$J$2:$J2880=A68)))"),"penyuluh")</f>
        <v>penyuluh</v>
      </c>
    </row>
    <row r="69">
      <c r="C69" s="43" t="str">
        <f>IFERROR(__xludf.DUMMYFUNCTION("TEXTJOIN("", "",TRUE,UNIQUE(FILTER('Data Master'!$B$2:$B2880,'Data Master'!$J$2:$J2880=A69)))"),"operator poktan, penyuluh, petani")</f>
        <v>operator poktan, penyuluh, petani</v>
      </c>
    </row>
    <row r="70" hidden="1">
      <c r="C70" s="40" t="str">
        <f>IFERROR(__xludf.DUMMYFUNCTION("TEXTJOIN("", "",TRUE,UNIQUE(FILTER('Data Master'!$B$2:$B2880,'Data Master'!$J$2:$J2880=A70)))"),"penyuluh")</f>
        <v>penyuluh</v>
      </c>
    </row>
    <row r="71" hidden="1">
      <c r="C71" s="40" t="str">
        <f>IFERROR(__xludf.DUMMYFUNCTION("TEXTJOIN("", "",TRUE,UNIQUE(FILTER('Data Master'!$B$2:$B2880,'Data Master'!$J$2:$J2880=A71)))"),"penyuluh")</f>
        <v>penyuluh</v>
      </c>
    </row>
    <row r="72" hidden="1">
      <c r="C72" s="40" t="str">
        <f>IFERROR(__xludf.DUMMYFUNCTION("TEXTJOIN("", "",TRUE,UNIQUE(FILTER('Data Master'!$B$2:$B2880,'Data Master'!$J$2:$J2880=A72)))"),"petani")</f>
        <v>petani</v>
      </c>
    </row>
    <row r="73" hidden="1">
      <c r="C73" s="40" t="str">
        <f>IFERROR(__xludf.DUMMYFUNCTION("TEXTJOIN("", "",TRUE,UNIQUE(FILTER('Data Master'!$B$2:$B2880,'Data Master'!$J$2:$J2880=A73)))"),"petani")</f>
        <v>petani</v>
      </c>
    </row>
    <row r="74" hidden="1">
      <c r="C74" s="40" t="str">
        <f>IFERROR(__xludf.DUMMYFUNCTION("TEXTJOIN("", "",TRUE,UNIQUE(FILTER('Data Master'!$B$2:$B2880,'Data Master'!$J$2:$J2880=A74)))"),"petani")</f>
        <v>petani</v>
      </c>
    </row>
    <row r="75" hidden="1">
      <c r="C75" s="40" t="str">
        <f>IFERROR(__xludf.DUMMYFUNCTION("TEXTJOIN("", "",TRUE,UNIQUE(FILTER('Data Master'!$B$2:$B2880,'Data Master'!$J$2:$J2880=A75)))"),"penyuluh")</f>
        <v>penyuluh</v>
      </c>
    </row>
    <row r="76" hidden="1">
      <c r="C76" s="40" t="str">
        <f>IFERROR(__xludf.DUMMYFUNCTION("TEXTJOIN("", "",TRUE,UNIQUE(FILTER('Data Master'!$B$2:$B2880,'Data Master'!$J$2:$J2880=A76)))"),"penyuluh")</f>
        <v>penyuluh</v>
      </c>
    </row>
    <row r="77" hidden="1">
      <c r="C77" s="40" t="str">
        <f>IFERROR(__xludf.DUMMYFUNCTION("TEXTJOIN("", "",TRUE,UNIQUE(FILTER('Data Master'!$B$2:$B2880,'Data Master'!$J$2:$J2880=A77)))"),"penyuluh")</f>
        <v>penyuluh</v>
      </c>
    </row>
    <row r="78" hidden="1">
      <c r="C78" s="40" t="str">
        <f>IFERROR(__xludf.DUMMYFUNCTION("TEXTJOIN("", "",TRUE,UNIQUE(FILTER('Data Master'!$B$2:$B2880,'Data Master'!$J$2:$J2880=A78)))"),"penyuluh")</f>
        <v>penyuluh</v>
      </c>
    </row>
    <row r="79" hidden="1">
      <c r="C79" s="40" t="str">
        <f>IFERROR(__xludf.DUMMYFUNCTION("TEXTJOIN("", "",TRUE,UNIQUE(FILTER('Data Master'!$B$2:$B2880,'Data Master'!$J$2:$J2880=A79)))"),"penyuluh")</f>
        <v>penyuluh</v>
      </c>
    </row>
    <row r="80" hidden="1">
      <c r="C80" s="40" t="str">
        <f>IFERROR(__xludf.DUMMYFUNCTION("TEXTJOIN("", "",TRUE,UNIQUE(FILTER('Data Master'!$B$2:$B2880,'Data Master'!$J$2:$J2880=A80)))"),"penyuluh")</f>
        <v>penyuluh</v>
      </c>
    </row>
    <row r="81" hidden="1">
      <c r="C81" s="40" t="str">
        <f>IFERROR(__xludf.DUMMYFUNCTION("TEXTJOIN("", "",TRUE,UNIQUE(FILTER('Data Master'!$B$2:$B2880,'Data Master'!$J$2:$J2880=A81)))"),"penyuluh")</f>
        <v>penyuluh</v>
      </c>
    </row>
    <row r="82" hidden="1">
      <c r="C82" s="40" t="str">
        <f>IFERROR(__xludf.DUMMYFUNCTION("TEXTJOIN("", "",TRUE,UNIQUE(FILTER('Data Master'!$B$2:$B2880,'Data Master'!$J$2:$J2880=A82)))"),"penyuluh")</f>
        <v>penyuluh</v>
      </c>
    </row>
    <row r="83" hidden="1">
      <c r="C83" s="40" t="str">
        <f>IFERROR(__xludf.DUMMYFUNCTION("TEXTJOIN("", "",TRUE,UNIQUE(FILTER('Data Master'!$B$2:$B2880,'Data Master'!$J$2:$J2880=A83)))"),"penyuluh")</f>
        <v>penyuluh</v>
      </c>
    </row>
    <row r="84" hidden="1">
      <c r="C84" s="40" t="str">
        <f>IFERROR(__xludf.DUMMYFUNCTION("TEXTJOIN("", "",TRUE,UNIQUE(FILTER('Data Master'!$B$2:$B2880,'Data Master'!$J$2:$J2880=A84)))"),"penyuluh")</f>
        <v>penyuluh</v>
      </c>
    </row>
    <row r="85" hidden="1">
      <c r="C85" s="40" t="str">
        <f>IFERROR(__xludf.DUMMYFUNCTION("TEXTJOIN("", "",TRUE,UNIQUE(FILTER('Data Master'!$B$2:$B2880,'Data Master'!$J$2:$J2880=A85)))"),"penyuluh")</f>
        <v>penyuluh</v>
      </c>
    </row>
    <row r="86" hidden="1">
      <c r="C86" s="40" t="str">
        <f>IFERROR(__xludf.DUMMYFUNCTION("TEXTJOIN("", "",TRUE,UNIQUE(FILTER('Data Master'!$B$2:$B2880,'Data Master'!$J$2:$J2880=A86)))"),"penyuluh")</f>
        <v>penyuluh</v>
      </c>
    </row>
    <row r="87" hidden="1">
      <c r="C87" s="40" t="str">
        <f>IFERROR(__xludf.DUMMYFUNCTION("TEXTJOIN("", "",TRUE,UNIQUE(FILTER('Data Master'!$B$2:$B2880,'Data Master'!$J$2:$J2880=A87)))"),"penyuluh")</f>
        <v>penyuluh</v>
      </c>
    </row>
    <row r="88" hidden="1">
      <c r="C88" s="40" t="str">
        <f>IFERROR(__xludf.DUMMYFUNCTION("TEXTJOIN("", "",TRUE,UNIQUE(FILTER('Data Master'!$B$2:$B2880,'Data Master'!$J$2:$J2880=A88)))"),"penyuluh")</f>
        <v>penyuluh</v>
      </c>
    </row>
    <row r="89" hidden="1">
      <c r="C89" s="40" t="str">
        <f>IFERROR(__xludf.DUMMYFUNCTION("TEXTJOIN("", "",TRUE,UNIQUE(FILTER('Data Master'!$B$2:$B2880,'Data Master'!$J$2:$J2880=A89)))"),"penyuluh")</f>
        <v>penyuluh</v>
      </c>
    </row>
    <row r="90" hidden="1">
      <c r="C90" s="40" t="str">
        <f>IFERROR(__xludf.DUMMYFUNCTION("TEXTJOIN("", "",TRUE,UNIQUE(FILTER('Data Master'!$B$2:$B2880,'Data Master'!$J$2:$J2880=A90)))"),"penyuluh")</f>
        <v>penyuluh</v>
      </c>
    </row>
    <row r="91" hidden="1">
      <c r="C91" s="40" t="str">
        <f>IFERROR(__xludf.DUMMYFUNCTION("TEXTJOIN("", "",TRUE,UNIQUE(FILTER('Data Master'!$B$2:$B2880,'Data Master'!$J$2:$J2880=A91)))"),"penyuluh")</f>
        <v>penyuluh</v>
      </c>
    </row>
    <row r="92" hidden="1">
      <c r="C92" s="40" t="str">
        <f>IFERROR(__xludf.DUMMYFUNCTION("TEXTJOIN("", "",TRUE,UNIQUE(FILTER('Data Master'!$B$2:$B2880,'Data Master'!$J$2:$J2880=A92)))"),"penyuluh")</f>
        <v>penyuluh</v>
      </c>
    </row>
    <row r="93" hidden="1">
      <c r="C93" s="40" t="str">
        <f>IFERROR(__xludf.DUMMYFUNCTION("TEXTJOIN("", "",TRUE,UNIQUE(FILTER('Data Master'!$B$2:$B2880,'Data Master'!$J$2:$J2880=A93)))"),"penyuluh")</f>
        <v>penyuluh</v>
      </c>
    </row>
    <row r="94" hidden="1">
      <c r="C94" s="40" t="str">
        <f>IFERROR(__xludf.DUMMYFUNCTION("TEXTJOIN("", "",TRUE,UNIQUE(FILTER('Data Master'!$B$2:$B2880,'Data Master'!$J$2:$J2880=A94)))"),"penyuluh")</f>
        <v>penyuluh</v>
      </c>
    </row>
    <row r="95" hidden="1">
      <c r="C95" s="40" t="str">
        <f>IFERROR(__xludf.DUMMYFUNCTION("TEXTJOIN("", "",TRUE,UNIQUE(FILTER('Data Master'!$B$2:$B2880,'Data Master'!$J$2:$J2880=A95)))"),"penyuluh")</f>
        <v>penyuluh</v>
      </c>
    </row>
    <row r="96" hidden="1">
      <c r="C96" s="40" t="str">
        <f>IFERROR(__xludf.DUMMYFUNCTION("TEXTJOIN("", "",TRUE,UNIQUE(FILTER('Data Master'!$B$2:$B2880,'Data Master'!$J$2:$J2880=A96)))"),"penyuluh")</f>
        <v>penyuluh</v>
      </c>
    </row>
    <row r="97" hidden="1">
      <c r="C97" s="40" t="str">
        <f>IFERROR(__xludf.DUMMYFUNCTION("TEXTJOIN("", "",TRUE,UNIQUE(FILTER('Data Master'!$B$2:$B2880,'Data Master'!$J$2:$J2880=A97)))"),"penyuluh")</f>
        <v>penyuluh</v>
      </c>
    </row>
    <row r="98" hidden="1">
      <c r="C98" s="40" t="str">
        <f>IFERROR(__xludf.DUMMYFUNCTION("TEXTJOIN("", "",TRUE,UNIQUE(FILTER('Data Master'!$B$2:$B2880,'Data Master'!$J$2:$J2880=A98)))"),"penyuluh")</f>
        <v>penyuluh</v>
      </c>
    </row>
    <row r="99" hidden="1">
      <c r="C99" s="40" t="str">
        <f>IFERROR(__xludf.DUMMYFUNCTION("TEXTJOIN("", "",TRUE,UNIQUE(FILTER('Data Master'!$B$2:$B2880,'Data Master'!$J$2:$J2880=A99)))"),"penyuluh")</f>
        <v>penyuluh</v>
      </c>
    </row>
    <row r="100" hidden="1">
      <c r="C100" s="40" t="str">
        <f>IFERROR(__xludf.DUMMYFUNCTION("TEXTJOIN("", "",TRUE,UNIQUE(FILTER('Data Master'!$B$2:$B2880,'Data Master'!$J$2:$J2880=A100)))"),"penyuluh")</f>
        <v>penyuluh</v>
      </c>
    </row>
    <row r="101" hidden="1">
      <c r="C101" s="40" t="str">
        <f>IFERROR(__xludf.DUMMYFUNCTION("TEXTJOIN("", "",TRUE,UNIQUE(FILTER('Data Master'!$B$2:$B2880,'Data Master'!$J$2:$J2880=A101)))"),"penyuluh")</f>
        <v>penyuluh</v>
      </c>
    </row>
    <row r="102" hidden="1">
      <c r="C102" s="40" t="str">
        <f>IFERROR(__xludf.DUMMYFUNCTION("TEXTJOIN("", "",TRUE,UNIQUE(FILTER('Data Master'!$B$2:$B2880,'Data Master'!$J$2:$J2880=A102)))"),"penyuluh")</f>
        <v>penyuluh</v>
      </c>
    </row>
    <row r="103" hidden="1">
      <c r="C103" s="40" t="str">
        <f>IFERROR(__xludf.DUMMYFUNCTION("TEXTJOIN("", "",TRUE,UNIQUE(FILTER('Data Master'!$B$2:$B2880,'Data Master'!$J$2:$J2880=A103)))"),"penyuluh")</f>
        <v>penyuluh</v>
      </c>
    </row>
    <row r="104" hidden="1">
      <c r="C104" s="40" t="str">
        <f>IFERROR(__xludf.DUMMYFUNCTION("TEXTJOIN("", "",TRUE,UNIQUE(FILTER('Data Master'!$B$2:$B2880,'Data Master'!$J$2:$J2880=A104)))"),"penyuluh")</f>
        <v>penyuluh</v>
      </c>
    </row>
    <row r="105" hidden="1">
      <c r="C105" s="40" t="str">
        <f>IFERROR(__xludf.DUMMYFUNCTION("TEXTJOIN("", "",TRUE,UNIQUE(FILTER('Data Master'!$B$2:$B2880,'Data Master'!$J$2:$J2880=A105)))"),"penyuluh")</f>
        <v>penyuluh</v>
      </c>
    </row>
    <row r="106" hidden="1">
      <c r="C106" s="40" t="str">
        <f>IFERROR(__xludf.DUMMYFUNCTION("TEXTJOIN("", "",TRUE,UNIQUE(FILTER('Data Master'!$B$2:$B2880,'Data Master'!$J$2:$J2880=A106)))"),"penyuluh")</f>
        <v>penyuluh</v>
      </c>
    </row>
    <row r="107" hidden="1">
      <c r="C107" s="40" t="str">
        <f>IFERROR(__xludf.DUMMYFUNCTION("TEXTJOIN("", "",TRUE,UNIQUE(FILTER('Data Master'!$B$2:$B2880,'Data Master'!$J$2:$J2880=A107)))"),"penyuluh")</f>
        <v>penyuluh</v>
      </c>
    </row>
    <row r="108" hidden="1">
      <c r="C108" s="40" t="str">
        <f>IFERROR(__xludf.DUMMYFUNCTION("TEXTJOIN("", "",TRUE,UNIQUE(FILTER('Data Master'!$B$2:$B2880,'Data Master'!$J$2:$J2880=A108)))"),"penyuluh")</f>
        <v>penyuluh</v>
      </c>
    </row>
    <row r="109" hidden="1">
      <c r="C109" s="40" t="str">
        <f>IFERROR(__xludf.DUMMYFUNCTION("TEXTJOIN("", "",TRUE,UNIQUE(FILTER('Data Master'!$B$2:$B2880,'Data Master'!$J$2:$J2880=A109)))"),"penyuluh")</f>
        <v>penyuluh</v>
      </c>
    </row>
    <row r="110" hidden="1">
      <c r="C110" s="40" t="str">
        <f>IFERROR(__xludf.DUMMYFUNCTION("TEXTJOIN("", "",TRUE,UNIQUE(FILTER('Data Master'!$B$2:$B2880,'Data Master'!$J$2:$J2880=A110)))"),"penyuluh")</f>
        <v>penyuluh</v>
      </c>
    </row>
    <row r="111" hidden="1">
      <c r="C111" s="40" t="str">
        <f>IFERROR(__xludf.DUMMYFUNCTION("TEXTJOIN("", "",TRUE,UNIQUE(FILTER('Data Master'!$B$2:$B2880,'Data Master'!$J$2:$J2880=A111)))"),"penyuluh")</f>
        <v>penyuluh</v>
      </c>
    </row>
    <row r="112" hidden="1">
      <c r="C112" s="40" t="str">
        <f>IFERROR(__xludf.DUMMYFUNCTION("TEXTJOIN("", "",TRUE,UNIQUE(FILTER('Data Master'!$B$2:$B2880,'Data Master'!$J$2:$J2880=A112)))"),"penyuluh")</f>
        <v>penyuluh</v>
      </c>
    </row>
    <row r="113" hidden="1">
      <c r="C113" s="40" t="str">
        <f>IFERROR(__xludf.DUMMYFUNCTION("TEXTJOIN("", "",TRUE,UNIQUE(FILTER('Data Master'!$B$2:$B2880,'Data Master'!$J$2:$J2880=A113)))"),"penyuluh")</f>
        <v>penyuluh</v>
      </c>
    </row>
    <row r="114" hidden="1">
      <c r="C114" s="40" t="str">
        <f>IFERROR(__xludf.DUMMYFUNCTION("TEXTJOIN("", "",TRUE,UNIQUE(FILTER('Data Master'!$B$2:$B2880,'Data Master'!$J$2:$J2880=A114)))"),"penyuluh")</f>
        <v>penyuluh</v>
      </c>
    </row>
    <row r="115" hidden="1">
      <c r="C115" s="40" t="str">
        <f>IFERROR(__xludf.DUMMYFUNCTION("TEXTJOIN("", "",TRUE,UNIQUE(FILTER('Data Master'!$B$2:$B2880,'Data Master'!$J$2:$J2880=A115)))"),"penyuluh")</f>
        <v>penyuluh</v>
      </c>
    </row>
    <row r="116" hidden="1">
      <c r="C116" s="40" t="str">
        <f>IFERROR(__xludf.DUMMYFUNCTION("TEXTJOIN("", "",TRUE,UNIQUE(FILTER('Data Master'!$B$2:$B2880,'Data Master'!$J$2:$J2880=A116)))"),"penyuluh")</f>
        <v>penyuluh</v>
      </c>
    </row>
    <row r="117" hidden="1">
      <c r="C117" s="40" t="str">
        <f>IFERROR(__xludf.DUMMYFUNCTION("TEXTJOIN("", "",TRUE,UNIQUE(FILTER('Data Master'!$B$2:$B2880,'Data Master'!$J$2:$J2880=A117)))"),"penyuluh")</f>
        <v>penyuluh</v>
      </c>
    </row>
    <row r="118" hidden="1">
      <c r="C118" s="40" t="str">
        <f>IFERROR(__xludf.DUMMYFUNCTION("TEXTJOIN("", "",TRUE,UNIQUE(FILTER('Data Master'!$B$2:$B2880,'Data Master'!$J$2:$J2880=A118)))"),"penyuluh")</f>
        <v>penyuluh</v>
      </c>
    </row>
    <row r="119" hidden="1">
      <c r="C119" s="40" t="str">
        <f>IFERROR(__xludf.DUMMYFUNCTION("TEXTJOIN("", "",TRUE,UNIQUE(FILTER('Data Master'!$B$2:$B2880,'Data Master'!$J$2:$J2880=A119)))"),"penyuluh")</f>
        <v>penyuluh</v>
      </c>
    </row>
    <row r="120" hidden="1">
      <c r="C120" s="40" t="str">
        <f>IFERROR(__xludf.DUMMYFUNCTION("TEXTJOIN("", "",TRUE,UNIQUE(FILTER('Data Master'!$B$2:$B2880,'Data Master'!$J$2:$J2880=A120)))"),"penyuluh")</f>
        <v>penyuluh</v>
      </c>
    </row>
    <row r="121" hidden="1">
      <c r="C121" s="40" t="str">
        <f>IFERROR(__xludf.DUMMYFUNCTION("TEXTJOIN("", "",TRUE,UNIQUE(FILTER('Data Master'!$B$2:$B2880,'Data Master'!$J$2:$J2880=A121)))"),"penyuluh")</f>
        <v>penyuluh</v>
      </c>
    </row>
    <row r="122" hidden="1">
      <c r="C122" s="40" t="str">
        <f>IFERROR(__xludf.DUMMYFUNCTION("TEXTJOIN("", "",TRUE,UNIQUE(FILTER('Data Master'!$B$2:$B2880,'Data Master'!$J$2:$J2880=A122)))"),"penyuluh")</f>
        <v>penyuluh</v>
      </c>
    </row>
    <row r="123" hidden="1">
      <c r="C123" s="40" t="str">
        <f>IFERROR(__xludf.DUMMYFUNCTION("TEXTJOIN("", "",TRUE,UNIQUE(FILTER('Data Master'!$B$2:$B2880,'Data Master'!$J$2:$J2880=A123)))"),"penyuluh")</f>
        <v>penyuluh</v>
      </c>
    </row>
    <row r="124" hidden="1">
      <c r="C124" s="40" t="str">
        <f>IFERROR(__xludf.DUMMYFUNCTION("TEXTJOIN("", "",TRUE,UNIQUE(FILTER('Data Master'!$B$2:$B2880,'Data Master'!$J$2:$J2880=A124)))"),"penyuluh")</f>
        <v>penyuluh</v>
      </c>
    </row>
    <row r="125" hidden="1">
      <c r="C125" s="40" t="str">
        <f>IFERROR(__xludf.DUMMYFUNCTION("TEXTJOIN("", "",TRUE,UNIQUE(FILTER('Data Master'!$B$2:$B2880,'Data Master'!$J$2:$J2880=A125)))"),"penyuluh")</f>
        <v>penyuluh</v>
      </c>
    </row>
    <row r="126" hidden="1">
      <c r="C126" s="40" t="str">
        <f>IFERROR(__xludf.DUMMYFUNCTION("TEXTJOIN("", "",TRUE,UNIQUE(FILTER('Data Master'!$B$2:$B2880,'Data Master'!$J$2:$J2880=A126)))"),"penyuluh")</f>
        <v>penyuluh</v>
      </c>
    </row>
    <row r="127" hidden="1">
      <c r="C127" s="40" t="str">
        <f>IFERROR(__xludf.DUMMYFUNCTION("TEXTJOIN("", "",TRUE,UNIQUE(FILTER('Data Master'!$B$2:$B2880,'Data Master'!$J$2:$J2880=A127)))"),"penyuluh")</f>
        <v>penyuluh</v>
      </c>
    </row>
    <row r="128" hidden="1">
      <c r="C128" s="40" t="str">
        <f>IFERROR(__xludf.DUMMYFUNCTION("TEXTJOIN("", "",TRUE,UNIQUE(FILTER('Data Master'!$B$2:$B2880,'Data Master'!$J$2:$J2880=A128)))"),"penyuluh")</f>
        <v>penyuluh</v>
      </c>
    </row>
    <row r="129" hidden="1">
      <c r="C129" s="40" t="str">
        <f>IFERROR(__xludf.DUMMYFUNCTION("TEXTJOIN("", "",TRUE,UNIQUE(FILTER('Data Master'!$B$2:$B2880,'Data Master'!$J$2:$J2880=A129)))"),"penyuluh")</f>
        <v>penyuluh</v>
      </c>
    </row>
    <row r="130" hidden="1">
      <c r="C130" s="40" t="str">
        <f>IFERROR(__xludf.DUMMYFUNCTION("TEXTJOIN("", "",TRUE,UNIQUE(FILTER('Data Master'!$B$2:$B2880,'Data Master'!$J$2:$J2880=A130)))"),"operator admin")</f>
        <v>operator admin</v>
      </c>
    </row>
    <row r="131" hidden="1">
      <c r="C131" s="40" t="str">
        <f>IFERROR(__xludf.DUMMYFUNCTION("TEXTJOIN("", "",TRUE,UNIQUE(FILTER('Data Master'!$B$2:$B2880,'Data Master'!$J$2:$J2880=A131)))"),"penyuluh")</f>
        <v>penyuluh</v>
      </c>
    </row>
    <row r="132" hidden="1">
      <c r="C132" s="40" t="str">
        <f>IFERROR(__xludf.DUMMYFUNCTION("TEXTJOIN("", "",TRUE,UNIQUE(FILTER('Data Master'!$B$2:$B2880,'Data Master'!$J$2:$J2880=A132)))"),"penyuluh")</f>
        <v>penyuluh</v>
      </c>
    </row>
    <row r="133" hidden="1">
      <c r="C133" s="40" t="str">
        <f>IFERROR(__xludf.DUMMYFUNCTION("TEXTJOIN("", "",TRUE,UNIQUE(FILTER('Data Master'!$B$2:$B2880,'Data Master'!$J$2:$J2880=A133)))"),"penyuluh")</f>
        <v>penyuluh</v>
      </c>
    </row>
    <row r="134" hidden="1">
      <c r="C134" s="40" t="str">
        <f>IFERROR(__xludf.DUMMYFUNCTION("TEXTJOIN("", "",TRUE,UNIQUE(FILTER('Data Master'!$B$2:$B2880,'Data Master'!$J$2:$J2880=A134)))"),"penyuluh")</f>
        <v>penyuluh</v>
      </c>
    </row>
    <row r="135" hidden="1">
      <c r="C135" s="40" t="str">
        <f>IFERROR(__xludf.DUMMYFUNCTION("TEXTJOIN("", "",TRUE,UNIQUE(FILTER('Data Master'!$B$2:$B2880,'Data Master'!$J$2:$J2880=A135)))"),"penyuluh")</f>
        <v>penyuluh</v>
      </c>
    </row>
    <row r="136" hidden="1">
      <c r="C136" s="40" t="str">
        <f>IFERROR(__xludf.DUMMYFUNCTION("TEXTJOIN("", "",TRUE,UNIQUE(FILTER('Data Master'!$B$2:$B2880,'Data Master'!$J$2:$J2880=A136)))"),"penyuluh")</f>
        <v>penyuluh</v>
      </c>
    </row>
    <row r="137" hidden="1">
      <c r="C137" s="40" t="str">
        <f>IFERROR(__xludf.DUMMYFUNCTION("TEXTJOIN("", "",TRUE,UNIQUE(FILTER('Data Master'!$B$2:$B2880,'Data Master'!$J$2:$J2880=A137)))"),"penyuluh")</f>
        <v>penyuluh</v>
      </c>
    </row>
    <row r="138" hidden="1">
      <c r="C138" s="40" t="str">
        <f>IFERROR(__xludf.DUMMYFUNCTION("TEXTJOIN("", "",TRUE,UNIQUE(FILTER('Data Master'!$B$2:$B2880,'Data Master'!$J$2:$J2880=A138)))"),"penyuluh")</f>
        <v>penyuluh</v>
      </c>
    </row>
    <row r="139" hidden="1">
      <c r="C139" s="40" t="str">
        <f>IFERROR(__xludf.DUMMYFUNCTION("TEXTJOIN("", "",TRUE,UNIQUE(FILTER('Data Master'!$B$2:$B2880,'Data Master'!$J$2:$J2880=A139)))"),"penyuluh")</f>
        <v>penyuluh</v>
      </c>
    </row>
    <row r="140" hidden="1">
      <c r="C140" s="40" t="str">
        <f>IFERROR(__xludf.DUMMYFUNCTION("TEXTJOIN("", "",TRUE,UNIQUE(FILTER('Data Master'!$B$2:$B2880,'Data Master'!$J$2:$J2880=A140)))"),"penyuluh")</f>
        <v>penyuluh</v>
      </c>
    </row>
    <row r="141" hidden="1">
      <c r="C141" s="40" t="str">
        <f>IFERROR(__xludf.DUMMYFUNCTION("TEXTJOIN("", "",TRUE,UNIQUE(FILTER('Data Master'!$B$2:$B2880,'Data Master'!$J$2:$J2880=A141)))"),"penyuluh")</f>
        <v>penyuluh</v>
      </c>
    </row>
    <row r="142" hidden="1">
      <c r="C142" s="40" t="str">
        <f>IFERROR(__xludf.DUMMYFUNCTION("TEXTJOIN("", "",TRUE,UNIQUE(FILTER('Data Master'!$B$2:$B2880,'Data Master'!$J$2:$J2880=A142)))"),"penyuluh")</f>
        <v>penyuluh</v>
      </c>
    </row>
    <row r="143" hidden="1">
      <c r="C143" s="40" t="str">
        <f>IFERROR(__xludf.DUMMYFUNCTION("TEXTJOIN("", "",TRUE,UNIQUE(FILTER('Data Master'!$B$2:$B2880,'Data Master'!$J$2:$J2880=A143)))"),"penyuluh")</f>
        <v>penyuluh</v>
      </c>
    </row>
    <row r="144" hidden="1">
      <c r="C144" s="40" t="str">
        <f>IFERROR(__xludf.DUMMYFUNCTION("TEXTJOIN("", "",TRUE,UNIQUE(FILTER('Data Master'!$B$2:$B2880,'Data Master'!$J$2:$J2880=A144)))"),"penyuluh")</f>
        <v>penyuluh</v>
      </c>
    </row>
    <row r="145" hidden="1">
      <c r="C145" s="40" t="str">
        <f>IFERROR(__xludf.DUMMYFUNCTION("TEXTJOIN("", "",TRUE,UNIQUE(FILTER('Data Master'!$B$2:$B2880,'Data Master'!$J$2:$J2880=A145)))"),"penyuluh")</f>
        <v>penyuluh</v>
      </c>
    </row>
    <row r="146" hidden="1">
      <c r="C146" s="40" t="str">
        <f>IFERROR(__xludf.DUMMYFUNCTION("TEXTJOIN("", "",TRUE,UNIQUE(FILTER('Data Master'!$B$2:$B2880,'Data Master'!$J$2:$J2880=A146)))"),"penyuluh")</f>
        <v>penyuluh</v>
      </c>
    </row>
    <row r="147">
      <c r="C147" s="43" t="str">
        <f>IFERROR(__xludf.DUMMYFUNCTION("TEXTJOIN("", "",TRUE,UNIQUE(FILTER('Data Master'!$B$2:$B2880,'Data Master'!$J$2:$J2880=A147)))"),"penyuluh, petani")</f>
        <v>penyuluh, petani</v>
      </c>
    </row>
    <row r="148" hidden="1">
      <c r="C148" s="40" t="str">
        <f>IFERROR(__xludf.DUMMYFUNCTION("TEXTJOIN("", "",TRUE,UNIQUE(FILTER('Data Master'!$B$2:$B2880,'Data Master'!$J$2:$J2880=A148)))"),"penyuluh")</f>
        <v>penyuluh</v>
      </c>
    </row>
    <row r="149" hidden="1">
      <c r="C149" s="40" t="str">
        <f>IFERROR(__xludf.DUMMYFUNCTION("TEXTJOIN("", "",TRUE,UNIQUE(FILTER('Data Master'!$B$2:$B2880,'Data Master'!$J$2:$J2880=A149)))"),"penyuluh")</f>
        <v>penyuluh</v>
      </c>
    </row>
    <row r="150" hidden="1">
      <c r="C150" s="40" t="str">
        <f>IFERROR(__xludf.DUMMYFUNCTION("TEXTJOIN("", "",TRUE,UNIQUE(FILTER('Data Master'!$B$2:$B2880,'Data Master'!$J$2:$J2880=A150)))"),"penyuluh")</f>
        <v>penyuluh</v>
      </c>
    </row>
    <row r="151" hidden="1">
      <c r="C151" s="40" t="str">
        <f>IFERROR(__xludf.DUMMYFUNCTION("TEXTJOIN("", "",TRUE,UNIQUE(FILTER('Data Master'!$B$2:$B2880,'Data Master'!$J$2:$J2880=A151)))"),"penyuluh")</f>
        <v>penyuluh</v>
      </c>
    </row>
    <row r="152" hidden="1">
      <c r="C152" s="40" t="str">
        <f>IFERROR(__xludf.DUMMYFUNCTION("TEXTJOIN("", "",TRUE,UNIQUE(FILTER('Data Master'!$B$2:$B2880,'Data Master'!$J$2:$J2880=A152)))"),"penyuluh")</f>
        <v>penyuluh</v>
      </c>
    </row>
    <row r="153" hidden="1">
      <c r="C153" s="40" t="str">
        <f>IFERROR(__xludf.DUMMYFUNCTION("TEXTJOIN("", "",TRUE,UNIQUE(FILTER('Data Master'!$B$2:$B2880,'Data Master'!$J$2:$J2880=A153)))"),"penyuluh")</f>
        <v>penyuluh</v>
      </c>
    </row>
    <row r="154" hidden="1">
      <c r="C154" s="40" t="str">
        <f>IFERROR(__xludf.DUMMYFUNCTION("TEXTJOIN("", "",TRUE,UNIQUE(FILTER('Data Master'!$B$2:$B2880,'Data Master'!$J$2:$J2880=A154)))"),"penyuluh")</f>
        <v>penyuluh</v>
      </c>
    </row>
    <row r="155" hidden="1">
      <c r="C155" s="40" t="str">
        <f>IFERROR(__xludf.DUMMYFUNCTION("TEXTJOIN("", "",TRUE,UNIQUE(FILTER('Data Master'!$B$2:$B2880,'Data Master'!$J$2:$J2880=A155)))"),"penyuluh")</f>
        <v>penyuluh</v>
      </c>
    </row>
    <row r="156" hidden="1">
      <c r="C156" s="40" t="str">
        <f>IFERROR(__xludf.DUMMYFUNCTION("TEXTJOIN("", "",TRUE,UNIQUE(FILTER('Data Master'!$B$2:$B2880,'Data Master'!$J$2:$J2880=A156)))"),"penyuluh")</f>
        <v>penyuluh</v>
      </c>
    </row>
    <row r="157" hidden="1">
      <c r="C157" s="40" t="str">
        <f>IFERROR(__xludf.DUMMYFUNCTION("TEXTJOIN("", "",TRUE,UNIQUE(FILTER('Data Master'!$B$2:$B2880,'Data Master'!$J$2:$J2880=A157)))"),"penyuluh")</f>
        <v>penyuluh</v>
      </c>
    </row>
    <row r="158" hidden="1">
      <c r="C158" s="40" t="str">
        <f>IFERROR(__xludf.DUMMYFUNCTION("TEXTJOIN("", "",TRUE,UNIQUE(FILTER('Data Master'!$B$2:$B2880,'Data Master'!$J$2:$J2880=A158)))"),"penyuluh")</f>
        <v>penyuluh</v>
      </c>
    </row>
    <row r="159" hidden="1">
      <c r="C159" s="40" t="str">
        <f>IFERROR(__xludf.DUMMYFUNCTION("TEXTJOIN("", "",TRUE,UNIQUE(FILTER('Data Master'!$B$2:$B2880,'Data Master'!$J$2:$J2880=A159)))"),"penyuluh")</f>
        <v>penyuluh</v>
      </c>
    </row>
    <row r="160" hidden="1">
      <c r="C160" s="40" t="str">
        <f>IFERROR(__xludf.DUMMYFUNCTION("TEXTJOIN("", "",TRUE,UNIQUE(FILTER('Data Master'!$B$2:$B2880,'Data Master'!$J$2:$J2880=A160)))"),"penyuluh")</f>
        <v>penyuluh</v>
      </c>
    </row>
    <row r="161" hidden="1">
      <c r="C161" s="40" t="str">
        <f>IFERROR(__xludf.DUMMYFUNCTION("TEXTJOIN("", "",TRUE,UNIQUE(FILTER('Data Master'!$B$2:$B2880,'Data Master'!$J$2:$J2880=A161)))"),"penyuluh")</f>
        <v>penyuluh</v>
      </c>
    </row>
    <row r="162" hidden="1">
      <c r="C162" s="40" t="str">
        <f>IFERROR(__xludf.DUMMYFUNCTION("TEXTJOIN("", "",TRUE,UNIQUE(FILTER('Data Master'!$B$2:$B2880,'Data Master'!$J$2:$J2880=A162)))"),"penyuluh")</f>
        <v>penyuluh</v>
      </c>
    </row>
    <row r="163" hidden="1">
      <c r="C163" s="40" t="str">
        <f>IFERROR(__xludf.DUMMYFUNCTION("TEXTJOIN("", "",TRUE,UNIQUE(FILTER('Data Master'!$B$2:$B2880,'Data Master'!$J$2:$J2880=A163)))"),"penyuluh")</f>
        <v>penyuluh</v>
      </c>
    </row>
    <row r="164" hidden="1">
      <c r="C164" s="40" t="str">
        <f>IFERROR(__xludf.DUMMYFUNCTION("TEXTJOIN("", "",TRUE,UNIQUE(FILTER('Data Master'!$B$2:$B2880,'Data Master'!$J$2:$J2880=A164)))"),"penyuluh")</f>
        <v>penyuluh</v>
      </c>
    </row>
    <row r="165" hidden="1">
      <c r="C165" s="40" t="str">
        <f>IFERROR(__xludf.DUMMYFUNCTION("TEXTJOIN("", "",TRUE,UNIQUE(FILTER('Data Master'!$B$2:$B2880,'Data Master'!$J$2:$J2880=A165)))"),"penyuluh")</f>
        <v>penyuluh</v>
      </c>
    </row>
    <row r="166" hidden="1">
      <c r="C166" s="40" t="str">
        <f>IFERROR(__xludf.DUMMYFUNCTION("TEXTJOIN("", "",TRUE,UNIQUE(FILTER('Data Master'!$B$2:$B2880,'Data Master'!$J$2:$J2880=A166)))"),"penyuluh")</f>
        <v>penyuluh</v>
      </c>
    </row>
    <row r="167" hidden="1">
      <c r="C167" s="40" t="str">
        <f>IFERROR(__xludf.DUMMYFUNCTION("TEXTJOIN("", "",TRUE,UNIQUE(FILTER('Data Master'!$B$2:$B2880,'Data Master'!$J$2:$J2880=A167)))"),"penyuluh")</f>
        <v>penyuluh</v>
      </c>
    </row>
    <row r="168" hidden="1">
      <c r="C168" s="40" t="str">
        <f>IFERROR(__xludf.DUMMYFUNCTION("TEXTJOIN("", "",TRUE,UNIQUE(FILTER('Data Master'!$B$2:$B2880,'Data Master'!$J$2:$J2880=A168)))"),"penyuluh")</f>
        <v>penyuluh</v>
      </c>
    </row>
    <row r="169" hidden="1">
      <c r="C169" s="40" t="str">
        <f>IFERROR(__xludf.DUMMYFUNCTION("TEXTJOIN("", "",TRUE,UNIQUE(FILTER('Data Master'!$B$2:$B2880,'Data Master'!$J$2:$J2880=A169)))"),"penyuluh")</f>
        <v>penyuluh</v>
      </c>
    </row>
    <row r="170" hidden="1">
      <c r="C170" s="40" t="str">
        <f>IFERROR(__xludf.DUMMYFUNCTION("TEXTJOIN("", "",TRUE,UNIQUE(FILTER('Data Master'!$B$2:$B2880,'Data Master'!$J$2:$J2880=A170)))"),"penyuluh")</f>
        <v>penyuluh</v>
      </c>
    </row>
    <row r="171" hidden="1">
      <c r="C171" s="40" t="str">
        <f>IFERROR(__xludf.DUMMYFUNCTION("TEXTJOIN("", "",TRUE,UNIQUE(FILTER('Data Master'!$B$2:$B2880,'Data Master'!$J$2:$J2880=A171)))"),"penyuluh")</f>
        <v>penyuluh</v>
      </c>
    </row>
    <row r="172" hidden="1">
      <c r="C172" s="40" t="str">
        <f>IFERROR(__xludf.DUMMYFUNCTION("TEXTJOIN("", "",TRUE,UNIQUE(FILTER('Data Master'!$B$2:$B2880,'Data Master'!$J$2:$J2880=A172)))"),"penyuluh")</f>
        <v>penyuluh</v>
      </c>
    </row>
    <row r="173" hidden="1">
      <c r="C173" s="40" t="str">
        <f>IFERROR(__xludf.DUMMYFUNCTION("TEXTJOIN("", "",TRUE,UNIQUE(FILTER('Data Master'!$B$2:$B2880,'Data Master'!$J$2:$J2880=A173)))"),"penyuluh")</f>
        <v>penyuluh</v>
      </c>
    </row>
    <row r="174" hidden="1">
      <c r="C174" s="40" t="str">
        <f>IFERROR(__xludf.DUMMYFUNCTION("TEXTJOIN("", "",TRUE,UNIQUE(FILTER('Data Master'!$B$2:$B2880,'Data Master'!$J$2:$J2880=A174)))"),"penyuluh")</f>
        <v>penyuluh</v>
      </c>
    </row>
    <row r="175" hidden="1">
      <c r="C175" s="40" t="str">
        <f>IFERROR(__xludf.DUMMYFUNCTION("TEXTJOIN("", "",TRUE,UNIQUE(FILTER('Data Master'!$B$2:$B2880,'Data Master'!$J$2:$J2880=A175)))"),"penyuluh")</f>
        <v>penyuluh</v>
      </c>
    </row>
    <row r="176" hidden="1">
      <c r="C176" s="40" t="str">
        <f>IFERROR(__xludf.DUMMYFUNCTION("TEXTJOIN("", "",TRUE,UNIQUE(FILTER('Data Master'!$B$2:$B2880,'Data Master'!$J$2:$J2880=A176)))"),"penyuluh")</f>
        <v>penyuluh</v>
      </c>
    </row>
    <row r="177" hidden="1">
      <c r="C177" s="40" t="str">
        <f>IFERROR(__xludf.DUMMYFUNCTION("TEXTJOIN("", "",TRUE,UNIQUE(FILTER('Data Master'!$B$2:$B2880,'Data Master'!$J$2:$J2880=A177)))"),"penyuluh")</f>
        <v>penyuluh</v>
      </c>
    </row>
    <row r="178" hidden="1">
      <c r="C178" s="40" t="str">
        <f>IFERROR(__xludf.DUMMYFUNCTION("TEXTJOIN("", "",TRUE,UNIQUE(FILTER('Data Master'!$B$2:$B2880,'Data Master'!$J$2:$J2880=A178)))"),"penyuluh")</f>
        <v>penyuluh</v>
      </c>
    </row>
    <row r="179" hidden="1">
      <c r="C179" s="40" t="str">
        <f>IFERROR(__xludf.DUMMYFUNCTION("TEXTJOIN("", "",TRUE,UNIQUE(FILTER('Data Master'!$B$2:$B2880,'Data Master'!$J$2:$J2880=A179)))"),"penyuluh")</f>
        <v>penyuluh</v>
      </c>
    </row>
    <row r="180" hidden="1">
      <c r="C180" s="40" t="str">
        <f>IFERROR(__xludf.DUMMYFUNCTION("TEXTJOIN("", "",TRUE,UNIQUE(FILTER('Data Master'!$B$2:$B2880,'Data Master'!$J$2:$J2880=A180)))"),"penyuluh")</f>
        <v>penyuluh</v>
      </c>
    </row>
    <row r="181" hidden="1">
      <c r="C181" s="40" t="str">
        <f>IFERROR(__xludf.DUMMYFUNCTION("TEXTJOIN("", "",TRUE,UNIQUE(FILTER('Data Master'!$B$2:$B2880,'Data Master'!$J$2:$J2880=A181)))"),"penyuluh")</f>
        <v>penyuluh</v>
      </c>
    </row>
    <row r="182" hidden="1">
      <c r="C182" s="40" t="str">
        <f>IFERROR(__xludf.DUMMYFUNCTION("TEXTJOIN("", "",TRUE,UNIQUE(FILTER('Data Master'!$B$2:$B2880,'Data Master'!$J$2:$J2880=A182)))"),"penyuluh")</f>
        <v>penyuluh</v>
      </c>
    </row>
    <row r="183" hidden="1">
      <c r="C183" s="40" t="str">
        <f>IFERROR(__xludf.DUMMYFUNCTION("TEXTJOIN("", "",TRUE,UNIQUE(FILTER('Data Master'!$B$2:$B2880,'Data Master'!$J$2:$J2880=A183)))"),"penyuluh")</f>
        <v>penyuluh</v>
      </c>
    </row>
    <row r="184" hidden="1">
      <c r="C184" s="40" t="str">
        <f>IFERROR(__xludf.DUMMYFUNCTION("TEXTJOIN("", "",TRUE,UNIQUE(FILTER('Data Master'!$B$2:$B2880,'Data Master'!$J$2:$J2880=A184)))"),"penyuluh")</f>
        <v>penyuluh</v>
      </c>
    </row>
    <row r="185" hidden="1">
      <c r="C185" s="40" t="str">
        <f>IFERROR(__xludf.DUMMYFUNCTION("TEXTJOIN("", "",TRUE,UNIQUE(FILTER('Data Master'!$B$2:$B2880,'Data Master'!$J$2:$J2880=A185)))"),"penyuluh")</f>
        <v>penyuluh</v>
      </c>
    </row>
    <row r="186" hidden="1">
      <c r="C186" s="40" t="str">
        <f>IFERROR(__xludf.DUMMYFUNCTION("TEXTJOIN("", "",TRUE,UNIQUE(FILTER('Data Master'!$B$2:$B2880,'Data Master'!$J$2:$J2880=A186)))"),"penyuluh")</f>
        <v>penyuluh</v>
      </c>
    </row>
    <row r="187" hidden="1">
      <c r="C187" s="40" t="str">
        <f>IFERROR(__xludf.DUMMYFUNCTION("TEXTJOIN("", "",TRUE,UNIQUE(FILTER('Data Master'!$B$2:$B2880,'Data Master'!$J$2:$J2880=A187)))"),"penyuluh")</f>
        <v>penyuluh</v>
      </c>
    </row>
    <row r="188" hidden="1">
      <c r="C188" s="40" t="str">
        <f>IFERROR(__xludf.DUMMYFUNCTION("TEXTJOIN("", "",TRUE,UNIQUE(FILTER('Data Master'!$B$2:$B2880,'Data Master'!$J$2:$J2880=A188)))"),"penyuluh")</f>
        <v>penyuluh</v>
      </c>
    </row>
    <row r="189" hidden="1">
      <c r="C189" s="40" t="str">
        <f>IFERROR(__xludf.DUMMYFUNCTION("TEXTJOIN("", "",TRUE,UNIQUE(FILTER('Data Master'!$B$2:$B2880,'Data Master'!$J$2:$J2880=A189)))"),"penyuluh")</f>
        <v>penyuluh</v>
      </c>
    </row>
    <row r="190" hidden="1">
      <c r="C190" s="40" t="str">
        <f>IFERROR(__xludf.DUMMYFUNCTION("TEXTJOIN("", "",TRUE,UNIQUE(FILTER('Data Master'!$B$2:$B2880,'Data Master'!$J$2:$J2880=A190)))"),"penyuluh")</f>
        <v>penyuluh</v>
      </c>
    </row>
    <row r="191" hidden="1">
      <c r="C191" s="40" t="str">
        <f>IFERROR(__xludf.DUMMYFUNCTION("TEXTJOIN("", "",TRUE,UNIQUE(FILTER('Data Master'!$B$2:$B2880,'Data Master'!$J$2:$J2880=A191)))"),"penyuluh")</f>
        <v>penyuluh</v>
      </c>
    </row>
    <row r="192" hidden="1">
      <c r="C192" s="40" t="str">
        <f>IFERROR(__xludf.DUMMYFUNCTION("TEXTJOIN("", "",TRUE,UNIQUE(FILTER('Data Master'!$B$2:$B2880,'Data Master'!$J$2:$J2880=A192)))"),"penyuluh")</f>
        <v>penyuluh</v>
      </c>
    </row>
    <row r="193" hidden="1">
      <c r="C193" s="40" t="str">
        <f>IFERROR(__xludf.DUMMYFUNCTION("TEXTJOIN("", "",TRUE,UNIQUE(FILTER('Data Master'!$B$2:$B2880,'Data Master'!$J$2:$J2880=A193)))"),"penyuluh")</f>
        <v>penyuluh</v>
      </c>
    </row>
    <row r="194" hidden="1">
      <c r="C194" s="40" t="str">
        <f>IFERROR(__xludf.DUMMYFUNCTION("TEXTJOIN("", "",TRUE,UNIQUE(FILTER('Data Master'!$B$2:$B2880,'Data Master'!$J$2:$J2880=A194)))"),"penyuluh")</f>
        <v>penyuluh</v>
      </c>
    </row>
    <row r="195" hidden="1">
      <c r="C195" s="40" t="str">
        <f>IFERROR(__xludf.DUMMYFUNCTION("TEXTJOIN("", "",TRUE,UNIQUE(FILTER('Data Master'!$B$2:$B2880,'Data Master'!$J$2:$J2880=A195)))"),"penyuluh")</f>
        <v>penyuluh</v>
      </c>
    </row>
    <row r="196" hidden="1">
      <c r="C196" s="40" t="str">
        <f>IFERROR(__xludf.DUMMYFUNCTION("TEXTJOIN("", "",TRUE,UNIQUE(FILTER('Data Master'!$B$2:$B2880,'Data Master'!$J$2:$J2880=A196)))"),"penyuluh")</f>
        <v>penyuluh</v>
      </c>
    </row>
    <row r="197" hidden="1">
      <c r="C197" s="40" t="str">
        <f>IFERROR(__xludf.DUMMYFUNCTION("TEXTJOIN("", "",TRUE,UNIQUE(FILTER('Data Master'!$B$2:$B2880,'Data Master'!$J$2:$J2880=A197)))"),"penyuluh")</f>
        <v>penyuluh</v>
      </c>
    </row>
    <row r="198" hidden="1">
      <c r="C198" s="40" t="str">
        <f>IFERROR(__xludf.DUMMYFUNCTION("TEXTJOIN("", "",TRUE,UNIQUE(FILTER('Data Master'!$B$2:$B2880,'Data Master'!$J$2:$J2880=A198)))"),"penyuluh")</f>
        <v>penyuluh</v>
      </c>
    </row>
    <row r="199" hidden="1">
      <c r="C199" s="40" t="str">
        <f>IFERROR(__xludf.DUMMYFUNCTION("TEXTJOIN("", "",TRUE,UNIQUE(FILTER('Data Master'!$B$2:$B2880,'Data Master'!$J$2:$J2880=A199)))"),"penyuluh")</f>
        <v>penyuluh</v>
      </c>
    </row>
    <row r="200" hidden="1">
      <c r="C200" s="40" t="str">
        <f>IFERROR(__xludf.DUMMYFUNCTION("TEXTJOIN("", "",TRUE,UNIQUE(FILTER('Data Master'!$B$2:$B2880,'Data Master'!$J$2:$J2880=A200)))"),"penyuluh")</f>
        <v>penyuluh</v>
      </c>
    </row>
    <row r="201" hidden="1">
      <c r="C201" s="40" t="str">
        <f>IFERROR(__xludf.DUMMYFUNCTION("TEXTJOIN("", "",TRUE,UNIQUE(FILTER('Data Master'!$B$2:$B2880,'Data Master'!$J$2:$J2880=A201)))"),"petani")</f>
        <v>petani</v>
      </c>
    </row>
    <row r="202" hidden="1">
      <c r="C202" s="40" t="str">
        <f>IFERROR(__xludf.DUMMYFUNCTION("TEXTJOIN("", "",TRUE,UNIQUE(FILTER('Data Master'!$B$2:$B2880,'Data Master'!$J$2:$J2880=A202)))"),"petani")</f>
        <v>petani</v>
      </c>
    </row>
    <row r="203" hidden="1">
      <c r="C203" s="40" t="str">
        <f>IFERROR(__xludf.DUMMYFUNCTION("TEXTJOIN("", "",TRUE,UNIQUE(FILTER('Data Master'!$B$2:$B2880,'Data Master'!$J$2:$J2880=A203)))"),"petani")</f>
        <v>petani</v>
      </c>
    </row>
    <row r="204" hidden="1">
      <c r="C204" s="40" t="str">
        <f>IFERROR(__xludf.DUMMYFUNCTION("TEXTJOIN("", "",TRUE,UNIQUE(FILTER('Data Master'!$B$2:$B2880,'Data Master'!$J$2:$J2880=A204)))"),"petani")</f>
        <v>petani</v>
      </c>
    </row>
    <row r="205" hidden="1">
      <c r="C205" s="40" t="str">
        <f>IFERROR(__xludf.DUMMYFUNCTION("TEXTJOIN("", "",TRUE,UNIQUE(FILTER('Data Master'!$B$2:$B2880,'Data Master'!$J$2:$J2880=A205)))"),"operator admin")</f>
        <v>operator admin</v>
      </c>
    </row>
    <row r="206" hidden="1">
      <c r="C206" s="40" t="str">
        <f>IFERROR(__xludf.DUMMYFUNCTION("TEXTJOIN("", "",TRUE,UNIQUE(FILTER('Data Master'!$B$2:$B2880,'Data Master'!$J$2:$J2880=A206)))"),"petani")</f>
        <v>petani</v>
      </c>
    </row>
    <row r="207" hidden="1">
      <c r="C207" s="40" t="str">
        <f>IFERROR(__xludf.DUMMYFUNCTION("TEXTJOIN("", "",TRUE,UNIQUE(FILTER('Data Master'!$B$2:$B2880,'Data Master'!$J$2:$J2880=A207)))"),"petani")</f>
        <v>petani</v>
      </c>
    </row>
    <row r="208" hidden="1">
      <c r="C208" s="40" t="str">
        <f>IFERROR(__xludf.DUMMYFUNCTION("TEXTJOIN("", "",TRUE,UNIQUE(FILTER('Data Master'!$B$2:$B2880,'Data Master'!$J$2:$J2880=A208)))"),"petani")</f>
        <v>petani</v>
      </c>
    </row>
    <row r="209" hidden="1">
      <c r="C209" s="40" t="str">
        <f>IFERROR(__xludf.DUMMYFUNCTION("TEXTJOIN("", "",TRUE,UNIQUE(FILTER('Data Master'!$B$2:$B2880,'Data Master'!$J$2:$J2880=A209)))"),"petani")</f>
        <v>petani</v>
      </c>
    </row>
    <row r="210" hidden="1">
      <c r="C210" s="40" t="str">
        <f>IFERROR(__xludf.DUMMYFUNCTION("TEXTJOIN("", "",TRUE,UNIQUE(FILTER('Data Master'!$B$2:$B2880,'Data Master'!$J$2:$J2880=A210)))"),"petani")</f>
        <v>petani</v>
      </c>
    </row>
    <row r="211" hidden="1">
      <c r="C211" s="40" t="str">
        <f>IFERROR(__xludf.DUMMYFUNCTION("TEXTJOIN("", "",TRUE,UNIQUE(FILTER('Data Master'!$B$2:$B2880,'Data Master'!$J$2:$J2880=A211)))"),"petani")</f>
        <v>petani</v>
      </c>
    </row>
    <row r="212" hidden="1">
      <c r="C212" s="40" t="str">
        <f>IFERROR(__xludf.DUMMYFUNCTION("TEXTJOIN("", "",TRUE,UNIQUE(FILTER('Data Master'!$B$2:$B2880,'Data Master'!$J$2:$J2880=A212)))"),"petani")</f>
        <v>petani</v>
      </c>
    </row>
    <row r="213" hidden="1">
      <c r="C213" s="40" t="str">
        <f>IFERROR(__xludf.DUMMYFUNCTION("TEXTJOIN("", "",TRUE,UNIQUE(FILTER('Data Master'!$B$2:$B2880,'Data Master'!$J$2:$J2880=A213)))"),"petani")</f>
        <v>petani</v>
      </c>
    </row>
    <row r="214" hidden="1">
      <c r="C214" s="40" t="str">
        <f>IFERROR(__xludf.DUMMYFUNCTION("TEXTJOIN("", "",TRUE,UNIQUE(FILTER('Data Master'!$B$2:$B2880,'Data Master'!$J$2:$J2880=A214)))"),"petani")</f>
        <v>petani</v>
      </c>
    </row>
    <row r="215" hidden="1">
      <c r="C215" s="40" t="str">
        <f>IFERROR(__xludf.DUMMYFUNCTION("TEXTJOIN("", "",TRUE,UNIQUE(FILTER('Data Master'!$B$2:$B2880,'Data Master'!$J$2:$J2880=A215)))"),"petani")</f>
        <v>petani</v>
      </c>
    </row>
    <row r="216" hidden="1">
      <c r="C216" s="40" t="str">
        <f>IFERROR(__xludf.DUMMYFUNCTION("TEXTJOIN("", "",TRUE,UNIQUE(FILTER('Data Master'!$B$2:$B2880,'Data Master'!$J$2:$J2880=A216)))"),"petani")</f>
        <v>petani</v>
      </c>
    </row>
    <row r="217" hidden="1">
      <c r="C217" s="40" t="str">
        <f>IFERROR(__xludf.DUMMYFUNCTION("TEXTJOIN("", "",TRUE,UNIQUE(FILTER('Data Master'!$B$2:$B2880,'Data Master'!$J$2:$J2880=A217)))"),"petani")</f>
        <v>petani</v>
      </c>
    </row>
    <row r="218" hidden="1">
      <c r="C218" s="40" t="str">
        <f>IFERROR(__xludf.DUMMYFUNCTION("TEXTJOIN("", "",TRUE,UNIQUE(FILTER('Data Master'!$B$2:$B2880,'Data Master'!$J$2:$J2880=A218)))"),"petani")</f>
        <v>petani</v>
      </c>
    </row>
    <row r="219" hidden="1">
      <c r="C219" s="40" t="str">
        <f>IFERROR(__xludf.DUMMYFUNCTION("TEXTJOIN("", "",TRUE,UNIQUE(FILTER('Data Master'!$B$2:$B2880,'Data Master'!$J$2:$J2880=A219)))"),"petani")</f>
        <v>petani</v>
      </c>
    </row>
    <row r="220" hidden="1">
      <c r="C220" s="40" t="str">
        <f>IFERROR(__xludf.DUMMYFUNCTION("TEXTJOIN("", "",TRUE,UNIQUE(FILTER('Data Master'!$B$2:$B2880,'Data Master'!$J$2:$J2880=A220)))"),"petani")</f>
        <v>petani</v>
      </c>
    </row>
    <row r="221" hidden="1">
      <c r="C221" s="40" t="str">
        <f>IFERROR(__xludf.DUMMYFUNCTION("TEXTJOIN("", "",TRUE,UNIQUE(FILTER('Data Master'!$B$2:$B2880,'Data Master'!$J$2:$J2880=A221)))"),"petani")</f>
        <v>petani</v>
      </c>
    </row>
    <row r="222" hidden="1">
      <c r="C222" s="40" t="str">
        <f>IFERROR(__xludf.DUMMYFUNCTION("TEXTJOIN("", "",TRUE,UNIQUE(FILTER('Data Master'!$B$2:$B2880,'Data Master'!$J$2:$J2880=A222)))"),"operator super admin")</f>
        <v>operator super admin</v>
      </c>
    </row>
    <row r="223" hidden="1">
      <c r="C223" s="40" t="str">
        <f>IFERROR(__xludf.DUMMYFUNCTION("TEXTJOIN("", "",TRUE,UNIQUE(FILTER('Data Master'!$B$2:$B2880,'Data Master'!$J$2:$J2880=A223)))"),"penyuluh")</f>
        <v>penyuluh</v>
      </c>
    </row>
    <row r="224" hidden="1">
      <c r="C224" s="40" t="str">
        <f>IFERROR(__xludf.DUMMYFUNCTION("TEXTJOIN("", "",TRUE,UNIQUE(FILTER('Data Master'!$B$2:$B2880,'Data Master'!$J$2:$J2880=A224)))"),"penyuluh")</f>
        <v>penyuluh</v>
      </c>
    </row>
    <row r="225" hidden="1">
      <c r="C225" s="40" t="str">
        <f>IFERROR(__xludf.DUMMYFUNCTION("TEXTJOIN("", "",TRUE,UNIQUE(FILTER('Data Master'!$B$2:$B2880,'Data Master'!$J$2:$J2880=A225)))"),"penyuluh")</f>
        <v>penyuluh</v>
      </c>
    </row>
    <row r="226" hidden="1">
      <c r="C226" s="40" t="str">
        <f>IFERROR(__xludf.DUMMYFUNCTION("TEXTJOIN("", "",TRUE,UNIQUE(FILTER('Data Master'!$B$2:$B2880,'Data Master'!$J$2:$J2880=A226)))"),"petani")</f>
        <v>petani</v>
      </c>
    </row>
    <row r="227" hidden="1">
      <c r="C227" s="40" t="str">
        <f>IFERROR(__xludf.DUMMYFUNCTION("TEXTJOIN("", "",TRUE,UNIQUE(FILTER('Data Master'!$B$2:$B2880,'Data Master'!$J$2:$J2880=A227)))"),"penyuluh")</f>
        <v>penyuluh</v>
      </c>
    </row>
    <row r="228" hidden="1">
      <c r="C228" s="40" t="str">
        <f>IFERROR(__xludf.DUMMYFUNCTION("TEXTJOIN("", "",TRUE,UNIQUE(FILTER('Data Master'!$B$2:$B2880,'Data Master'!$J$2:$J2880=A228)))"),"petani")</f>
        <v>petani</v>
      </c>
    </row>
    <row r="229">
      <c r="C229" s="43" t="str">
        <f>IFERROR(__xludf.DUMMYFUNCTION("TEXTJOIN("", "",TRUE,UNIQUE(FILTER('Data Master'!$B$2:$B2880,'Data Master'!$J$2:$J2880=A229)))"),"operator admin, penyuluh")</f>
        <v>operator admin, penyuluh</v>
      </c>
    </row>
    <row r="230" hidden="1">
      <c r="C230" s="40" t="str">
        <f>IFERROR(__xludf.DUMMYFUNCTION("TEXTJOIN("", "",TRUE,UNIQUE(FILTER('Data Master'!$B$2:$B2880,'Data Master'!$J$2:$J2880=A230)))"),"petani")</f>
        <v>petani</v>
      </c>
    </row>
    <row r="231" hidden="1">
      <c r="C231" s="40" t="str">
        <f>IFERROR(__xludf.DUMMYFUNCTION("TEXTJOIN("", "",TRUE,UNIQUE(FILTER('Data Master'!$B$2:$B2880,'Data Master'!$J$2:$J2880=A231)))"),"petani")</f>
        <v>petani</v>
      </c>
    </row>
    <row r="232" hidden="1">
      <c r="C232" s="40" t="str">
        <f>IFERROR(__xludf.DUMMYFUNCTION("TEXTJOIN("", "",TRUE,UNIQUE(FILTER('Data Master'!$B$2:$B2880,'Data Master'!$J$2:$J2880=A232)))"),"petani")</f>
        <v>petani</v>
      </c>
    </row>
    <row r="233" hidden="1">
      <c r="C233" s="40" t="str">
        <f>IFERROR(__xludf.DUMMYFUNCTION("TEXTJOIN("", "",TRUE,UNIQUE(FILTER('Data Master'!$B$2:$B2880,'Data Master'!$J$2:$J2880=A233)))"),"petani")</f>
        <v>petani</v>
      </c>
    </row>
    <row r="234" hidden="1">
      <c r="C234" s="40" t="str">
        <f>IFERROR(__xludf.DUMMYFUNCTION("TEXTJOIN("", "",TRUE,UNIQUE(FILTER('Data Master'!$B$2:$B2880,'Data Master'!$J$2:$J2880=A234)))"),"petani")</f>
        <v>petani</v>
      </c>
    </row>
    <row r="235" hidden="1">
      <c r="C235" s="40" t="str">
        <f>IFERROR(__xludf.DUMMYFUNCTION("TEXTJOIN("", "",TRUE,UNIQUE(FILTER('Data Master'!$B$2:$B2880,'Data Master'!$J$2:$J2880=A235)))"),"petani")</f>
        <v>petani</v>
      </c>
    </row>
    <row r="236" hidden="1">
      <c r="C236" s="40" t="str">
        <f>IFERROR(__xludf.DUMMYFUNCTION("TEXTJOIN("", "",TRUE,UNIQUE(FILTER('Data Master'!$B$2:$B2880,'Data Master'!$J$2:$J2880=A236)))"),"petani")</f>
        <v>petani</v>
      </c>
    </row>
    <row r="237" hidden="1">
      <c r="C237" s="40" t="str">
        <f>IFERROR(__xludf.DUMMYFUNCTION("TEXTJOIN("", "",TRUE,UNIQUE(FILTER('Data Master'!$B$2:$B2880,'Data Master'!$J$2:$J2880=A237)))"),"petani")</f>
        <v>petani</v>
      </c>
    </row>
    <row r="238" hidden="1">
      <c r="C238" s="40" t="str">
        <f>IFERROR(__xludf.DUMMYFUNCTION("TEXTJOIN("", "",TRUE,UNIQUE(FILTER('Data Master'!$B$2:$B2880,'Data Master'!$J$2:$J2880=A238)))"),"petani")</f>
        <v>petani</v>
      </c>
    </row>
    <row r="239" hidden="1">
      <c r="C239" s="40" t="str">
        <f>IFERROR(__xludf.DUMMYFUNCTION("TEXTJOIN("", "",TRUE,UNIQUE(FILTER('Data Master'!$B$2:$B2880,'Data Master'!$J$2:$J2880=A239)))"),"petani")</f>
        <v>petani</v>
      </c>
    </row>
    <row r="240" hidden="1">
      <c r="C240" s="40" t="str">
        <f>IFERROR(__xludf.DUMMYFUNCTION("TEXTJOIN("", "",TRUE,UNIQUE(FILTER('Data Master'!$B$2:$B2880,'Data Master'!$J$2:$J2880=A240)))"),"petani")</f>
        <v>petani</v>
      </c>
    </row>
    <row r="241" hidden="1">
      <c r="C241" s="40" t="str">
        <f>IFERROR(__xludf.DUMMYFUNCTION("TEXTJOIN("", "",TRUE,UNIQUE(FILTER('Data Master'!$B$2:$B2880,'Data Master'!$J$2:$J2880=A241)))"),"petani")</f>
        <v>petani</v>
      </c>
    </row>
    <row r="242" hidden="1">
      <c r="C242" s="40" t="str">
        <f>IFERROR(__xludf.DUMMYFUNCTION("TEXTJOIN("", "",TRUE,UNIQUE(FILTER('Data Master'!$B$2:$B2880,'Data Master'!$J$2:$J2880=A242)))"),"petani")</f>
        <v>petani</v>
      </c>
    </row>
    <row r="243" hidden="1">
      <c r="C243" s="40" t="str">
        <f>IFERROR(__xludf.DUMMYFUNCTION("TEXTJOIN("", "",TRUE,UNIQUE(FILTER('Data Master'!$B$2:$B2880,'Data Master'!$J$2:$J2880=A243)))"),"petani")</f>
        <v>petani</v>
      </c>
    </row>
    <row r="244" hidden="1">
      <c r="C244" s="40" t="str">
        <f>IFERROR(__xludf.DUMMYFUNCTION("TEXTJOIN("", "",TRUE,UNIQUE(FILTER('Data Master'!$B$2:$B2880,'Data Master'!$J$2:$J2880=A244)))"),"petani")</f>
        <v>petani</v>
      </c>
    </row>
    <row r="245" hidden="1">
      <c r="C245" s="40" t="str">
        <f>IFERROR(__xludf.DUMMYFUNCTION("TEXTJOIN("", "",TRUE,UNIQUE(FILTER('Data Master'!$B$2:$B2880,'Data Master'!$J$2:$J2880=A245)))"),"petani")</f>
        <v>petani</v>
      </c>
    </row>
    <row r="246" hidden="1">
      <c r="C246" s="40" t="str">
        <f>IFERROR(__xludf.DUMMYFUNCTION("TEXTJOIN("", "",TRUE,UNIQUE(FILTER('Data Master'!$B$2:$B2880,'Data Master'!$J$2:$J2880=A246)))"),"petani")</f>
        <v>petani</v>
      </c>
    </row>
    <row r="247" hidden="1">
      <c r="C247" s="40" t="str">
        <f>IFERROR(__xludf.DUMMYFUNCTION("TEXTJOIN("", "",TRUE,UNIQUE(FILTER('Data Master'!$B$2:$B2880,'Data Master'!$J$2:$J2880=A247)))"),"petani")</f>
        <v>petani</v>
      </c>
    </row>
    <row r="248" hidden="1">
      <c r="C248" s="40" t="str">
        <f>IFERROR(__xludf.DUMMYFUNCTION("TEXTJOIN("", "",TRUE,UNIQUE(FILTER('Data Master'!$B$2:$B2880,'Data Master'!$J$2:$J2880=A248)))"),"petani")</f>
        <v>petani</v>
      </c>
    </row>
    <row r="249" hidden="1">
      <c r="C249" s="40" t="str">
        <f>IFERROR(__xludf.DUMMYFUNCTION("TEXTJOIN("", "",TRUE,UNIQUE(FILTER('Data Master'!$B$2:$B2880,'Data Master'!$J$2:$J2880=A249)))"),"petani")</f>
        <v>petani</v>
      </c>
    </row>
    <row r="250" hidden="1">
      <c r="C250" s="40" t="str">
        <f>IFERROR(__xludf.DUMMYFUNCTION("TEXTJOIN("", "",TRUE,UNIQUE(FILTER('Data Master'!$B$2:$B2880,'Data Master'!$J$2:$J2880=A250)))"),"petani")</f>
        <v>petani</v>
      </c>
    </row>
    <row r="251" hidden="1">
      <c r="C251" s="40" t="str">
        <f>IFERROR(__xludf.DUMMYFUNCTION("TEXTJOIN("", "",TRUE,UNIQUE(FILTER('Data Master'!$B$2:$B2880,'Data Master'!$J$2:$J2880=A251)))"),"petani")</f>
        <v>petani</v>
      </c>
    </row>
    <row r="252" hidden="1">
      <c r="C252" s="40" t="str">
        <f>IFERROR(__xludf.DUMMYFUNCTION("TEXTJOIN("", "",TRUE,UNIQUE(FILTER('Data Master'!$B$2:$B2880,'Data Master'!$J$2:$J2880=A252)))"),"petani")</f>
        <v>petani</v>
      </c>
    </row>
    <row r="253" hidden="1">
      <c r="C253" s="40" t="str">
        <f>IFERROR(__xludf.DUMMYFUNCTION("TEXTJOIN("", "",TRUE,UNIQUE(FILTER('Data Master'!$B$2:$B2880,'Data Master'!$J$2:$J2880=A253)))"),"petani")</f>
        <v>petani</v>
      </c>
    </row>
    <row r="254" hidden="1">
      <c r="C254" s="40" t="str">
        <f>IFERROR(__xludf.DUMMYFUNCTION("TEXTJOIN("", "",TRUE,UNIQUE(FILTER('Data Master'!$B$2:$B2880,'Data Master'!$J$2:$J2880=A254)))"),"petani")</f>
        <v>petani</v>
      </c>
    </row>
    <row r="255" hidden="1">
      <c r="C255" s="40" t="str">
        <f>IFERROR(__xludf.DUMMYFUNCTION("TEXTJOIN("", "",TRUE,UNIQUE(FILTER('Data Master'!$B$2:$B2880,'Data Master'!$J$2:$J2880=A255)))"),"petani")</f>
        <v>petani</v>
      </c>
    </row>
    <row r="256" hidden="1">
      <c r="C256" s="40" t="str">
        <f>IFERROR(__xludf.DUMMYFUNCTION("TEXTJOIN("", "",TRUE,UNIQUE(FILTER('Data Master'!$B$2:$B2880,'Data Master'!$J$2:$J2880=A256)))"),"petani")</f>
        <v>petani</v>
      </c>
    </row>
    <row r="257" hidden="1">
      <c r="C257" s="40" t="str">
        <f>IFERROR(__xludf.DUMMYFUNCTION("TEXTJOIN("", "",TRUE,UNIQUE(FILTER('Data Master'!$B$2:$B2880,'Data Master'!$J$2:$J2880=A257)))"),"petani")</f>
        <v>petani</v>
      </c>
    </row>
    <row r="258" hidden="1">
      <c r="C258" s="40" t="str">
        <f>IFERROR(__xludf.DUMMYFUNCTION("TEXTJOIN("", "",TRUE,UNIQUE(FILTER('Data Master'!$B$2:$B2880,'Data Master'!$J$2:$J2880=A258)))"),"petani")</f>
        <v>petani</v>
      </c>
    </row>
    <row r="259" hidden="1">
      <c r="C259" s="40" t="str">
        <f>IFERROR(__xludf.DUMMYFUNCTION("TEXTJOIN("", "",TRUE,UNIQUE(FILTER('Data Master'!$B$2:$B2880,'Data Master'!$J$2:$J2880=A259)))"),"petani")</f>
        <v>petani</v>
      </c>
    </row>
    <row r="260" hidden="1">
      <c r="C260" s="40" t="str">
        <f>IFERROR(__xludf.DUMMYFUNCTION("TEXTJOIN("", "",TRUE,UNIQUE(FILTER('Data Master'!$B$2:$B2880,'Data Master'!$J$2:$J2880=A260)))"),"petani")</f>
        <v>petani</v>
      </c>
    </row>
    <row r="261" hidden="1">
      <c r="C261" s="40" t="str">
        <f>IFERROR(__xludf.DUMMYFUNCTION("TEXTJOIN("", "",TRUE,UNIQUE(FILTER('Data Master'!$B$2:$B2880,'Data Master'!$J$2:$J2880=A261)))"),"petani")</f>
        <v>petani</v>
      </c>
    </row>
    <row r="262" hidden="1">
      <c r="C262" s="40" t="str">
        <f>IFERROR(__xludf.DUMMYFUNCTION("TEXTJOIN("", "",TRUE,UNIQUE(FILTER('Data Master'!$B$2:$B2880,'Data Master'!$J$2:$J2880=A262)))"),"petani")</f>
        <v>petani</v>
      </c>
    </row>
    <row r="263" hidden="1">
      <c r="C263" s="40" t="str">
        <f>IFERROR(__xludf.DUMMYFUNCTION("TEXTJOIN("", "",TRUE,UNIQUE(FILTER('Data Master'!$B$2:$B2880,'Data Master'!$J$2:$J2880=A263)))"),"petani")</f>
        <v>petani</v>
      </c>
    </row>
    <row r="264" hidden="1">
      <c r="C264" s="40" t="str">
        <f>IFERROR(__xludf.DUMMYFUNCTION("TEXTJOIN("", "",TRUE,UNIQUE(FILTER('Data Master'!$B$2:$B2880,'Data Master'!$J$2:$J2880=A264)))"),"petani")</f>
        <v>petani</v>
      </c>
    </row>
    <row r="265" hidden="1">
      <c r="C265" s="40" t="str">
        <f>IFERROR(__xludf.DUMMYFUNCTION("TEXTJOIN("", "",TRUE,UNIQUE(FILTER('Data Master'!$B$2:$B2880,'Data Master'!$J$2:$J2880=A265)))"),"petani")</f>
        <v>petani</v>
      </c>
    </row>
    <row r="266" hidden="1">
      <c r="C266" s="40" t="str">
        <f>IFERROR(__xludf.DUMMYFUNCTION("TEXTJOIN("", "",TRUE,UNIQUE(FILTER('Data Master'!$B$2:$B2880,'Data Master'!$J$2:$J2880=A266)))"),"petani")</f>
        <v>petani</v>
      </c>
    </row>
    <row r="267" hidden="1">
      <c r="C267" s="40" t="str">
        <f>IFERROR(__xludf.DUMMYFUNCTION("TEXTJOIN("", "",TRUE,UNIQUE(FILTER('Data Master'!$B$2:$B2880,'Data Master'!$J$2:$J2880=A267)))"),"petani")</f>
        <v>petani</v>
      </c>
    </row>
    <row r="268" hidden="1">
      <c r="C268" s="40" t="str">
        <f>IFERROR(__xludf.DUMMYFUNCTION("TEXTJOIN("", "",TRUE,UNIQUE(FILTER('Data Master'!$B$2:$B2880,'Data Master'!$J$2:$J2880=A268)))"),"petani")</f>
        <v>petani</v>
      </c>
    </row>
    <row r="269" hidden="1">
      <c r="C269" s="40" t="str">
        <f>IFERROR(__xludf.DUMMYFUNCTION("TEXTJOIN("", "",TRUE,UNIQUE(FILTER('Data Master'!$B$2:$B2880,'Data Master'!$J$2:$J2880=A269)))"),"petani")</f>
        <v>petani</v>
      </c>
    </row>
    <row r="270" hidden="1">
      <c r="C270" s="40" t="str">
        <f>IFERROR(__xludf.DUMMYFUNCTION("TEXTJOIN("", "",TRUE,UNIQUE(FILTER('Data Master'!$B$2:$B2880,'Data Master'!$J$2:$J2880=A270)))"),"petani")</f>
        <v>petani</v>
      </c>
    </row>
    <row r="271" hidden="1">
      <c r="C271" s="40" t="str">
        <f>IFERROR(__xludf.DUMMYFUNCTION("TEXTJOIN("", "",TRUE,UNIQUE(FILTER('Data Master'!$B$2:$B2880,'Data Master'!$J$2:$J2880=A271)))"),"petani")</f>
        <v>petani</v>
      </c>
    </row>
    <row r="272" hidden="1">
      <c r="C272" s="40" t="str">
        <f>IFERROR(__xludf.DUMMYFUNCTION("TEXTJOIN("", "",TRUE,UNIQUE(FILTER('Data Master'!$B$2:$B2880,'Data Master'!$J$2:$J2880=A272)))"),"petani")</f>
        <v>petani</v>
      </c>
    </row>
    <row r="273">
      <c r="C273" s="43" t="str">
        <f>IFERROR(__xludf.DUMMYFUNCTION("TEXTJOIN("", "",TRUE,UNIQUE(FILTER('Data Master'!$B$2:$B2880,'Data Master'!$J$2:$J2880=A273)))"),"penyuluh")</f>
        <v>penyuluh</v>
      </c>
    </row>
    <row r="274" hidden="1">
      <c r="C274" s="40" t="str">
        <f>IFERROR(__xludf.DUMMYFUNCTION("TEXTJOIN("", "",TRUE,UNIQUE(FILTER('Data Master'!$B$2:$B2880,'Data Master'!$J$2:$J2880=A274)))"),"petani")</f>
        <v>petani</v>
      </c>
    </row>
    <row r="275" hidden="1">
      <c r="C275" s="40" t="str">
        <f>IFERROR(__xludf.DUMMYFUNCTION("TEXTJOIN("", "",TRUE,UNIQUE(FILTER('Data Master'!$B$2:$B2880,'Data Master'!$J$2:$J2880=A275)))"),"petani")</f>
        <v>petani</v>
      </c>
    </row>
    <row r="276" hidden="1">
      <c r="C276" s="40" t="str">
        <f>IFERROR(__xludf.DUMMYFUNCTION("TEXTJOIN("", "",TRUE,UNIQUE(FILTER('Data Master'!$B$2:$B2880,'Data Master'!$J$2:$J2880=A276)))"),"petani")</f>
        <v>petani</v>
      </c>
    </row>
    <row r="277" hidden="1">
      <c r="C277" s="40" t="str">
        <f>IFERROR(__xludf.DUMMYFUNCTION("TEXTJOIN("", "",TRUE,UNIQUE(FILTER('Data Master'!$B$2:$B2880,'Data Master'!$J$2:$J2880=A277)))"),"petani")</f>
        <v>petani</v>
      </c>
    </row>
    <row r="278" hidden="1">
      <c r="C278" s="40" t="str">
        <f>IFERROR(__xludf.DUMMYFUNCTION("TEXTJOIN("", "",TRUE,UNIQUE(FILTER('Data Master'!$B$2:$B2880,'Data Master'!$J$2:$J2880=A278)))"),"petani")</f>
        <v>petani</v>
      </c>
    </row>
    <row r="279" hidden="1">
      <c r="C279" s="40" t="str">
        <f>IFERROR(__xludf.DUMMYFUNCTION("TEXTJOIN("", "",TRUE,UNIQUE(FILTER('Data Master'!$B$2:$B2880,'Data Master'!$J$2:$J2880=A279)))"),"petani")</f>
        <v>petani</v>
      </c>
    </row>
    <row r="280" hidden="1">
      <c r="C280" s="40" t="str">
        <f>IFERROR(__xludf.DUMMYFUNCTION("TEXTJOIN("", "",TRUE,UNIQUE(FILTER('Data Master'!$B$2:$B2880,'Data Master'!$J$2:$J2880=A280)))"),"petani")</f>
        <v>petani</v>
      </c>
    </row>
    <row r="281" hidden="1">
      <c r="C281" s="40" t="str">
        <f>IFERROR(__xludf.DUMMYFUNCTION("TEXTJOIN("", "",TRUE,UNIQUE(FILTER('Data Master'!$B$2:$B2880,'Data Master'!$J$2:$J2880=A281)))"),"petani")</f>
        <v>petani</v>
      </c>
    </row>
    <row r="282" hidden="1">
      <c r="C282" s="40" t="str">
        <f>IFERROR(__xludf.DUMMYFUNCTION("TEXTJOIN("", "",TRUE,UNIQUE(FILTER('Data Master'!$B$2:$B2880,'Data Master'!$J$2:$J2880=A282)))"),"petani")</f>
        <v>petani</v>
      </c>
    </row>
    <row r="283" hidden="1">
      <c r="C283" s="40" t="str">
        <f>IFERROR(__xludf.DUMMYFUNCTION("TEXTJOIN("", "",TRUE,UNIQUE(FILTER('Data Master'!$B$2:$B2880,'Data Master'!$J$2:$J2880=A283)))"),"petani")</f>
        <v>petani</v>
      </c>
    </row>
    <row r="284" hidden="1">
      <c r="C284" s="40" t="str">
        <f>IFERROR(__xludf.DUMMYFUNCTION("TEXTJOIN("", "",TRUE,UNIQUE(FILTER('Data Master'!$B$2:$B2880,'Data Master'!$J$2:$J2880=A284)))"),"petani")</f>
        <v>petani</v>
      </c>
    </row>
    <row r="285" hidden="1">
      <c r="C285" s="40" t="str">
        <f>IFERROR(__xludf.DUMMYFUNCTION("TEXTJOIN("", "",TRUE,UNIQUE(FILTER('Data Master'!$B$2:$B2880,'Data Master'!$J$2:$J2880=A285)))"),"petani")</f>
        <v>petani</v>
      </c>
    </row>
    <row r="286" hidden="1">
      <c r="C286" s="40" t="str">
        <f>IFERROR(__xludf.DUMMYFUNCTION("TEXTJOIN("", "",TRUE,UNIQUE(FILTER('Data Master'!$B$2:$B2880,'Data Master'!$J$2:$J2880=A286)))"),"petani")</f>
        <v>petani</v>
      </c>
    </row>
    <row r="287" hidden="1">
      <c r="C287" s="40" t="str">
        <f>IFERROR(__xludf.DUMMYFUNCTION("TEXTJOIN("", "",TRUE,UNIQUE(FILTER('Data Master'!$B$2:$B2880,'Data Master'!$J$2:$J2880=A287)))"),"petani")</f>
        <v>petani</v>
      </c>
    </row>
    <row r="288" hidden="1">
      <c r="C288" s="40" t="str">
        <f>IFERROR(__xludf.DUMMYFUNCTION("TEXTJOIN("", "",TRUE,UNIQUE(FILTER('Data Master'!$B$2:$B2880,'Data Master'!$J$2:$J2880=A288)))"),"petani")</f>
        <v>petani</v>
      </c>
    </row>
    <row r="289" hidden="1">
      <c r="C289" s="40" t="str">
        <f>IFERROR(__xludf.DUMMYFUNCTION("TEXTJOIN("", "",TRUE,UNIQUE(FILTER('Data Master'!$B$2:$B2880,'Data Master'!$J$2:$J2880=A289)))"),"petani")</f>
        <v>petani</v>
      </c>
    </row>
    <row r="290" hidden="1">
      <c r="C290" s="40" t="str">
        <f>IFERROR(__xludf.DUMMYFUNCTION("TEXTJOIN("", "",TRUE,UNIQUE(FILTER('Data Master'!$B$2:$B2880,'Data Master'!$J$2:$J2880=A290)))"),"petani")</f>
        <v>petani</v>
      </c>
    </row>
    <row r="291" hidden="1">
      <c r="C291" s="40" t="str">
        <f>IFERROR(__xludf.DUMMYFUNCTION("TEXTJOIN("", "",TRUE,UNIQUE(FILTER('Data Master'!$B$2:$B2880,'Data Master'!$J$2:$J2880=A291)))"),"petani")</f>
        <v>petani</v>
      </c>
    </row>
    <row r="292" hidden="1">
      <c r="C292" s="40" t="str">
        <f>IFERROR(__xludf.DUMMYFUNCTION("TEXTJOIN("", "",TRUE,UNIQUE(FILTER('Data Master'!$B$2:$B2880,'Data Master'!$J$2:$J2880=A292)))"),"petani")</f>
        <v>petani</v>
      </c>
    </row>
    <row r="293" hidden="1">
      <c r="C293" s="40" t="str">
        <f>IFERROR(__xludf.DUMMYFUNCTION("TEXTJOIN("", "",TRUE,UNIQUE(FILTER('Data Master'!$B$2:$B2880,'Data Master'!$J$2:$J2880=A293)))"),"petani")</f>
        <v>petani</v>
      </c>
    </row>
    <row r="294" hidden="1">
      <c r="C294" s="40" t="str">
        <f>IFERROR(__xludf.DUMMYFUNCTION("TEXTJOIN("", "",TRUE,UNIQUE(FILTER('Data Master'!$B$2:$B2880,'Data Master'!$J$2:$J2880=A294)))"),"petani")</f>
        <v>petani</v>
      </c>
    </row>
    <row r="295" hidden="1">
      <c r="C295" s="40" t="str">
        <f>IFERROR(__xludf.DUMMYFUNCTION("TEXTJOIN("", "",TRUE,UNIQUE(FILTER('Data Master'!$B$2:$B2880,'Data Master'!$J$2:$J2880=A295)))"),"petani")</f>
        <v>petani</v>
      </c>
    </row>
    <row r="296" hidden="1">
      <c r="C296" s="40" t="str">
        <f>IFERROR(__xludf.DUMMYFUNCTION("TEXTJOIN("", "",TRUE,UNIQUE(FILTER('Data Master'!$B$2:$B2880,'Data Master'!$J$2:$J2880=A296)))"),"petani")</f>
        <v>petani</v>
      </c>
    </row>
    <row r="297" hidden="1">
      <c r="C297" s="40" t="str">
        <f>IFERROR(__xludf.DUMMYFUNCTION("TEXTJOIN("", "",TRUE,UNIQUE(FILTER('Data Master'!$B$2:$B2880,'Data Master'!$J$2:$J2880=A297)))"),"petani")</f>
        <v>petani</v>
      </c>
    </row>
    <row r="298" hidden="1">
      <c r="C298" s="40" t="str">
        <f>IFERROR(__xludf.DUMMYFUNCTION("TEXTJOIN("", "",TRUE,UNIQUE(FILTER('Data Master'!$B$2:$B2880,'Data Master'!$J$2:$J2880=A298)))"),"petani")</f>
        <v>petani</v>
      </c>
    </row>
    <row r="299" hidden="1">
      <c r="C299" s="40" t="str">
        <f>IFERROR(__xludf.DUMMYFUNCTION("TEXTJOIN("", "",TRUE,UNIQUE(FILTER('Data Master'!$B$2:$B2880,'Data Master'!$J$2:$J2880=A299)))"),"petani")</f>
        <v>petani</v>
      </c>
    </row>
    <row r="300" hidden="1">
      <c r="C300" s="40" t="str">
        <f>IFERROR(__xludf.DUMMYFUNCTION("TEXTJOIN("", "",TRUE,UNIQUE(FILTER('Data Master'!$B$2:$B2880,'Data Master'!$J$2:$J2880=A300)))"),"petani")</f>
        <v>petani</v>
      </c>
    </row>
    <row r="301" hidden="1">
      <c r="C301" s="40" t="str">
        <f>IFERROR(__xludf.DUMMYFUNCTION("TEXTJOIN("", "",TRUE,UNIQUE(FILTER('Data Master'!$B$2:$B2880,'Data Master'!$J$2:$J2880=A301)))"),"petani")</f>
        <v>petani</v>
      </c>
    </row>
    <row r="302" hidden="1">
      <c r="C302" s="40" t="str">
        <f>IFERROR(__xludf.DUMMYFUNCTION("TEXTJOIN("", "",TRUE,UNIQUE(FILTER('Data Master'!$B$2:$B2880,'Data Master'!$J$2:$J2880=A302)))"),"petani")</f>
        <v>petani</v>
      </c>
    </row>
    <row r="303" hidden="1">
      <c r="C303" s="40" t="str">
        <f>IFERROR(__xludf.DUMMYFUNCTION("TEXTJOIN("", "",TRUE,UNIQUE(FILTER('Data Master'!$B$2:$B2880,'Data Master'!$J$2:$J2880=A303)))"),"petani")</f>
        <v>petani</v>
      </c>
    </row>
    <row r="304" hidden="1">
      <c r="C304" s="40" t="str">
        <f>IFERROR(__xludf.DUMMYFUNCTION("TEXTJOIN("", "",TRUE,UNIQUE(FILTER('Data Master'!$B$2:$B2880,'Data Master'!$J$2:$J2880=A304)))"),"petani")</f>
        <v>petani</v>
      </c>
    </row>
    <row r="305" hidden="1">
      <c r="C305" s="40" t="str">
        <f>IFERROR(__xludf.DUMMYFUNCTION("TEXTJOIN("", "",TRUE,UNIQUE(FILTER('Data Master'!$B$2:$B2880,'Data Master'!$J$2:$J2880=A305)))"),"petani")</f>
        <v>petani</v>
      </c>
    </row>
    <row r="306" hidden="1">
      <c r="C306" s="40" t="str">
        <f>IFERROR(__xludf.DUMMYFUNCTION("TEXTJOIN("", "",TRUE,UNIQUE(FILTER('Data Master'!$B$2:$B2880,'Data Master'!$J$2:$J2880=A306)))"),"petani")</f>
        <v>petani</v>
      </c>
    </row>
    <row r="307" hidden="1">
      <c r="C307" s="40" t="str">
        <f>IFERROR(__xludf.DUMMYFUNCTION("TEXTJOIN("", "",TRUE,UNIQUE(FILTER('Data Master'!$B$2:$B2880,'Data Master'!$J$2:$J2880=A307)))"),"petani")</f>
        <v>petani</v>
      </c>
    </row>
    <row r="308" hidden="1">
      <c r="C308" s="40" t="str">
        <f>IFERROR(__xludf.DUMMYFUNCTION("TEXTJOIN("", "",TRUE,UNIQUE(FILTER('Data Master'!$B$2:$B2880,'Data Master'!$J$2:$J2880=A308)))"),"petani")</f>
        <v>petani</v>
      </c>
    </row>
    <row r="309" hidden="1">
      <c r="C309" s="40" t="str">
        <f>IFERROR(__xludf.DUMMYFUNCTION("TEXTJOIN("", "",TRUE,UNIQUE(FILTER('Data Master'!$B$2:$B2880,'Data Master'!$J$2:$J2880=A309)))"),"petani")</f>
        <v>petani</v>
      </c>
    </row>
    <row r="310" hidden="1">
      <c r="C310" s="40" t="str">
        <f>IFERROR(__xludf.DUMMYFUNCTION("TEXTJOIN("", "",TRUE,UNIQUE(FILTER('Data Master'!$B$2:$B2880,'Data Master'!$J$2:$J2880=A310)))"),"petani")</f>
        <v>petani</v>
      </c>
    </row>
    <row r="311" hidden="1">
      <c r="C311" s="40" t="str">
        <f>IFERROR(__xludf.DUMMYFUNCTION("TEXTJOIN("", "",TRUE,UNIQUE(FILTER('Data Master'!$B$2:$B2880,'Data Master'!$J$2:$J2880=A311)))"),"petani")</f>
        <v>petani</v>
      </c>
    </row>
    <row r="312" hidden="1">
      <c r="C312" s="40" t="str">
        <f>IFERROR(__xludf.DUMMYFUNCTION("TEXTJOIN("", "",TRUE,UNIQUE(FILTER('Data Master'!$B$2:$B2880,'Data Master'!$J$2:$J2880=A312)))"),"petani")</f>
        <v>petani</v>
      </c>
    </row>
    <row r="313" hidden="1">
      <c r="C313" s="40" t="str">
        <f>IFERROR(__xludf.DUMMYFUNCTION("TEXTJOIN("", "",TRUE,UNIQUE(FILTER('Data Master'!$B$2:$B2880,'Data Master'!$J$2:$J2880=A313)))"),"petani")</f>
        <v>petani</v>
      </c>
    </row>
    <row r="314" hidden="1">
      <c r="C314" s="40" t="str">
        <f>IFERROR(__xludf.DUMMYFUNCTION("TEXTJOIN("", "",TRUE,UNIQUE(FILTER('Data Master'!$B$2:$B2880,'Data Master'!$J$2:$J2880=A314)))"),"petani")</f>
        <v>petani</v>
      </c>
    </row>
    <row r="315" hidden="1">
      <c r="C315" s="40" t="str">
        <f>IFERROR(__xludf.DUMMYFUNCTION("TEXTJOIN("", "",TRUE,UNIQUE(FILTER('Data Master'!$B$2:$B2880,'Data Master'!$J$2:$J2880=A315)))"),"petani")</f>
        <v>petani</v>
      </c>
    </row>
    <row r="316" hidden="1">
      <c r="C316" s="40" t="str">
        <f>IFERROR(__xludf.DUMMYFUNCTION("TEXTJOIN("", "",TRUE,UNIQUE(FILTER('Data Master'!$B$2:$B2880,'Data Master'!$J$2:$J2880=A316)))"),"petani")</f>
        <v>petani</v>
      </c>
    </row>
    <row r="317" hidden="1">
      <c r="C317" s="40" t="str">
        <f>IFERROR(__xludf.DUMMYFUNCTION("TEXTJOIN("", "",TRUE,UNIQUE(FILTER('Data Master'!$B$2:$B2880,'Data Master'!$J$2:$J2880=A317)))"),"petani")</f>
        <v>petani</v>
      </c>
    </row>
    <row r="318" hidden="1">
      <c r="C318" s="40" t="str">
        <f>IFERROR(__xludf.DUMMYFUNCTION("TEXTJOIN("", "",TRUE,UNIQUE(FILTER('Data Master'!$B$2:$B2880,'Data Master'!$J$2:$J2880=A318)))"),"petani")</f>
        <v>petani</v>
      </c>
    </row>
    <row r="319" hidden="1">
      <c r="C319" s="40" t="str">
        <f>IFERROR(__xludf.DUMMYFUNCTION("TEXTJOIN("", "",TRUE,UNIQUE(FILTER('Data Master'!$B$2:$B2880,'Data Master'!$J$2:$J2880=A319)))"),"petani")</f>
        <v>petani</v>
      </c>
    </row>
    <row r="320" hidden="1">
      <c r="C320" s="40" t="str">
        <f>IFERROR(__xludf.DUMMYFUNCTION("TEXTJOIN("", "",TRUE,UNIQUE(FILTER('Data Master'!$B$2:$B2880,'Data Master'!$J$2:$J2880=A320)))"),"petani")</f>
        <v>petani</v>
      </c>
    </row>
    <row r="321" hidden="1">
      <c r="C321" s="40" t="str">
        <f>IFERROR(__xludf.DUMMYFUNCTION("TEXTJOIN("", "",TRUE,UNIQUE(FILTER('Data Master'!$B$2:$B2880,'Data Master'!$J$2:$J2880=A321)))"),"petani")</f>
        <v>petani</v>
      </c>
    </row>
    <row r="322" hidden="1">
      <c r="C322" s="40" t="str">
        <f>IFERROR(__xludf.DUMMYFUNCTION("TEXTJOIN("", "",TRUE,UNIQUE(FILTER('Data Master'!$B$2:$B2880,'Data Master'!$J$2:$J2880=A322)))"),"petani")</f>
        <v>petani</v>
      </c>
    </row>
    <row r="323" hidden="1">
      <c r="C323" s="40" t="str">
        <f>IFERROR(__xludf.DUMMYFUNCTION("TEXTJOIN("", "",TRUE,UNIQUE(FILTER('Data Master'!$B$2:$B2880,'Data Master'!$J$2:$J2880=A323)))"),"petani")</f>
        <v>petani</v>
      </c>
    </row>
    <row r="324" hidden="1">
      <c r="C324" s="40" t="str">
        <f>IFERROR(__xludf.DUMMYFUNCTION("TEXTJOIN("", "",TRUE,UNIQUE(FILTER('Data Master'!$B$2:$B2880,'Data Master'!$J$2:$J2880=A324)))"),"petani")</f>
        <v>petani</v>
      </c>
    </row>
    <row r="325" hidden="1">
      <c r="C325" s="40" t="str">
        <f>IFERROR(__xludf.DUMMYFUNCTION("TEXTJOIN("", "",TRUE,UNIQUE(FILTER('Data Master'!$B$2:$B2880,'Data Master'!$J$2:$J2880=A325)))"),"petani")</f>
        <v>petani</v>
      </c>
    </row>
    <row r="326" hidden="1">
      <c r="C326" s="40" t="str">
        <f>IFERROR(__xludf.DUMMYFUNCTION("TEXTJOIN("", "",TRUE,UNIQUE(FILTER('Data Master'!$B$2:$B2880,'Data Master'!$J$2:$J2880=A326)))"),"petani")</f>
        <v>petani</v>
      </c>
    </row>
    <row r="327" hidden="1">
      <c r="C327" s="40" t="str">
        <f>IFERROR(__xludf.DUMMYFUNCTION("TEXTJOIN("", "",TRUE,UNIQUE(FILTER('Data Master'!$B$2:$B2880,'Data Master'!$J$2:$J2880=A327)))"),"petani")</f>
        <v>petani</v>
      </c>
    </row>
    <row r="328" hidden="1">
      <c r="C328" s="40" t="str">
        <f>IFERROR(__xludf.DUMMYFUNCTION("TEXTJOIN("", "",TRUE,UNIQUE(FILTER('Data Master'!$B$2:$B2880,'Data Master'!$J$2:$J2880=A328)))"),"petani")</f>
        <v>petani</v>
      </c>
    </row>
    <row r="329" hidden="1">
      <c r="C329" s="40" t="str">
        <f>IFERROR(__xludf.DUMMYFUNCTION("TEXTJOIN("", "",TRUE,UNIQUE(FILTER('Data Master'!$B$2:$B2880,'Data Master'!$J$2:$J2880=A329)))"),"petani")</f>
        <v>petani</v>
      </c>
    </row>
    <row r="330" hidden="1">
      <c r="C330" s="40" t="str">
        <f>IFERROR(__xludf.DUMMYFUNCTION("TEXTJOIN("", "",TRUE,UNIQUE(FILTER('Data Master'!$B$2:$B2880,'Data Master'!$J$2:$J2880=A330)))"),"petani")</f>
        <v>petani</v>
      </c>
    </row>
    <row r="331" hidden="1">
      <c r="C331" s="40" t="str">
        <f>IFERROR(__xludf.DUMMYFUNCTION("TEXTJOIN("", "",TRUE,UNIQUE(FILTER('Data Master'!$B$2:$B2880,'Data Master'!$J$2:$J2880=A331)))"),"petani")</f>
        <v>petani</v>
      </c>
    </row>
    <row r="332" hidden="1">
      <c r="C332" s="40" t="str">
        <f>IFERROR(__xludf.DUMMYFUNCTION("TEXTJOIN("", "",TRUE,UNIQUE(FILTER('Data Master'!$B$2:$B2880,'Data Master'!$J$2:$J2880=A332)))"),"petani")</f>
        <v>petani</v>
      </c>
    </row>
    <row r="333" hidden="1">
      <c r="C333" s="40" t="str">
        <f>IFERROR(__xludf.DUMMYFUNCTION("TEXTJOIN("", "",TRUE,UNIQUE(FILTER('Data Master'!$B$2:$B2880,'Data Master'!$J$2:$J2880=A333)))"),"petani")</f>
        <v>petani</v>
      </c>
    </row>
    <row r="334" hidden="1">
      <c r="C334" s="40" t="str">
        <f>IFERROR(__xludf.DUMMYFUNCTION("TEXTJOIN("", "",TRUE,UNIQUE(FILTER('Data Master'!$B$2:$B2880,'Data Master'!$J$2:$J2880=A334)))"),"petani")</f>
        <v>petani</v>
      </c>
    </row>
    <row r="335" hidden="1">
      <c r="C335" s="40" t="str">
        <f>IFERROR(__xludf.DUMMYFUNCTION("TEXTJOIN("", "",TRUE,UNIQUE(FILTER('Data Master'!$B$2:$B2880,'Data Master'!$J$2:$J2880=A335)))"),"petani")</f>
        <v>petani</v>
      </c>
    </row>
    <row r="336" hidden="1">
      <c r="C336" s="40" t="str">
        <f>IFERROR(__xludf.DUMMYFUNCTION("TEXTJOIN("", "",TRUE,UNIQUE(FILTER('Data Master'!$B$2:$B2880,'Data Master'!$J$2:$J2880=A336)))"),"petani")</f>
        <v>petani</v>
      </c>
    </row>
    <row r="337" hidden="1">
      <c r="C337" s="40" t="str">
        <f>IFERROR(__xludf.DUMMYFUNCTION("TEXTJOIN("", "",TRUE,UNIQUE(FILTER('Data Master'!$B$2:$B2880,'Data Master'!$J$2:$J2880=A337)))"),"petani")</f>
        <v>petani</v>
      </c>
    </row>
    <row r="338" hidden="1">
      <c r="C338" s="40" t="str">
        <f>IFERROR(__xludf.DUMMYFUNCTION("TEXTJOIN("", "",TRUE,UNIQUE(FILTER('Data Master'!$B$2:$B2880,'Data Master'!$J$2:$J2880=A338)))"),"petani")</f>
        <v>petani</v>
      </c>
    </row>
    <row r="339" hidden="1">
      <c r="C339" s="40" t="str">
        <f>IFERROR(__xludf.DUMMYFUNCTION("TEXTJOIN("", "",TRUE,UNIQUE(FILTER('Data Master'!$B$2:$B2880,'Data Master'!$J$2:$J2880=A339)))"),"petani")</f>
        <v>petani</v>
      </c>
    </row>
    <row r="340" hidden="1">
      <c r="C340" s="40" t="str">
        <f>IFERROR(__xludf.DUMMYFUNCTION("TEXTJOIN("", "",TRUE,UNIQUE(FILTER('Data Master'!$B$2:$B2880,'Data Master'!$J$2:$J2880=A340)))"),"petani")</f>
        <v>petani</v>
      </c>
    </row>
    <row r="341" hidden="1">
      <c r="C341" s="40" t="str">
        <f>IFERROR(__xludf.DUMMYFUNCTION("TEXTJOIN("", "",TRUE,UNIQUE(FILTER('Data Master'!$B$2:$B2880,'Data Master'!$J$2:$J2880=A341)))"),"petani")</f>
        <v>petani</v>
      </c>
    </row>
    <row r="342" hidden="1">
      <c r="C342" s="40" t="str">
        <f>IFERROR(__xludf.DUMMYFUNCTION("TEXTJOIN("", "",TRUE,UNIQUE(FILTER('Data Master'!$B$2:$B2880,'Data Master'!$J$2:$J2880=A342)))"),"petani")</f>
        <v>petani</v>
      </c>
    </row>
    <row r="343" hidden="1">
      <c r="C343" s="40" t="str">
        <f>IFERROR(__xludf.DUMMYFUNCTION("TEXTJOIN("", "",TRUE,UNIQUE(FILTER('Data Master'!$B$2:$B2880,'Data Master'!$J$2:$J2880=A343)))"),"petani")</f>
        <v>petani</v>
      </c>
    </row>
    <row r="344" hidden="1">
      <c r="C344" s="40" t="str">
        <f>IFERROR(__xludf.DUMMYFUNCTION("TEXTJOIN("", "",TRUE,UNIQUE(FILTER('Data Master'!$B$2:$B2880,'Data Master'!$J$2:$J2880=A344)))"),"petani")</f>
        <v>petani</v>
      </c>
    </row>
    <row r="345" hidden="1">
      <c r="C345" s="40" t="str">
        <f>IFERROR(__xludf.DUMMYFUNCTION("TEXTJOIN("", "",TRUE,UNIQUE(FILTER('Data Master'!$B$2:$B2880,'Data Master'!$J$2:$J2880=A345)))"),"petani")</f>
        <v>petani</v>
      </c>
    </row>
    <row r="346" hidden="1">
      <c r="C346" s="40" t="str">
        <f>IFERROR(__xludf.DUMMYFUNCTION("TEXTJOIN("", "",TRUE,UNIQUE(FILTER('Data Master'!$B$2:$B2880,'Data Master'!$J$2:$J2880=A346)))"),"petani")</f>
        <v>petani</v>
      </c>
    </row>
    <row r="347" hidden="1">
      <c r="C347" s="40" t="str">
        <f>IFERROR(__xludf.DUMMYFUNCTION("TEXTJOIN("", "",TRUE,UNIQUE(FILTER('Data Master'!$B$2:$B2880,'Data Master'!$J$2:$J2880=A347)))"),"petani")</f>
        <v>petani</v>
      </c>
    </row>
    <row r="348" hidden="1">
      <c r="C348" s="40" t="str">
        <f>IFERROR(__xludf.DUMMYFUNCTION("TEXTJOIN("", "",TRUE,UNIQUE(FILTER('Data Master'!$B$2:$B2880,'Data Master'!$J$2:$J2880=A348)))"),"petani")</f>
        <v>petani</v>
      </c>
    </row>
    <row r="349" hidden="1">
      <c r="C349" s="40" t="str">
        <f>IFERROR(__xludf.DUMMYFUNCTION("TEXTJOIN("", "",TRUE,UNIQUE(FILTER('Data Master'!$B$2:$B2880,'Data Master'!$J$2:$J2880=A349)))"),"petani")</f>
        <v>petani</v>
      </c>
    </row>
    <row r="350" hidden="1">
      <c r="C350" s="40" t="str">
        <f>IFERROR(__xludf.DUMMYFUNCTION("TEXTJOIN("", "",TRUE,UNIQUE(FILTER('Data Master'!$B$2:$B2880,'Data Master'!$J$2:$J2880=A350)))"),"petani")</f>
        <v>petani</v>
      </c>
    </row>
    <row r="351" hidden="1">
      <c r="C351" s="40" t="str">
        <f>IFERROR(__xludf.DUMMYFUNCTION("TEXTJOIN("", "",TRUE,UNIQUE(FILTER('Data Master'!$B$2:$B2880,'Data Master'!$J$2:$J2880=A351)))"),"petani")</f>
        <v>petani</v>
      </c>
    </row>
    <row r="352" hidden="1">
      <c r="C352" s="40" t="str">
        <f>IFERROR(__xludf.DUMMYFUNCTION("TEXTJOIN("", "",TRUE,UNIQUE(FILTER('Data Master'!$B$2:$B2880,'Data Master'!$J$2:$J2880=A352)))"),"petani")</f>
        <v>petani</v>
      </c>
    </row>
    <row r="353" hidden="1">
      <c r="C353" s="40" t="str">
        <f>IFERROR(__xludf.DUMMYFUNCTION("TEXTJOIN("", "",TRUE,UNIQUE(FILTER('Data Master'!$B$2:$B2880,'Data Master'!$J$2:$J2880=A353)))"),"petani")</f>
        <v>petani</v>
      </c>
    </row>
    <row r="354" hidden="1">
      <c r="C354" s="40" t="str">
        <f>IFERROR(__xludf.DUMMYFUNCTION("TEXTJOIN("", "",TRUE,UNIQUE(FILTER('Data Master'!$B$2:$B2880,'Data Master'!$J$2:$J2880=A354)))"),"petani")</f>
        <v>petani</v>
      </c>
    </row>
    <row r="355" hidden="1">
      <c r="C355" s="40" t="str">
        <f>IFERROR(__xludf.DUMMYFUNCTION("TEXTJOIN("", "",TRUE,UNIQUE(FILTER('Data Master'!$B$2:$B2880,'Data Master'!$J$2:$J2880=A355)))"),"petani")</f>
        <v>petani</v>
      </c>
    </row>
    <row r="356" hidden="1">
      <c r="C356" s="40" t="str">
        <f>IFERROR(__xludf.DUMMYFUNCTION("TEXTJOIN("", "",TRUE,UNIQUE(FILTER('Data Master'!$B$2:$B2880,'Data Master'!$J$2:$J2880=A356)))"),"petani")</f>
        <v>petani</v>
      </c>
    </row>
    <row r="357" hidden="1">
      <c r="C357" s="40" t="str">
        <f>IFERROR(__xludf.DUMMYFUNCTION("TEXTJOIN("", "",TRUE,UNIQUE(FILTER('Data Master'!$B$2:$B2880,'Data Master'!$J$2:$J2880=A357)))"),"petani")</f>
        <v>petani</v>
      </c>
    </row>
    <row r="358" hidden="1">
      <c r="C358" s="40" t="str">
        <f>IFERROR(__xludf.DUMMYFUNCTION("TEXTJOIN("", "",TRUE,UNIQUE(FILTER('Data Master'!$B$2:$B2880,'Data Master'!$J$2:$J2880=A358)))"),"petani")</f>
        <v>petani</v>
      </c>
    </row>
    <row r="359" hidden="1">
      <c r="C359" s="40" t="str">
        <f>IFERROR(__xludf.DUMMYFUNCTION("TEXTJOIN("", "",TRUE,UNIQUE(FILTER('Data Master'!$B$2:$B2880,'Data Master'!$J$2:$J2880=A359)))"),"petani")</f>
        <v>petani</v>
      </c>
    </row>
    <row r="360" hidden="1">
      <c r="C360" s="40" t="str">
        <f>IFERROR(__xludf.DUMMYFUNCTION("TEXTJOIN("", "",TRUE,UNIQUE(FILTER('Data Master'!$B$2:$B2880,'Data Master'!$J$2:$J2880=A360)))"),"petani")</f>
        <v>petani</v>
      </c>
    </row>
    <row r="361" hidden="1">
      <c r="C361" s="40" t="str">
        <f>IFERROR(__xludf.DUMMYFUNCTION("TEXTJOIN("", "",TRUE,UNIQUE(FILTER('Data Master'!$B$2:$B2880,'Data Master'!$J$2:$J2880=A361)))"),"petani")</f>
        <v>petani</v>
      </c>
    </row>
    <row r="362" hidden="1">
      <c r="C362" s="40" t="str">
        <f>IFERROR(__xludf.DUMMYFUNCTION("TEXTJOIN("", "",TRUE,UNIQUE(FILTER('Data Master'!$B$2:$B2880,'Data Master'!$J$2:$J2880=A362)))"),"petani")</f>
        <v>petani</v>
      </c>
    </row>
    <row r="363" hidden="1">
      <c r="C363" s="40" t="str">
        <f>IFERROR(__xludf.DUMMYFUNCTION("TEXTJOIN("", "",TRUE,UNIQUE(FILTER('Data Master'!$B$2:$B2880,'Data Master'!$J$2:$J2880=A363)))"),"petani")</f>
        <v>petani</v>
      </c>
    </row>
    <row r="364" hidden="1">
      <c r="C364" s="40" t="str">
        <f>IFERROR(__xludf.DUMMYFUNCTION("TEXTJOIN("", "",TRUE,UNIQUE(FILTER('Data Master'!$B$2:$B2880,'Data Master'!$J$2:$J2880=A364)))"),"petani")</f>
        <v>petani</v>
      </c>
    </row>
    <row r="365" hidden="1">
      <c r="C365" s="40" t="str">
        <f>IFERROR(__xludf.DUMMYFUNCTION("TEXTJOIN("", "",TRUE,UNIQUE(FILTER('Data Master'!$B$2:$B2880,'Data Master'!$J$2:$J2880=A365)))"),"petani")</f>
        <v>petani</v>
      </c>
    </row>
    <row r="366" hidden="1">
      <c r="C366" s="40" t="str">
        <f>IFERROR(__xludf.DUMMYFUNCTION("TEXTJOIN("", "",TRUE,UNIQUE(FILTER('Data Master'!$B$2:$B2880,'Data Master'!$J$2:$J2880=A366)))"),"petani")</f>
        <v>petani</v>
      </c>
    </row>
    <row r="367" hidden="1">
      <c r="C367" s="40" t="str">
        <f>IFERROR(__xludf.DUMMYFUNCTION("TEXTJOIN("", "",TRUE,UNIQUE(FILTER('Data Master'!$B$2:$B2880,'Data Master'!$J$2:$J2880=A367)))"),"petani")</f>
        <v>petani</v>
      </c>
    </row>
    <row r="368" hidden="1">
      <c r="C368" s="40" t="str">
        <f>IFERROR(__xludf.DUMMYFUNCTION("TEXTJOIN("", "",TRUE,UNIQUE(FILTER('Data Master'!$B$2:$B2880,'Data Master'!$J$2:$J2880=A368)))"),"petani")</f>
        <v>petani</v>
      </c>
    </row>
    <row r="369" hidden="1">
      <c r="C369" s="40" t="str">
        <f>IFERROR(__xludf.DUMMYFUNCTION("TEXTJOIN("", "",TRUE,UNIQUE(FILTER('Data Master'!$B$2:$B2880,'Data Master'!$J$2:$J2880=A369)))"),"petani")</f>
        <v>petani</v>
      </c>
    </row>
    <row r="370" hidden="1">
      <c r="C370" s="40" t="str">
        <f>IFERROR(__xludf.DUMMYFUNCTION("TEXTJOIN("", "",TRUE,UNIQUE(FILTER('Data Master'!$B$2:$B2880,'Data Master'!$J$2:$J2880=A370)))"),"petani")</f>
        <v>petani</v>
      </c>
    </row>
    <row r="371" hidden="1">
      <c r="C371" s="40" t="str">
        <f>IFERROR(__xludf.DUMMYFUNCTION("TEXTJOIN("", "",TRUE,UNIQUE(FILTER('Data Master'!$B$2:$B2880,'Data Master'!$J$2:$J2880=A371)))"),"petani")</f>
        <v>petani</v>
      </c>
    </row>
    <row r="372" hidden="1">
      <c r="C372" s="40" t="str">
        <f>IFERROR(__xludf.DUMMYFUNCTION("TEXTJOIN("", "",TRUE,UNIQUE(FILTER('Data Master'!$B$2:$B2880,'Data Master'!$J$2:$J2880=A372)))"),"petani")</f>
        <v>petani</v>
      </c>
    </row>
    <row r="373" hidden="1">
      <c r="C373" s="40" t="str">
        <f>IFERROR(__xludf.DUMMYFUNCTION("TEXTJOIN("", "",TRUE,UNIQUE(FILTER('Data Master'!$B$2:$B2880,'Data Master'!$J$2:$J2880=A373)))"),"petani")</f>
        <v>petani</v>
      </c>
    </row>
    <row r="374" hidden="1">
      <c r="C374" s="40" t="str">
        <f>IFERROR(__xludf.DUMMYFUNCTION("TEXTJOIN("", "",TRUE,UNIQUE(FILTER('Data Master'!$B$2:$B2880,'Data Master'!$J$2:$J2880=A374)))"),"petani")</f>
        <v>petani</v>
      </c>
    </row>
    <row r="375" hidden="1">
      <c r="C375" s="40" t="str">
        <f>IFERROR(__xludf.DUMMYFUNCTION("TEXTJOIN("", "",TRUE,UNIQUE(FILTER('Data Master'!$B$2:$B2880,'Data Master'!$J$2:$J2880=A375)))"),"petani")</f>
        <v>petani</v>
      </c>
    </row>
    <row r="376" hidden="1">
      <c r="C376" s="40" t="str">
        <f>IFERROR(__xludf.DUMMYFUNCTION("TEXTJOIN("", "",TRUE,UNIQUE(FILTER('Data Master'!$B$2:$B2880,'Data Master'!$J$2:$J2880=A376)))"),"petani")</f>
        <v>petani</v>
      </c>
    </row>
    <row r="377" hidden="1">
      <c r="C377" s="40" t="str">
        <f>IFERROR(__xludf.DUMMYFUNCTION("TEXTJOIN("", "",TRUE,UNIQUE(FILTER('Data Master'!$B$2:$B2880,'Data Master'!$J$2:$J2880=A377)))"),"petani")</f>
        <v>petani</v>
      </c>
    </row>
    <row r="378" hidden="1">
      <c r="C378" s="40" t="str">
        <f>IFERROR(__xludf.DUMMYFUNCTION("TEXTJOIN("", "",TRUE,UNIQUE(FILTER('Data Master'!$B$2:$B2880,'Data Master'!$J$2:$J2880=A378)))"),"petani")</f>
        <v>petani</v>
      </c>
    </row>
    <row r="379" hidden="1">
      <c r="C379" s="40" t="str">
        <f>IFERROR(__xludf.DUMMYFUNCTION("TEXTJOIN("", "",TRUE,UNIQUE(FILTER('Data Master'!$B$2:$B2880,'Data Master'!$J$2:$J2880=A379)))"),"petani")</f>
        <v>petani</v>
      </c>
    </row>
    <row r="380" hidden="1">
      <c r="C380" s="40" t="str">
        <f>IFERROR(__xludf.DUMMYFUNCTION("TEXTJOIN("", "",TRUE,UNIQUE(FILTER('Data Master'!$B$2:$B2880,'Data Master'!$J$2:$J2880=A380)))"),"petani")</f>
        <v>petani</v>
      </c>
    </row>
    <row r="381" hidden="1">
      <c r="C381" s="40" t="str">
        <f>IFERROR(__xludf.DUMMYFUNCTION("TEXTJOIN("", "",TRUE,UNIQUE(FILTER('Data Master'!$B$2:$B2880,'Data Master'!$J$2:$J2880=A381)))"),"petani")</f>
        <v>petani</v>
      </c>
    </row>
    <row r="382" hidden="1">
      <c r="C382" s="40" t="str">
        <f>IFERROR(__xludf.DUMMYFUNCTION("TEXTJOIN("", "",TRUE,UNIQUE(FILTER('Data Master'!$B$2:$B2880,'Data Master'!$J$2:$J2880=A382)))"),"petani")</f>
        <v>petani</v>
      </c>
    </row>
    <row r="383" hidden="1">
      <c r="C383" s="40" t="str">
        <f>IFERROR(__xludf.DUMMYFUNCTION("TEXTJOIN("", "",TRUE,UNIQUE(FILTER('Data Master'!$B$2:$B2880,'Data Master'!$J$2:$J2880=A383)))"),"petani")</f>
        <v>petani</v>
      </c>
    </row>
    <row r="384" hidden="1">
      <c r="C384" s="40" t="str">
        <f>IFERROR(__xludf.DUMMYFUNCTION("TEXTJOIN("", "",TRUE,UNIQUE(FILTER('Data Master'!$B$2:$B2880,'Data Master'!$J$2:$J2880=A384)))"),"petani")</f>
        <v>petani</v>
      </c>
    </row>
    <row r="385" hidden="1">
      <c r="C385" s="40" t="str">
        <f>IFERROR(__xludf.DUMMYFUNCTION("TEXTJOIN("", "",TRUE,UNIQUE(FILTER('Data Master'!$B$2:$B2880,'Data Master'!$J$2:$J2880=A385)))"),"petani")</f>
        <v>petani</v>
      </c>
    </row>
    <row r="386" hidden="1">
      <c r="C386" s="40" t="str">
        <f>IFERROR(__xludf.DUMMYFUNCTION("TEXTJOIN("", "",TRUE,UNIQUE(FILTER('Data Master'!$B$2:$B2880,'Data Master'!$J$2:$J2880=A386)))"),"petani")</f>
        <v>petani</v>
      </c>
    </row>
    <row r="387" hidden="1">
      <c r="C387" s="40" t="str">
        <f>IFERROR(__xludf.DUMMYFUNCTION("TEXTJOIN("", "",TRUE,UNIQUE(FILTER('Data Master'!$B$2:$B2880,'Data Master'!$J$2:$J2880=A387)))"),"petani")</f>
        <v>petani</v>
      </c>
    </row>
    <row r="388" hidden="1">
      <c r="C388" s="40" t="str">
        <f>IFERROR(__xludf.DUMMYFUNCTION("TEXTJOIN("", "",TRUE,UNIQUE(FILTER('Data Master'!$B$2:$B2880,'Data Master'!$J$2:$J2880=A388)))"),"petani")</f>
        <v>petani</v>
      </c>
    </row>
    <row r="389" hidden="1">
      <c r="C389" s="40" t="str">
        <f>IFERROR(__xludf.DUMMYFUNCTION("TEXTJOIN("", "",TRUE,UNIQUE(FILTER('Data Master'!$B$2:$B2880,'Data Master'!$J$2:$J2880=A389)))"),"petani")</f>
        <v>petani</v>
      </c>
    </row>
    <row r="390" hidden="1">
      <c r="C390" s="40" t="str">
        <f>IFERROR(__xludf.DUMMYFUNCTION("TEXTJOIN("", "",TRUE,UNIQUE(FILTER('Data Master'!$B$2:$B2880,'Data Master'!$J$2:$J2880=A390)))"),"petani")</f>
        <v>petani</v>
      </c>
    </row>
    <row r="391" hidden="1">
      <c r="C391" s="40" t="str">
        <f>IFERROR(__xludf.DUMMYFUNCTION("TEXTJOIN("", "",TRUE,UNIQUE(FILTER('Data Master'!$B$2:$B2880,'Data Master'!$J$2:$J2880=A391)))"),"petani")</f>
        <v>petani</v>
      </c>
    </row>
    <row r="392" hidden="1">
      <c r="C392" s="40" t="str">
        <f>IFERROR(__xludf.DUMMYFUNCTION("TEXTJOIN("", "",TRUE,UNIQUE(FILTER('Data Master'!$B$2:$B2880,'Data Master'!$J$2:$J2880=A392)))"),"petani")</f>
        <v>petani</v>
      </c>
    </row>
    <row r="393" hidden="1">
      <c r="C393" s="40" t="str">
        <f>IFERROR(__xludf.DUMMYFUNCTION("TEXTJOIN("", "",TRUE,UNIQUE(FILTER('Data Master'!$B$2:$B2880,'Data Master'!$J$2:$J2880=A393)))"),"petani")</f>
        <v>petani</v>
      </c>
    </row>
    <row r="394" hidden="1">
      <c r="C394" s="40" t="str">
        <f>IFERROR(__xludf.DUMMYFUNCTION("TEXTJOIN("", "",TRUE,UNIQUE(FILTER('Data Master'!$B$2:$B2880,'Data Master'!$J$2:$J2880=A394)))"),"petani")</f>
        <v>petani</v>
      </c>
    </row>
    <row r="395" hidden="1">
      <c r="C395" s="40" t="str">
        <f>IFERROR(__xludf.DUMMYFUNCTION("TEXTJOIN("", "",TRUE,UNIQUE(FILTER('Data Master'!$B$2:$B2880,'Data Master'!$J$2:$J2880=A395)))"),"petani")</f>
        <v>petani</v>
      </c>
    </row>
    <row r="396" hidden="1">
      <c r="C396" s="40" t="str">
        <f>IFERROR(__xludf.DUMMYFUNCTION("TEXTJOIN("", "",TRUE,UNIQUE(FILTER('Data Master'!$B$2:$B2880,'Data Master'!$J$2:$J2880=A396)))"),"petani")</f>
        <v>petani</v>
      </c>
    </row>
    <row r="397" hidden="1">
      <c r="C397" s="40" t="str">
        <f>IFERROR(__xludf.DUMMYFUNCTION("TEXTJOIN("", "",TRUE,UNIQUE(FILTER('Data Master'!$B$2:$B2880,'Data Master'!$J$2:$J2880=A397)))"),"petani")</f>
        <v>petani</v>
      </c>
    </row>
    <row r="398" hidden="1">
      <c r="C398" s="40" t="str">
        <f>IFERROR(__xludf.DUMMYFUNCTION("TEXTJOIN("", "",TRUE,UNIQUE(FILTER('Data Master'!$B$2:$B2880,'Data Master'!$J$2:$J2880=A398)))"),"petani")</f>
        <v>petani</v>
      </c>
    </row>
    <row r="399" hidden="1">
      <c r="C399" s="40" t="str">
        <f>IFERROR(__xludf.DUMMYFUNCTION("TEXTJOIN("", "",TRUE,UNIQUE(FILTER('Data Master'!$B$2:$B2880,'Data Master'!$J$2:$J2880=A399)))"),"petani")</f>
        <v>petani</v>
      </c>
    </row>
    <row r="400" hidden="1">
      <c r="C400" s="40" t="str">
        <f>IFERROR(__xludf.DUMMYFUNCTION("TEXTJOIN("", "",TRUE,UNIQUE(FILTER('Data Master'!$B$2:$B2880,'Data Master'!$J$2:$J2880=A400)))"),"petani")</f>
        <v>petani</v>
      </c>
    </row>
    <row r="401" hidden="1">
      <c r="C401" s="40" t="str">
        <f>IFERROR(__xludf.DUMMYFUNCTION("TEXTJOIN("", "",TRUE,UNIQUE(FILTER('Data Master'!$B$2:$B2880,'Data Master'!$J$2:$J2880=A401)))"),"petani")</f>
        <v>petani</v>
      </c>
    </row>
    <row r="402" hidden="1">
      <c r="C402" s="40" t="str">
        <f>IFERROR(__xludf.DUMMYFUNCTION("TEXTJOIN("", "",TRUE,UNIQUE(FILTER('Data Master'!$B$2:$B2880,'Data Master'!$J$2:$J2880=A402)))"),"petani")</f>
        <v>petani</v>
      </c>
    </row>
    <row r="403" hidden="1">
      <c r="C403" s="40" t="str">
        <f>IFERROR(__xludf.DUMMYFUNCTION("TEXTJOIN("", "",TRUE,UNIQUE(FILTER('Data Master'!$B$2:$B2880,'Data Master'!$J$2:$J2880=A403)))"),"petani")</f>
        <v>petani</v>
      </c>
    </row>
    <row r="404" hidden="1">
      <c r="C404" s="40" t="str">
        <f>IFERROR(__xludf.DUMMYFUNCTION("TEXTJOIN("", "",TRUE,UNIQUE(FILTER('Data Master'!$B$2:$B2880,'Data Master'!$J$2:$J2880=A404)))"),"petani")</f>
        <v>petani</v>
      </c>
    </row>
    <row r="405" hidden="1">
      <c r="C405" s="40" t="str">
        <f>IFERROR(__xludf.DUMMYFUNCTION("TEXTJOIN("", "",TRUE,UNIQUE(FILTER('Data Master'!$B$2:$B2880,'Data Master'!$J$2:$J2880=A405)))"),"petani")</f>
        <v>petani</v>
      </c>
    </row>
    <row r="406" hidden="1">
      <c r="C406" s="40" t="str">
        <f>IFERROR(__xludf.DUMMYFUNCTION("TEXTJOIN("", "",TRUE,UNIQUE(FILTER('Data Master'!$B$2:$B2880,'Data Master'!$J$2:$J2880=A406)))"),"petani")</f>
        <v>petani</v>
      </c>
    </row>
    <row r="407" hidden="1">
      <c r="C407" s="40" t="str">
        <f>IFERROR(__xludf.DUMMYFUNCTION("TEXTJOIN("", "",TRUE,UNIQUE(FILTER('Data Master'!$B$2:$B2880,'Data Master'!$J$2:$J2880=A407)))"),"petani")</f>
        <v>petani</v>
      </c>
    </row>
    <row r="408" hidden="1">
      <c r="C408" s="40" t="str">
        <f>IFERROR(__xludf.DUMMYFUNCTION("TEXTJOIN("", "",TRUE,UNIQUE(FILTER('Data Master'!$B$2:$B2880,'Data Master'!$J$2:$J2880=A408)))"),"petani")</f>
        <v>petani</v>
      </c>
    </row>
    <row r="409" hidden="1">
      <c r="C409" s="40" t="str">
        <f>IFERROR(__xludf.DUMMYFUNCTION("TEXTJOIN("", "",TRUE,UNIQUE(FILTER('Data Master'!$B$2:$B2880,'Data Master'!$J$2:$J2880=A409)))"),"petani")</f>
        <v>petani</v>
      </c>
    </row>
    <row r="410" hidden="1">
      <c r="C410" s="40" t="str">
        <f>IFERROR(__xludf.DUMMYFUNCTION("TEXTJOIN("", "",TRUE,UNIQUE(FILTER('Data Master'!$B$2:$B2880,'Data Master'!$J$2:$J2880=A410)))"),"petani")</f>
        <v>petani</v>
      </c>
    </row>
    <row r="411" hidden="1">
      <c r="C411" s="40" t="str">
        <f>IFERROR(__xludf.DUMMYFUNCTION("TEXTJOIN("", "",TRUE,UNIQUE(FILTER('Data Master'!$B$2:$B2880,'Data Master'!$J$2:$J2880=A411)))"),"petani")</f>
        <v>petani</v>
      </c>
    </row>
    <row r="412" hidden="1">
      <c r="C412" s="40" t="str">
        <f>IFERROR(__xludf.DUMMYFUNCTION("TEXTJOIN("", "",TRUE,UNIQUE(FILTER('Data Master'!$B$2:$B2880,'Data Master'!$J$2:$J2880=A412)))"),"petani")</f>
        <v>petani</v>
      </c>
    </row>
    <row r="413" hidden="1">
      <c r="C413" s="40" t="str">
        <f>IFERROR(__xludf.DUMMYFUNCTION("TEXTJOIN("", "",TRUE,UNIQUE(FILTER('Data Master'!$B$2:$B2880,'Data Master'!$J$2:$J2880=A413)))"),"petani")</f>
        <v>petani</v>
      </c>
    </row>
    <row r="414" hidden="1">
      <c r="C414" s="40" t="str">
        <f>IFERROR(__xludf.DUMMYFUNCTION("TEXTJOIN("", "",TRUE,UNIQUE(FILTER('Data Master'!$B$2:$B2880,'Data Master'!$J$2:$J2880=A414)))"),"petani")</f>
        <v>petani</v>
      </c>
    </row>
    <row r="415" hidden="1">
      <c r="C415" s="40" t="str">
        <f>IFERROR(__xludf.DUMMYFUNCTION("TEXTJOIN("", "",TRUE,UNIQUE(FILTER('Data Master'!$B$2:$B2880,'Data Master'!$J$2:$J2880=A415)))"),"petani")</f>
        <v>petani</v>
      </c>
    </row>
    <row r="416" hidden="1">
      <c r="C416" s="40" t="str">
        <f>IFERROR(__xludf.DUMMYFUNCTION("TEXTJOIN("", "",TRUE,UNIQUE(FILTER('Data Master'!$B$2:$B2880,'Data Master'!$J$2:$J2880=A416)))"),"petani")</f>
        <v>petani</v>
      </c>
    </row>
    <row r="417" hidden="1">
      <c r="C417" s="40" t="str">
        <f>IFERROR(__xludf.DUMMYFUNCTION("TEXTJOIN("", "",TRUE,UNIQUE(FILTER('Data Master'!$B$2:$B2880,'Data Master'!$J$2:$J2880=A417)))"),"petani")</f>
        <v>petani</v>
      </c>
    </row>
    <row r="418" hidden="1">
      <c r="C418" s="40" t="str">
        <f>IFERROR(__xludf.DUMMYFUNCTION("TEXTJOIN("", "",TRUE,UNIQUE(FILTER('Data Master'!$B$2:$B2880,'Data Master'!$J$2:$J2880=A418)))"),"petani")</f>
        <v>petani</v>
      </c>
    </row>
    <row r="419" hidden="1">
      <c r="C419" s="40" t="str">
        <f>IFERROR(__xludf.DUMMYFUNCTION("TEXTJOIN("", "",TRUE,UNIQUE(FILTER('Data Master'!$B$2:$B2880,'Data Master'!$J$2:$J2880=A419)))"),"petani")</f>
        <v>petani</v>
      </c>
    </row>
    <row r="420" hidden="1">
      <c r="C420" s="40" t="str">
        <f>IFERROR(__xludf.DUMMYFUNCTION("TEXTJOIN("", "",TRUE,UNIQUE(FILTER('Data Master'!$B$2:$B2880,'Data Master'!$J$2:$J2880=A420)))"),"petani")</f>
        <v>petani</v>
      </c>
    </row>
    <row r="421" hidden="1">
      <c r="C421" s="40" t="str">
        <f>IFERROR(__xludf.DUMMYFUNCTION("TEXTJOIN("", "",TRUE,UNIQUE(FILTER('Data Master'!$B$2:$B2880,'Data Master'!$J$2:$J2880=A421)))"),"petani")</f>
        <v>petani</v>
      </c>
    </row>
    <row r="422" hidden="1">
      <c r="C422" s="40" t="str">
        <f>IFERROR(__xludf.DUMMYFUNCTION("TEXTJOIN("", "",TRUE,UNIQUE(FILTER('Data Master'!$B$2:$B2880,'Data Master'!$J$2:$J2880=A422)))"),"petani")</f>
        <v>petani</v>
      </c>
    </row>
    <row r="423" hidden="1">
      <c r="C423" s="40" t="str">
        <f>IFERROR(__xludf.DUMMYFUNCTION("TEXTJOIN("", "",TRUE,UNIQUE(FILTER('Data Master'!$B$2:$B2880,'Data Master'!$J$2:$J2880=A423)))"),"petani")</f>
        <v>petani</v>
      </c>
    </row>
    <row r="424" hidden="1">
      <c r="C424" s="40" t="str">
        <f>IFERROR(__xludf.DUMMYFUNCTION("TEXTJOIN("", "",TRUE,UNIQUE(FILTER('Data Master'!$B$2:$B2880,'Data Master'!$J$2:$J2880=A424)))"),"petani")</f>
        <v>petani</v>
      </c>
    </row>
    <row r="425" hidden="1">
      <c r="C425" s="40" t="str">
        <f>IFERROR(__xludf.DUMMYFUNCTION("TEXTJOIN("", "",TRUE,UNIQUE(FILTER('Data Master'!$B$2:$B2880,'Data Master'!$J$2:$J2880=A425)))"),"petani")</f>
        <v>petani</v>
      </c>
    </row>
    <row r="426" hidden="1">
      <c r="C426" s="40" t="str">
        <f>IFERROR(__xludf.DUMMYFUNCTION("TEXTJOIN("", "",TRUE,UNIQUE(FILTER('Data Master'!$B$2:$B2880,'Data Master'!$J$2:$J2880=A426)))"),"petani")</f>
        <v>petani</v>
      </c>
    </row>
    <row r="427" hidden="1">
      <c r="C427" s="40" t="str">
        <f>IFERROR(__xludf.DUMMYFUNCTION("TEXTJOIN("", "",TRUE,UNIQUE(FILTER('Data Master'!$B$2:$B2880,'Data Master'!$J$2:$J2880=A427)))"),"petani")</f>
        <v>petani</v>
      </c>
    </row>
    <row r="428" hidden="1">
      <c r="C428" s="40" t="str">
        <f>IFERROR(__xludf.DUMMYFUNCTION("TEXTJOIN("", "",TRUE,UNIQUE(FILTER('Data Master'!$B$2:$B2880,'Data Master'!$J$2:$J2880=A428)))"),"petani")</f>
        <v>petani</v>
      </c>
    </row>
    <row r="429" hidden="1">
      <c r="C429" s="40" t="str">
        <f>IFERROR(__xludf.DUMMYFUNCTION("TEXTJOIN("", "",TRUE,UNIQUE(FILTER('Data Master'!$B$2:$B2880,'Data Master'!$J$2:$J2880=A429)))"),"petani")</f>
        <v>petani</v>
      </c>
    </row>
    <row r="430" hidden="1">
      <c r="C430" s="40" t="str">
        <f>IFERROR(__xludf.DUMMYFUNCTION("TEXTJOIN("", "",TRUE,UNIQUE(FILTER('Data Master'!$B$2:$B2880,'Data Master'!$J$2:$J2880=A430)))"),"petani")</f>
        <v>petani</v>
      </c>
    </row>
    <row r="431" hidden="1">
      <c r="C431" s="40" t="str">
        <f>IFERROR(__xludf.DUMMYFUNCTION("TEXTJOIN("", "",TRUE,UNIQUE(FILTER('Data Master'!$B$2:$B2880,'Data Master'!$J$2:$J2880=A431)))"),"petani")</f>
        <v>petani</v>
      </c>
    </row>
    <row r="432" hidden="1">
      <c r="C432" s="40" t="str">
        <f>IFERROR(__xludf.DUMMYFUNCTION("TEXTJOIN("", "",TRUE,UNIQUE(FILTER('Data Master'!$B$2:$B2880,'Data Master'!$J$2:$J2880=A432)))"),"petani")</f>
        <v>petani</v>
      </c>
    </row>
    <row r="433" hidden="1">
      <c r="C433" s="40" t="str">
        <f>IFERROR(__xludf.DUMMYFUNCTION("TEXTJOIN("", "",TRUE,UNIQUE(FILTER('Data Master'!$B$2:$B2880,'Data Master'!$J$2:$J2880=A433)))"),"petani")</f>
        <v>petani</v>
      </c>
    </row>
    <row r="434" hidden="1">
      <c r="C434" s="40" t="str">
        <f>IFERROR(__xludf.DUMMYFUNCTION("TEXTJOIN("", "",TRUE,UNIQUE(FILTER('Data Master'!$B$2:$B2880,'Data Master'!$J$2:$J2880=A434)))"),"petani")</f>
        <v>petani</v>
      </c>
    </row>
    <row r="435" hidden="1">
      <c r="C435" s="40" t="str">
        <f>IFERROR(__xludf.DUMMYFUNCTION("TEXTJOIN("", "",TRUE,UNIQUE(FILTER('Data Master'!$B$2:$B2880,'Data Master'!$J$2:$J2880=A435)))"),"petani")</f>
        <v>petani</v>
      </c>
    </row>
    <row r="436" hidden="1">
      <c r="C436" s="40" t="str">
        <f>IFERROR(__xludf.DUMMYFUNCTION("TEXTJOIN("", "",TRUE,UNIQUE(FILTER('Data Master'!$B$2:$B2880,'Data Master'!$J$2:$J2880=A436)))"),"petani")</f>
        <v>petani</v>
      </c>
    </row>
    <row r="437" hidden="1">
      <c r="C437" s="40" t="str">
        <f>IFERROR(__xludf.DUMMYFUNCTION("TEXTJOIN("", "",TRUE,UNIQUE(FILTER('Data Master'!$B$2:$B2880,'Data Master'!$J$2:$J2880=A437)))"),"petani")</f>
        <v>petani</v>
      </c>
    </row>
    <row r="438" hidden="1">
      <c r="C438" s="40" t="str">
        <f>IFERROR(__xludf.DUMMYFUNCTION("TEXTJOIN("", "",TRUE,UNIQUE(FILTER('Data Master'!$B$2:$B2880,'Data Master'!$J$2:$J2880=A438)))"),"petani")</f>
        <v>petani</v>
      </c>
    </row>
    <row r="439" hidden="1">
      <c r="C439" s="40" t="str">
        <f>IFERROR(__xludf.DUMMYFUNCTION("TEXTJOIN("", "",TRUE,UNIQUE(FILTER('Data Master'!$B$2:$B2880,'Data Master'!$J$2:$J2880=A439)))"),"petani")</f>
        <v>petani</v>
      </c>
    </row>
    <row r="440" hidden="1">
      <c r="C440" s="40" t="str">
        <f>IFERROR(__xludf.DUMMYFUNCTION("TEXTJOIN("", "",TRUE,UNIQUE(FILTER('Data Master'!$B$2:$B2880,'Data Master'!$J$2:$J2880=A440)))"),"petani")</f>
        <v>petani</v>
      </c>
    </row>
    <row r="441" hidden="1">
      <c r="C441" s="40" t="str">
        <f>IFERROR(__xludf.DUMMYFUNCTION("TEXTJOIN("", "",TRUE,UNIQUE(FILTER('Data Master'!$B$2:$B2880,'Data Master'!$J$2:$J2880=A441)))"),"petani")</f>
        <v>petani</v>
      </c>
    </row>
    <row r="442" hidden="1">
      <c r="C442" s="40" t="str">
        <f>IFERROR(__xludf.DUMMYFUNCTION("TEXTJOIN("", "",TRUE,UNIQUE(FILTER('Data Master'!$B$2:$B2880,'Data Master'!$J$2:$J2880=A442)))"),"petani")</f>
        <v>petani</v>
      </c>
    </row>
    <row r="443" hidden="1">
      <c r="C443" s="40" t="str">
        <f>IFERROR(__xludf.DUMMYFUNCTION("TEXTJOIN("", "",TRUE,UNIQUE(FILTER('Data Master'!$B$2:$B2880,'Data Master'!$J$2:$J2880=A443)))"),"petani")</f>
        <v>petani</v>
      </c>
    </row>
    <row r="444" hidden="1">
      <c r="C444" s="40" t="str">
        <f>IFERROR(__xludf.DUMMYFUNCTION("TEXTJOIN("", "",TRUE,UNIQUE(FILTER('Data Master'!$B$2:$B2880,'Data Master'!$J$2:$J2880=A444)))"),"petani")</f>
        <v>petani</v>
      </c>
    </row>
    <row r="445" hidden="1">
      <c r="C445" s="40" t="str">
        <f>IFERROR(__xludf.DUMMYFUNCTION("TEXTJOIN("", "",TRUE,UNIQUE(FILTER('Data Master'!$B$2:$B2880,'Data Master'!$J$2:$J2880=A445)))"),"petani")</f>
        <v>petani</v>
      </c>
    </row>
    <row r="446" hidden="1">
      <c r="C446" s="40" t="str">
        <f>IFERROR(__xludf.DUMMYFUNCTION("TEXTJOIN("", "",TRUE,UNIQUE(FILTER('Data Master'!$B$2:$B2880,'Data Master'!$J$2:$J2880=A446)))"),"petani")</f>
        <v>petani</v>
      </c>
    </row>
    <row r="447" hidden="1">
      <c r="C447" s="40" t="str">
        <f>IFERROR(__xludf.DUMMYFUNCTION("TEXTJOIN("", "",TRUE,UNIQUE(FILTER('Data Master'!$B$2:$B2880,'Data Master'!$J$2:$J2880=A447)))"),"petani")</f>
        <v>petani</v>
      </c>
    </row>
    <row r="448" hidden="1">
      <c r="C448" s="40" t="str">
        <f>IFERROR(__xludf.DUMMYFUNCTION("TEXTJOIN("", "",TRUE,UNIQUE(FILTER('Data Master'!$B$2:$B2880,'Data Master'!$J$2:$J2880=A448)))"),"petani")</f>
        <v>petani</v>
      </c>
    </row>
    <row r="449" hidden="1">
      <c r="C449" s="40" t="str">
        <f>IFERROR(__xludf.DUMMYFUNCTION("TEXTJOIN("", "",TRUE,UNIQUE(FILTER('Data Master'!$B$2:$B2880,'Data Master'!$J$2:$J2880=A449)))"),"petani")</f>
        <v>petani</v>
      </c>
    </row>
    <row r="450" hidden="1">
      <c r="C450" s="40" t="str">
        <f>IFERROR(__xludf.DUMMYFUNCTION("TEXTJOIN("", "",TRUE,UNIQUE(FILTER('Data Master'!$B$2:$B2880,'Data Master'!$J$2:$J2880=A450)))"),"petani")</f>
        <v>petani</v>
      </c>
    </row>
    <row r="451" hidden="1">
      <c r="C451" s="40" t="str">
        <f>IFERROR(__xludf.DUMMYFUNCTION("TEXTJOIN("", "",TRUE,UNIQUE(FILTER('Data Master'!$B$2:$B2880,'Data Master'!$J$2:$J2880=A451)))"),"petani")</f>
        <v>petani</v>
      </c>
    </row>
    <row r="452" hidden="1">
      <c r="C452" s="40" t="str">
        <f>IFERROR(__xludf.DUMMYFUNCTION("TEXTJOIN("", "",TRUE,UNIQUE(FILTER('Data Master'!$B$2:$B2880,'Data Master'!$J$2:$J2880=A452)))"),"petani")</f>
        <v>petani</v>
      </c>
    </row>
    <row r="453" hidden="1">
      <c r="C453" s="40" t="str">
        <f>IFERROR(__xludf.DUMMYFUNCTION("TEXTJOIN("", "",TRUE,UNIQUE(FILTER('Data Master'!$B$2:$B2880,'Data Master'!$J$2:$J2880=A453)))"),"petani")</f>
        <v>petani</v>
      </c>
    </row>
    <row r="454" hidden="1">
      <c r="C454" s="40" t="str">
        <f>IFERROR(__xludf.DUMMYFUNCTION("TEXTJOIN("", "",TRUE,UNIQUE(FILTER('Data Master'!$B$2:$B2880,'Data Master'!$J$2:$J2880=A454)))"),"petani")</f>
        <v>petani</v>
      </c>
    </row>
    <row r="455" hidden="1">
      <c r="C455" s="40" t="str">
        <f>IFERROR(__xludf.DUMMYFUNCTION("TEXTJOIN("", "",TRUE,UNIQUE(FILTER('Data Master'!$B$2:$B2880,'Data Master'!$J$2:$J2880=A455)))"),"petani")</f>
        <v>petani</v>
      </c>
    </row>
    <row r="456" hidden="1">
      <c r="C456" s="40" t="str">
        <f>IFERROR(__xludf.DUMMYFUNCTION("TEXTJOIN("", "",TRUE,UNIQUE(FILTER('Data Master'!$B$2:$B2880,'Data Master'!$J$2:$J2880=A456)))"),"petani")</f>
        <v>petani</v>
      </c>
    </row>
    <row r="457" hidden="1">
      <c r="C457" s="40" t="str">
        <f>IFERROR(__xludf.DUMMYFUNCTION("TEXTJOIN("", "",TRUE,UNIQUE(FILTER('Data Master'!$B$2:$B2880,'Data Master'!$J$2:$J2880=A457)))"),"petani")</f>
        <v>petani</v>
      </c>
    </row>
    <row r="458" hidden="1">
      <c r="C458" s="40" t="str">
        <f>IFERROR(__xludf.DUMMYFUNCTION("TEXTJOIN("", "",TRUE,UNIQUE(FILTER('Data Master'!$B$2:$B2880,'Data Master'!$J$2:$J2880=A458)))"),"petani")</f>
        <v>petani</v>
      </c>
    </row>
    <row r="459" hidden="1">
      <c r="C459" s="40" t="str">
        <f>IFERROR(__xludf.DUMMYFUNCTION("TEXTJOIN("", "",TRUE,UNIQUE(FILTER('Data Master'!$B$2:$B2880,'Data Master'!$J$2:$J2880=A459)))"),"petani")</f>
        <v>petani</v>
      </c>
    </row>
    <row r="460" hidden="1">
      <c r="C460" s="40" t="str">
        <f>IFERROR(__xludf.DUMMYFUNCTION("TEXTJOIN("", "",TRUE,UNIQUE(FILTER('Data Master'!$B$2:$B2880,'Data Master'!$J$2:$J2880=A460)))"),"petani")</f>
        <v>petani</v>
      </c>
    </row>
    <row r="461" hidden="1">
      <c r="C461" s="40" t="str">
        <f>IFERROR(__xludf.DUMMYFUNCTION("TEXTJOIN("", "",TRUE,UNIQUE(FILTER('Data Master'!$B$2:$B2880,'Data Master'!$J$2:$J2880=A461)))"),"petani")</f>
        <v>petani</v>
      </c>
    </row>
    <row r="462" hidden="1">
      <c r="C462" s="40" t="str">
        <f>IFERROR(__xludf.DUMMYFUNCTION("TEXTJOIN("", "",TRUE,UNIQUE(FILTER('Data Master'!$B$2:$B2880,'Data Master'!$J$2:$J2880=A462)))"),"petani")</f>
        <v>petani</v>
      </c>
    </row>
    <row r="463" hidden="1">
      <c r="C463" s="40" t="str">
        <f>IFERROR(__xludf.DUMMYFUNCTION("TEXTJOIN("", "",TRUE,UNIQUE(FILTER('Data Master'!$B$2:$B2880,'Data Master'!$J$2:$J2880=A463)))"),"petani")</f>
        <v>petani</v>
      </c>
    </row>
    <row r="464" hidden="1">
      <c r="C464" s="40" t="str">
        <f>IFERROR(__xludf.DUMMYFUNCTION("TEXTJOIN("", "",TRUE,UNIQUE(FILTER('Data Master'!$B$2:$B2880,'Data Master'!$J$2:$J2880=A464)))"),"petani")</f>
        <v>petani</v>
      </c>
    </row>
    <row r="465" hidden="1">
      <c r="C465" s="40" t="str">
        <f>IFERROR(__xludf.DUMMYFUNCTION("TEXTJOIN("", "",TRUE,UNIQUE(FILTER('Data Master'!$B$2:$B2880,'Data Master'!$J$2:$J2880=A465)))"),"petani")</f>
        <v>petani</v>
      </c>
    </row>
    <row r="466" hidden="1">
      <c r="C466" s="40" t="str">
        <f>IFERROR(__xludf.DUMMYFUNCTION("TEXTJOIN("", "",TRUE,UNIQUE(FILTER('Data Master'!$B$2:$B2880,'Data Master'!$J$2:$J2880=A466)))"),"petani")</f>
        <v>petani</v>
      </c>
    </row>
    <row r="467" hidden="1">
      <c r="C467" s="40" t="str">
        <f>IFERROR(__xludf.DUMMYFUNCTION("TEXTJOIN("", "",TRUE,UNIQUE(FILTER('Data Master'!$B$2:$B2880,'Data Master'!$J$2:$J2880=A467)))"),"petani")</f>
        <v>petani</v>
      </c>
    </row>
    <row r="468" hidden="1">
      <c r="C468" s="40" t="str">
        <f>IFERROR(__xludf.DUMMYFUNCTION("TEXTJOIN("", "",TRUE,UNIQUE(FILTER('Data Master'!$B$2:$B2880,'Data Master'!$J$2:$J2880=A468)))"),"petani")</f>
        <v>petani</v>
      </c>
    </row>
    <row r="469" hidden="1">
      <c r="C469" s="40" t="str">
        <f>IFERROR(__xludf.DUMMYFUNCTION("TEXTJOIN("", "",TRUE,UNIQUE(FILTER('Data Master'!$B$2:$B2880,'Data Master'!$J$2:$J2880=A469)))"),"petani")</f>
        <v>petani</v>
      </c>
    </row>
    <row r="470" hidden="1">
      <c r="C470" s="40" t="str">
        <f>IFERROR(__xludf.DUMMYFUNCTION("TEXTJOIN("", "",TRUE,UNIQUE(FILTER('Data Master'!$B$2:$B2880,'Data Master'!$J$2:$J2880=A470)))"),"petani")</f>
        <v>petani</v>
      </c>
    </row>
    <row r="471" hidden="1">
      <c r="C471" s="40" t="str">
        <f>IFERROR(__xludf.DUMMYFUNCTION("TEXTJOIN("", "",TRUE,UNIQUE(FILTER('Data Master'!$B$2:$B2880,'Data Master'!$J$2:$J2880=A471)))"),"petani")</f>
        <v>petani</v>
      </c>
    </row>
    <row r="472" hidden="1">
      <c r="C472" s="40" t="str">
        <f>IFERROR(__xludf.DUMMYFUNCTION("TEXTJOIN("", "",TRUE,UNIQUE(FILTER('Data Master'!$B$2:$B2880,'Data Master'!$J$2:$J2880=A472)))"),"petani")</f>
        <v>petani</v>
      </c>
    </row>
    <row r="473" hidden="1">
      <c r="C473" s="40" t="str">
        <f>IFERROR(__xludf.DUMMYFUNCTION("TEXTJOIN("", "",TRUE,UNIQUE(FILTER('Data Master'!$B$2:$B2880,'Data Master'!$J$2:$J2880=A473)))"),"petani")</f>
        <v>petani</v>
      </c>
    </row>
    <row r="474" hidden="1">
      <c r="C474" s="40" t="str">
        <f>IFERROR(__xludf.DUMMYFUNCTION("TEXTJOIN("", "",TRUE,UNIQUE(FILTER('Data Master'!$B$2:$B2880,'Data Master'!$J$2:$J2880=A474)))"),"petani")</f>
        <v>petani</v>
      </c>
    </row>
    <row r="475" hidden="1">
      <c r="C475" s="40" t="str">
        <f>IFERROR(__xludf.DUMMYFUNCTION("TEXTJOIN("", "",TRUE,UNIQUE(FILTER('Data Master'!$B$2:$B2880,'Data Master'!$J$2:$J2880=A475)))"),"petani")</f>
        <v>petani</v>
      </c>
    </row>
    <row r="476" hidden="1">
      <c r="C476" s="40" t="str">
        <f>IFERROR(__xludf.DUMMYFUNCTION("TEXTJOIN("", "",TRUE,UNIQUE(FILTER('Data Master'!$B$2:$B2880,'Data Master'!$J$2:$J2880=A476)))"),"petani")</f>
        <v>petani</v>
      </c>
    </row>
    <row r="477" hidden="1">
      <c r="C477" s="40" t="str">
        <f>IFERROR(__xludf.DUMMYFUNCTION("TEXTJOIN("", "",TRUE,UNIQUE(FILTER('Data Master'!$B$2:$B2880,'Data Master'!$J$2:$J2880=A477)))"),"petani")</f>
        <v>petani</v>
      </c>
    </row>
    <row r="478" hidden="1">
      <c r="C478" s="40" t="str">
        <f>IFERROR(__xludf.DUMMYFUNCTION("TEXTJOIN("", "",TRUE,UNIQUE(FILTER('Data Master'!$B$2:$B2880,'Data Master'!$J$2:$J2880=A478)))"),"petani")</f>
        <v>petani</v>
      </c>
    </row>
    <row r="479" hidden="1">
      <c r="C479" s="40" t="str">
        <f>IFERROR(__xludf.DUMMYFUNCTION("TEXTJOIN("", "",TRUE,UNIQUE(FILTER('Data Master'!$B$2:$B2880,'Data Master'!$J$2:$J2880=A479)))"),"petani")</f>
        <v>petani</v>
      </c>
    </row>
    <row r="480" hidden="1">
      <c r="C480" s="40" t="str">
        <f>IFERROR(__xludf.DUMMYFUNCTION("TEXTJOIN("", "",TRUE,UNIQUE(FILTER('Data Master'!$B$2:$B2880,'Data Master'!$J$2:$J2880=A480)))"),"petani")</f>
        <v>petani</v>
      </c>
    </row>
    <row r="481" hidden="1">
      <c r="C481" s="40" t="str">
        <f>IFERROR(__xludf.DUMMYFUNCTION("TEXTJOIN("", "",TRUE,UNIQUE(FILTER('Data Master'!$B$2:$B2880,'Data Master'!$J$2:$J2880=A481)))"),"petani")</f>
        <v>petani</v>
      </c>
    </row>
    <row r="482" hidden="1">
      <c r="C482" s="40" t="str">
        <f>IFERROR(__xludf.DUMMYFUNCTION("TEXTJOIN("", "",TRUE,UNIQUE(FILTER('Data Master'!$B$2:$B2880,'Data Master'!$J$2:$J2880=A482)))"),"petani")</f>
        <v>petani</v>
      </c>
    </row>
    <row r="483" hidden="1">
      <c r="C483" s="40" t="str">
        <f>IFERROR(__xludf.DUMMYFUNCTION("TEXTJOIN("", "",TRUE,UNIQUE(FILTER('Data Master'!$B$2:$B2880,'Data Master'!$J$2:$J2880=A483)))"),"petani")</f>
        <v>petani</v>
      </c>
    </row>
    <row r="484" hidden="1">
      <c r="C484" s="40" t="str">
        <f>IFERROR(__xludf.DUMMYFUNCTION("TEXTJOIN("", "",TRUE,UNIQUE(FILTER('Data Master'!$B$2:$B2880,'Data Master'!$J$2:$J2880=A484)))"),"petani")</f>
        <v>petani</v>
      </c>
    </row>
    <row r="485" hidden="1">
      <c r="C485" s="40" t="str">
        <f>IFERROR(__xludf.DUMMYFUNCTION("TEXTJOIN("", "",TRUE,UNIQUE(FILTER('Data Master'!$B$2:$B2880,'Data Master'!$J$2:$J2880=A485)))"),"petani")</f>
        <v>petani</v>
      </c>
    </row>
    <row r="486" hidden="1">
      <c r="C486" s="40" t="str">
        <f>IFERROR(__xludf.DUMMYFUNCTION("TEXTJOIN("", "",TRUE,UNIQUE(FILTER('Data Master'!$B$2:$B2880,'Data Master'!$J$2:$J2880=A486)))"),"petani")</f>
        <v>petani</v>
      </c>
    </row>
    <row r="487" hidden="1">
      <c r="C487" s="40" t="str">
        <f>IFERROR(__xludf.DUMMYFUNCTION("TEXTJOIN("", "",TRUE,UNIQUE(FILTER('Data Master'!$B$2:$B2880,'Data Master'!$J$2:$J2880=A487)))"),"petani")</f>
        <v>petani</v>
      </c>
    </row>
    <row r="488" hidden="1">
      <c r="C488" s="40" t="str">
        <f>IFERROR(__xludf.DUMMYFUNCTION("TEXTJOIN("", "",TRUE,UNIQUE(FILTER('Data Master'!$B$2:$B2880,'Data Master'!$J$2:$J2880=A488)))"),"petani")</f>
        <v>petani</v>
      </c>
    </row>
    <row r="489" hidden="1">
      <c r="C489" s="40" t="str">
        <f>IFERROR(__xludf.DUMMYFUNCTION("TEXTJOIN("", "",TRUE,UNIQUE(FILTER('Data Master'!$B$2:$B2880,'Data Master'!$J$2:$J2880=A489)))"),"petani")</f>
        <v>petani</v>
      </c>
    </row>
    <row r="490" hidden="1">
      <c r="C490" s="40" t="str">
        <f>IFERROR(__xludf.DUMMYFUNCTION("TEXTJOIN("", "",TRUE,UNIQUE(FILTER('Data Master'!$B$2:$B2880,'Data Master'!$J$2:$J2880=A490)))"),"petani")</f>
        <v>petani</v>
      </c>
    </row>
    <row r="491" hidden="1">
      <c r="C491" s="40" t="str">
        <f>IFERROR(__xludf.DUMMYFUNCTION("TEXTJOIN("", "",TRUE,UNIQUE(FILTER('Data Master'!$B$2:$B2880,'Data Master'!$J$2:$J2880=A491)))"),"petani")</f>
        <v>petani</v>
      </c>
    </row>
    <row r="492" hidden="1">
      <c r="C492" s="40" t="str">
        <f>IFERROR(__xludf.DUMMYFUNCTION("TEXTJOIN("", "",TRUE,UNIQUE(FILTER('Data Master'!$B$2:$B2880,'Data Master'!$J$2:$J2880=A492)))"),"petani")</f>
        <v>petani</v>
      </c>
    </row>
    <row r="493" hidden="1">
      <c r="C493" s="40" t="str">
        <f>IFERROR(__xludf.DUMMYFUNCTION("TEXTJOIN("", "",TRUE,UNIQUE(FILTER('Data Master'!$B$2:$B2880,'Data Master'!$J$2:$J2880=A493)))"),"petani")</f>
        <v>petani</v>
      </c>
    </row>
    <row r="494" hidden="1">
      <c r="C494" s="40" t="str">
        <f>IFERROR(__xludf.DUMMYFUNCTION("TEXTJOIN("", "",TRUE,UNIQUE(FILTER('Data Master'!$B$2:$B2880,'Data Master'!$J$2:$J2880=A494)))"),"petani")</f>
        <v>petani</v>
      </c>
    </row>
    <row r="495" hidden="1">
      <c r="C495" s="40" t="str">
        <f>IFERROR(__xludf.DUMMYFUNCTION("TEXTJOIN("", "",TRUE,UNIQUE(FILTER('Data Master'!$B$2:$B2880,'Data Master'!$J$2:$J2880=A495)))"),"petani")</f>
        <v>petani</v>
      </c>
    </row>
    <row r="496" hidden="1">
      <c r="C496" s="40" t="str">
        <f>IFERROR(__xludf.DUMMYFUNCTION("TEXTJOIN("", "",TRUE,UNIQUE(FILTER('Data Master'!$B$2:$B2880,'Data Master'!$J$2:$J2880=A496)))"),"petani")</f>
        <v>petani</v>
      </c>
    </row>
    <row r="497" hidden="1">
      <c r="C497" s="40" t="str">
        <f>IFERROR(__xludf.DUMMYFUNCTION("TEXTJOIN("", "",TRUE,UNIQUE(FILTER('Data Master'!$B$2:$B2880,'Data Master'!$J$2:$J2880=A497)))"),"petani")</f>
        <v>petani</v>
      </c>
    </row>
    <row r="498" hidden="1">
      <c r="C498" s="40" t="str">
        <f>IFERROR(__xludf.DUMMYFUNCTION("TEXTJOIN("", "",TRUE,UNIQUE(FILTER('Data Master'!$B$2:$B2880,'Data Master'!$J$2:$J2880=A498)))"),"petani")</f>
        <v>petani</v>
      </c>
    </row>
    <row r="499" hidden="1">
      <c r="C499" s="40" t="str">
        <f>IFERROR(__xludf.DUMMYFUNCTION("TEXTJOIN("", "",TRUE,UNIQUE(FILTER('Data Master'!$B$2:$B2880,'Data Master'!$J$2:$J2880=A499)))"),"petani")</f>
        <v>petani</v>
      </c>
    </row>
    <row r="500" hidden="1">
      <c r="C500" s="40" t="str">
        <f>IFERROR(__xludf.DUMMYFUNCTION("TEXTJOIN("", "",TRUE,UNIQUE(FILTER('Data Master'!$B$2:$B2880,'Data Master'!$J$2:$J2880=A500)))"),"petani")</f>
        <v>petani</v>
      </c>
    </row>
    <row r="501" hidden="1">
      <c r="C501" s="40" t="str">
        <f>IFERROR(__xludf.DUMMYFUNCTION("TEXTJOIN("", "",TRUE,UNIQUE(FILTER('Data Master'!$B$2:$B2880,'Data Master'!$J$2:$J2880=A501)))"),"petani")</f>
        <v>petani</v>
      </c>
    </row>
    <row r="502" hidden="1">
      <c r="C502" s="40" t="str">
        <f>IFERROR(__xludf.DUMMYFUNCTION("TEXTJOIN("", "",TRUE,UNIQUE(FILTER('Data Master'!$B$2:$B2880,'Data Master'!$J$2:$J2880=A502)))"),"petani")</f>
        <v>petani</v>
      </c>
    </row>
    <row r="503" hidden="1">
      <c r="C503" s="40" t="str">
        <f>IFERROR(__xludf.DUMMYFUNCTION("TEXTJOIN("", "",TRUE,UNIQUE(FILTER('Data Master'!$B$2:$B2880,'Data Master'!$J$2:$J2880=A503)))"),"petani")</f>
        <v>petani</v>
      </c>
    </row>
    <row r="504" hidden="1">
      <c r="C504" s="40" t="str">
        <f>IFERROR(__xludf.DUMMYFUNCTION("TEXTJOIN("", "",TRUE,UNIQUE(FILTER('Data Master'!$B$2:$B2880,'Data Master'!$J$2:$J2880=A504)))"),"petani")</f>
        <v>petani</v>
      </c>
    </row>
    <row r="505" hidden="1">
      <c r="C505" s="40" t="str">
        <f>IFERROR(__xludf.DUMMYFUNCTION("TEXTJOIN("", "",TRUE,UNIQUE(FILTER('Data Master'!$B$2:$B2880,'Data Master'!$J$2:$J2880=A505)))"),"petani")</f>
        <v>petani</v>
      </c>
    </row>
    <row r="506" hidden="1">
      <c r="C506" s="40" t="str">
        <f>IFERROR(__xludf.DUMMYFUNCTION("TEXTJOIN("", "",TRUE,UNIQUE(FILTER('Data Master'!$B$2:$B2880,'Data Master'!$J$2:$J2880=A506)))"),"petani")</f>
        <v>petani</v>
      </c>
    </row>
    <row r="507" hidden="1">
      <c r="C507" s="40" t="str">
        <f>IFERROR(__xludf.DUMMYFUNCTION("TEXTJOIN("", "",TRUE,UNIQUE(FILTER('Data Master'!$B$2:$B2880,'Data Master'!$J$2:$J2880=A507)))"),"petani")</f>
        <v>petani</v>
      </c>
    </row>
    <row r="508" hidden="1">
      <c r="C508" s="40" t="str">
        <f>IFERROR(__xludf.DUMMYFUNCTION("TEXTJOIN("", "",TRUE,UNIQUE(FILTER('Data Master'!$B$2:$B2880,'Data Master'!$J$2:$J2880=A508)))"),"petani")</f>
        <v>petani</v>
      </c>
    </row>
    <row r="509" hidden="1">
      <c r="C509" s="40" t="str">
        <f>IFERROR(__xludf.DUMMYFUNCTION("TEXTJOIN("", "",TRUE,UNIQUE(FILTER('Data Master'!$B$2:$B2880,'Data Master'!$J$2:$J2880=A509)))"),"petani")</f>
        <v>petani</v>
      </c>
    </row>
    <row r="510" hidden="1">
      <c r="C510" s="40" t="str">
        <f>IFERROR(__xludf.DUMMYFUNCTION("TEXTJOIN("", "",TRUE,UNIQUE(FILTER('Data Master'!$B$2:$B2880,'Data Master'!$J$2:$J2880=A510)))"),"petani")</f>
        <v>petani</v>
      </c>
    </row>
    <row r="511" hidden="1">
      <c r="C511" s="40" t="str">
        <f>IFERROR(__xludf.DUMMYFUNCTION("TEXTJOIN("", "",TRUE,UNIQUE(FILTER('Data Master'!$B$2:$B2880,'Data Master'!$J$2:$J2880=A511)))"),"petani")</f>
        <v>petani</v>
      </c>
    </row>
    <row r="512" hidden="1">
      <c r="C512" s="40" t="str">
        <f>IFERROR(__xludf.DUMMYFUNCTION("TEXTJOIN("", "",TRUE,UNIQUE(FILTER('Data Master'!$B$2:$B2880,'Data Master'!$J$2:$J2880=A512)))"),"petani")</f>
        <v>petani</v>
      </c>
    </row>
    <row r="513" hidden="1">
      <c r="C513" s="40" t="str">
        <f>IFERROR(__xludf.DUMMYFUNCTION("TEXTJOIN("", "",TRUE,UNIQUE(FILTER('Data Master'!$B$2:$B2880,'Data Master'!$J$2:$J2880=A513)))"),"petani")</f>
        <v>petani</v>
      </c>
    </row>
    <row r="514" hidden="1">
      <c r="C514" s="40" t="str">
        <f>IFERROR(__xludf.DUMMYFUNCTION("TEXTJOIN("", "",TRUE,UNIQUE(FILTER('Data Master'!$B$2:$B2880,'Data Master'!$J$2:$J2880=A514)))"),"petani")</f>
        <v>petani</v>
      </c>
    </row>
    <row r="515" hidden="1">
      <c r="C515" s="40" t="str">
        <f>IFERROR(__xludf.DUMMYFUNCTION("TEXTJOIN("", "",TRUE,UNIQUE(FILTER('Data Master'!$B$2:$B2880,'Data Master'!$J$2:$J2880=A515)))"),"petani")</f>
        <v>petani</v>
      </c>
    </row>
    <row r="516" hidden="1">
      <c r="C516" s="40" t="str">
        <f>IFERROR(__xludf.DUMMYFUNCTION("TEXTJOIN("", "",TRUE,UNIQUE(FILTER('Data Master'!$B$2:$B2880,'Data Master'!$J$2:$J2880=A516)))"),"petani")</f>
        <v>petani</v>
      </c>
    </row>
    <row r="517" hidden="1">
      <c r="C517" s="40" t="str">
        <f>IFERROR(__xludf.DUMMYFUNCTION("TEXTJOIN("", "",TRUE,UNIQUE(FILTER('Data Master'!$B$2:$B2880,'Data Master'!$J$2:$J2880=A517)))"),"petani")</f>
        <v>petani</v>
      </c>
    </row>
    <row r="518" hidden="1">
      <c r="C518" s="40" t="str">
        <f>IFERROR(__xludf.DUMMYFUNCTION("TEXTJOIN("", "",TRUE,UNIQUE(FILTER('Data Master'!$B$2:$B2880,'Data Master'!$J$2:$J2880=A518)))"),"petani")</f>
        <v>petani</v>
      </c>
    </row>
    <row r="519" hidden="1">
      <c r="C519" s="40" t="str">
        <f>IFERROR(__xludf.DUMMYFUNCTION("TEXTJOIN("", "",TRUE,UNIQUE(FILTER('Data Master'!$B$2:$B2880,'Data Master'!$J$2:$J2880=A519)))"),"petani")</f>
        <v>petani</v>
      </c>
    </row>
    <row r="520" hidden="1">
      <c r="C520" s="40" t="str">
        <f>IFERROR(__xludf.DUMMYFUNCTION("TEXTJOIN("", "",TRUE,UNIQUE(FILTER('Data Master'!$B$2:$B2880,'Data Master'!$J$2:$J2880=A520)))"),"petani")</f>
        <v>petani</v>
      </c>
    </row>
    <row r="521" hidden="1">
      <c r="C521" s="40" t="str">
        <f>IFERROR(__xludf.DUMMYFUNCTION("TEXTJOIN("", "",TRUE,UNIQUE(FILTER('Data Master'!$B$2:$B2880,'Data Master'!$J$2:$J2880=A521)))"),"petani")</f>
        <v>petani</v>
      </c>
    </row>
    <row r="522" hidden="1">
      <c r="C522" s="40" t="str">
        <f>IFERROR(__xludf.DUMMYFUNCTION("TEXTJOIN("", "",TRUE,UNIQUE(FILTER('Data Master'!$B$2:$B2880,'Data Master'!$J$2:$J2880=A522)))"),"petani")</f>
        <v>petani</v>
      </c>
    </row>
    <row r="523" hidden="1">
      <c r="C523" s="40" t="str">
        <f>IFERROR(__xludf.DUMMYFUNCTION("TEXTJOIN("", "",TRUE,UNIQUE(FILTER('Data Master'!$B$2:$B2880,'Data Master'!$J$2:$J2880=A523)))"),"petani")</f>
        <v>petani</v>
      </c>
    </row>
    <row r="524" hidden="1">
      <c r="C524" s="40" t="str">
        <f>IFERROR(__xludf.DUMMYFUNCTION("TEXTJOIN("", "",TRUE,UNIQUE(FILTER('Data Master'!$B$2:$B2880,'Data Master'!$J$2:$J2880=A524)))"),"petani")</f>
        <v>petani</v>
      </c>
    </row>
    <row r="525" hidden="1">
      <c r="C525" s="40" t="str">
        <f>IFERROR(__xludf.DUMMYFUNCTION("TEXTJOIN("", "",TRUE,UNIQUE(FILTER('Data Master'!$B$2:$B2880,'Data Master'!$J$2:$J2880=A525)))"),"petani")</f>
        <v>petani</v>
      </c>
    </row>
    <row r="526" hidden="1">
      <c r="C526" s="40" t="str">
        <f>IFERROR(__xludf.DUMMYFUNCTION("TEXTJOIN("", "",TRUE,UNIQUE(FILTER('Data Master'!$B$2:$B2880,'Data Master'!$J$2:$J2880=A526)))"),"petani")</f>
        <v>petani</v>
      </c>
    </row>
    <row r="527" hidden="1">
      <c r="C527" s="40" t="str">
        <f>IFERROR(__xludf.DUMMYFUNCTION("TEXTJOIN("", "",TRUE,UNIQUE(FILTER('Data Master'!$B$2:$B2880,'Data Master'!$J$2:$J2880=A527)))"),"petani")</f>
        <v>petani</v>
      </c>
    </row>
    <row r="528" hidden="1">
      <c r="C528" s="40" t="str">
        <f>IFERROR(__xludf.DUMMYFUNCTION("TEXTJOIN("", "",TRUE,UNIQUE(FILTER('Data Master'!$B$2:$B2880,'Data Master'!$J$2:$J2880=A528)))"),"petani")</f>
        <v>petani</v>
      </c>
    </row>
    <row r="529" hidden="1">
      <c r="C529" s="40" t="str">
        <f>IFERROR(__xludf.DUMMYFUNCTION("TEXTJOIN("", "",TRUE,UNIQUE(FILTER('Data Master'!$B$2:$B2880,'Data Master'!$J$2:$J2880=A529)))"),"petani")</f>
        <v>petani</v>
      </c>
    </row>
    <row r="530" hidden="1">
      <c r="C530" s="40" t="str">
        <f>IFERROR(__xludf.DUMMYFUNCTION("TEXTJOIN("", "",TRUE,UNIQUE(FILTER('Data Master'!$B$2:$B2880,'Data Master'!$J$2:$J2880=A530)))"),"petani")</f>
        <v>petani</v>
      </c>
    </row>
    <row r="531" hidden="1">
      <c r="C531" s="40" t="str">
        <f>IFERROR(__xludf.DUMMYFUNCTION("TEXTJOIN("", "",TRUE,UNIQUE(FILTER('Data Master'!$B$2:$B2880,'Data Master'!$J$2:$J2880=A531)))"),"petani")</f>
        <v>petani</v>
      </c>
    </row>
    <row r="532" hidden="1">
      <c r="C532" s="40" t="str">
        <f>IFERROR(__xludf.DUMMYFUNCTION("TEXTJOIN("", "",TRUE,UNIQUE(FILTER('Data Master'!$B$2:$B2880,'Data Master'!$J$2:$J2880=A532)))"),"petani")</f>
        <v>petani</v>
      </c>
    </row>
    <row r="533" hidden="1">
      <c r="C533" s="40" t="str">
        <f>IFERROR(__xludf.DUMMYFUNCTION("TEXTJOIN("", "",TRUE,UNIQUE(FILTER('Data Master'!$B$2:$B2880,'Data Master'!$J$2:$J2880=A533)))"),"petani")</f>
        <v>petani</v>
      </c>
    </row>
    <row r="534" hidden="1">
      <c r="C534" s="40" t="str">
        <f>IFERROR(__xludf.DUMMYFUNCTION("TEXTJOIN("", "",TRUE,UNIQUE(FILTER('Data Master'!$B$2:$B2880,'Data Master'!$J$2:$J2880=A534)))"),"petani")</f>
        <v>petani</v>
      </c>
    </row>
    <row r="535" hidden="1">
      <c r="C535" s="40" t="str">
        <f>IFERROR(__xludf.DUMMYFUNCTION("TEXTJOIN("", "",TRUE,UNIQUE(FILTER('Data Master'!$B$2:$B2880,'Data Master'!$J$2:$J2880=A535)))"),"petani")</f>
        <v>petani</v>
      </c>
    </row>
    <row r="536" hidden="1">
      <c r="C536" s="40" t="str">
        <f>IFERROR(__xludf.DUMMYFUNCTION("TEXTJOIN("", "",TRUE,UNIQUE(FILTER('Data Master'!$B$2:$B2880,'Data Master'!$J$2:$J2880=A536)))"),"petani")</f>
        <v>petani</v>
      </c>
    </row>
    <row r="537" hidden="1">
      <c r="C537" s="40" t="str">
        <f>IFERROR(__xludf.DUMMYFUNCTION("TEXTJOIN("", "",TRUE,UNIQUE(FILTER('Data Master'!$B$2:$B2880,'Data Master'!$J$2:$J2880=A537)))"),"petani")</f>
        <v>petani</v>
      </c>
    </row>
    <row r="538" hidden="1">
      <c r="C538" s="40" t="str">
        <f>IFERROR(__xludf.DUMMYFUNCTION("TEXTJOIN("", "",TRUE,UNIQUE(FILTER('Data Master'!$B$2:$B2880,'Data Master'!$J$2:$J2880=A538)))"),"petani")</f>
        <v>petani</v>
      </c>
    </row>
    <row r="539" hidden="1">
      <c r="C539" s="40" t="str">
        <f>IFERROR(__xludf.DUMMYFUNCTION("TEXTJOIN("", "",TRUE,UNIQUE(FILTER('Data Master'!$B$2:$B2880,'Data Master'!$J$2:$J2880=A539)))"),"petani")</f>
        <v>petani</v>
      </c>
    </row>
    <row r="540" hidden="1">
      <c r="C540" s="40" t="str">
        <f>IFERROR(__xludf.DUMMYFUNCTION("TEXTJOIN("", "",TRUE,UNIQUE(FILTER('Data Master'!$B$2:$B2880,'Data Master'!$J$2:$J2880=A540)))"),"petani")</f>
        <v>petani</v>
      </c>
    </row>
    <row r="541" hidden="1">
      <c r="C541" s="40" t="str">
        <f>IFERROR(__xludf.DUMMYFUNCTION("TEXTJOIN("", "",TRUE,UNIQUE(FILTER('Data Master'!$B$2:$B2880,'Data Master'!$J$2:$J2880=A541)))"),"petani")</f>
        <v>petani</v>
      </c>
    </row>
    <row r="542" hidden="1">
      <c r="C542" s="40" t="str">
        <f>IFERROR(__xludf.DUMMYFUNCTION("TEXTJOIN("", "",TRUE,UNIQUE(FILTER('Data Master'!$B$2:$B2880,'Data Master'!$J$2:$J2880=A542)))"),"petani")</f>
        <v>petani</v>
      </c>
    </row>
    <row r="543" hidden="1">
      <c r="C543" s="40" t="str">
        <f>IFERROR(__xludf.DUMMYFUNCTION("TEXTJOIN("", "",TRUE,UNIQUE(FILTER('Data Master'!$B$2:$B2880,'Data Master'!$J$2:$J2880=A543)))"),"petani")</f>
        <v>petani</v>
      </c>
    </row>
    <row r="544" hidden="1">
      <c r="C544" s="40" t="str">
        <f>IFERROR(__xludf.DUMMYFUNCTION("TEXTJOIN("", "",TRUE,UNIQUE(FILTER('Data Master'!$B$2:$B2880,'Data Master'!$J$2:$J2880=A544)))"),"petani")</f>
        <v>petani</v>
      </c>
    </row>
    <row r="545" hidden="1">
      <c r="C545" s="40" t="str">
        <f>IFERROR(__xludf.DUMMYFUNCTION("TEXTJOIN("", "",TRUE,UNIQUE(FILTER('Data Master'!$B$2:$B2880,'Data Master'!$J$2:$J2880=A545)))"),"petani")</f>
        <v>petani</v>
      </c>
    </row>
    <row r="546" hidden="1">
      <c r="C546" s="40" t="str">
        <f>IFERROR(__xludf.DUMMYFUNCTION("TEXTJOIN("", "",TRUE,UNIQUE(FILTER('Data Master'!$B$2:$B2880,'Data Master'!$J$2:$J2880=A546)))"),"petani")</f>
        <v>petani</v>
      </c>
    </row>
    <row r="547" hidden="1">
      <c r="C547" s="40" t="str">
        <f>IFERROR(__xludf.DUMMYFUNCTION("TEXTJOIN("", "",TRUE,UNIQUE(FILTER('Data Master'!$B$2:$B2880,'Data Master'!$J$2:$J2880=A547)))"),"petani")</f>
        <v>petani</v>
      </c>
    </row>
    <row r="548" hidden="1">
      <c r="C548" s="40" t="str">
        <f>IFERROR(__xludf.DUMMYFUNCTION("TEXTJOIN("", "",TRUE,UNIQUE(FILTER('Data Master'!$B$2:$B2880,'Data Master'!$J$2:$J2880=A548)))"),"petani")</f>
        <v>petani</v>
      </c>
    </row>
    <row r="549" hidden="1">
      <c r="C549" s="40" t="str">
        <f>IFERROR(__xludf.DUMMYFUNCTION("TEXTJOIN("", "",TRUE,UNIQUE(FILTER('Data Master'!$B$2:$B2880,'Data Master'!$J$2:$J2880=A549)))"),"petani")</f>
        <v>petani</v>
      </c>
    </row>
    <row r="550" hidden="1">
      <c r="C550" s="40" t="str">
        <f>IFERROR(__xludf.DUMMYFUNCTION("TEXTJOIN("", "",TRUE,UNIQUE(FILTER('Data Master'!$B$2:$B2880,'Data Master'!$J$2:$J2880=A550)))"),"petani")</f>
        <v>petani</v>
      </c>
    </row>
    <row r="551" hidden="1">
      <c r="C551" s="40" t="str">
        <f>IFERROR(__xludf.DUMMYFUNCTION("TEXTJOIN("", "",TRUE,UNIQUE(FILTER('Data Master'!$B$2:$B2880,'Data Master'!$J$2:$J2880=A551)))"),"petani")</f>
        <v>petani</v>
      </c>
    </row>
    <row r="552" hidden="1">
      <c r="C552" s="40" t="str">
        <f>IFERROR(__xludf.DUMMYFUNCTION("TEXTJOIN("", "",TRUE,UNIQUE(FILTER('Data Master'!$B$2:$B2880,'Data Master'!$J$2:$J2880=A552)))"),"petani")</f>
        <v>petani</v>
      </c>
    </row>
    <row r="553" hidden="1">
      <c r="C553" s="40" t="str">
        <f>IFERROR(__xludf.DUMMYFUNCTION("TEXTJOIN("", "",TRUE,UNIQUE(FILTER('Data Master'!$B$2:$B2880,'Data Master'!$J$2:$J2880=A553)))"),"operator admin")</f>
        <v>operator admin</v>
      </c>
    </row>
    <row r="554" hidden="1">
      <c r="C554" s="40" t="str">
        <f>IFERROR(__xludf.DUMMYFUNCTION("TEXTJOIN("", "",TRUE,UNIQUE(FILTER('Data Master'!$B$2:$B2880,'Data Master'!$J$2:$J2880=A554)))"),"petani")</f>
        <v>petani</v>
      </c>
    </row>
    <row r="555" hidden="1">
      <c r="C555" s="40" t="str">
        <f>IFERROR(__xludf.DUMMYFUNCTION("TEXTJOIN("", "",TRUE,UNIQUE(FILTER('Data Master'!$B$2:$B2880,'Data Master'!$J$2:$J2880=A555)))"),"petani")</f>
        <v>petani</v>
      </c>
    </row>
    <row r="556" hidden="1">
      <c r="C556" s="40" t="str">
        <f>IFERROR(__xludf.DUMMYFUNCTION("TEXTJOIN("", "",TRUE,UNIQUE(FILTER('Data Master'!$B$2:$B2880,'Data Master'!$J$2:$J2880=A556)))"),"petani")</f>
        <v>petani</v>
      </c>
    </row>
    <row r="557" hidden="1">
      <c r="C557" s="40" t="str">
        <f>IFERROR(__xludf.DUMMYFUNCTION("TEXTJOIN("", "",TRUE,UNIQUE(FILTER('Data Master'!$B$2:$B2880,'Data Master'!$J$2:$J2880=A557)))"),"petani")</f>
        <v>petani</v>
      </c>
    </row>
    <row r="558" hidden="1">
      <c r="C558" s="40" t="str">
        <f>IFERROR(__xludf.DUMMYFUNCTION("TEXTJOIN("", "",TRUE,UNIQUE(FILTER('Data Master'!$B$2:$B2880,'Data Master'!$J$2:$J2880=A558)))"),"petani")</f>
        <v>petani</v>
      </c>
    </row>
    <row r="559" hidden="1">
      <c r="C559" s="40" t="str">
        <f>IFERROR(__xludf.DUMMYFUNCTION("TEXTJOIN("", "",TRUE,UNIQUE(FILTER('Data Master'!$B$2:$B2880,'Data Master'!$J$2:$J2880=A559)))"),"petani")</f>
        <v>petani</v>
      </c>
    </row>
    <row r="560" hidden="1">
      <c r="C560" s="40" t="str">
        <f>IFERROR(__xludf.DUMMYFUNCTION("TEXTJOIN("", "",TRUE,UNIQUE(FILTER('Data Master'!$B$2:$B2880,'Data Master'!$J$2:$J2880=A560)))"),"petani")</f>
        <v>petani</v>
      </c>
    </row>
    <row r="561" hidden="1">
      <c r="C561" s="40" t="str">
        <f>IFERROR(__xludf.DUMMYFUNCTION("TEXTJOIN("", "",TRUE,UNIQUE(FILTER('Data Master'!$B$2:$B2880,'Data Master'!$J$2:$J2880=A561)))"),"petani")</f>
        <v>petani</v>
      </c>
    </row>
    <row r="562" hidden="1">
      <c r="C562" s="40" t="str">
        <f>IFERROR(__xludf.DUMMYFUNCTION("TEXTJOIN("", "",TRUE,UNIQUE(FILTER('Data Master'!$B$2:$B2880,'Data Master'!$J$2:$J2880=A562)))"),"petani")</f>
        <v>petani</v>
      </c>
    </row>
    <row r="563" hidden="1">
      <c r="C563" s="40" t="str">
        <f>IFERROR(__xludf.DUMMYFUNCTION("TEXTJOIN("", "",TRUE,UNIQUE(FILTER('Data Master'!$B$2:$B2880,'Data Master'!$J$2:$J2880=A563)))"),"petani")</f>
        <v>petani</v>
      </c>
    </row>
    <row r="564" hidden="1">
      <c r="C564" s="40" t="str">
        <f>IFERROR(__xludf.DUMMYFUNCTION("TEXTJOIN("", "",TRUE,UNIQUE(FILTER('Data Master'!$B$2:$B2880,'Data Master'!$J$2:$J2880=A564)))"),"petani")</f>
        <v>petani</v>
      </c>
    </row>
    <row r="565" hidden="1">
      <c r="C565" s="40" t="str">
        <f>IFERROR(__xludf.DUMMYFUNCTION("TEXTJOIN("", "",TRUE,UNIQUE(FILTER('Data Master'!$B$2:$B2880,'Data Master'!$J$2:$J2880=A565)))"),"petani")</f>
        <v>petani</v>
      </c>
    </row>
    <row r="566" hidden="1">
      <c r="C566" s="40" t="str">
        <f>IFERROR(__xludf.DUMMYFUNCTION("TEXTJOIN("", "",TRUE,UNIQUE(FILTER('Data Master'!$B$2:$B2880,'Data Master'!$J$2:$J2880=A566)))"),"petani")</f>
        <v>petani</v>
      </c>
    </row>
    <row r="567" hidden="1">
      <c r="C567" s="40" t="str">
        <f>IFERROR(__xludf.DUMMYFUNCTION("TEXTJOIN("", "",TRUE,UNIQUE(FILTER('Data Master'!$B$2:$B2880,'Data Master'!$J$2:$J2880=A567)))"),"petani")</f>
        <v>petani</v>
      </c>
    </row>
    <row r="568" hidden="1">
      <c r="C568" s="40" t="str">
        <f>IFERROR(__xludf.DUMMYFUNCTION("TEXTJOIN("", "",TRUE,UNIQUE(FILTER('Data Master'!$B$2:$B2880,'Data Master'!$J$2:$J2880=A568)))"),"petani")</f>
        <v>petani</v>
      </c>
    </row>
    <row r="569" hidden="1">
      <c r="C569" s="40" t="str">
        <f>IFERROR(__xludf.DUMMYFUNCTION("TEXTJOIN("", "",TRUE,UNIQUE(FILTER('Data Master'!$B$2:$B2880,'Data Master'!$J$2:$J2880=A569)))"),"petani")</f>
        <v>petani</v>
      </c>
    </row>
    <row r="570" hidden="1">
      <c r="C570" s="40" t="str">
        <f>IFERROR(__xludf.DUMMYFUNCTION("TEXTJOIN("", "",TRUE,UNIQUE(FILTER('Data Master'!$B$2:$B2880,'Data Master'!$J$2:$J2880=A570)))"),"petani")</f>
        <v>petani</v>
      </c>
    </row>
    <row r="571" hidden="1">
      <c r="C571" s="40" t="str">
        <f>IFERROR(__xludf.DUMMYFUNCTION("TEXTJOIN("", "",TRUE,UNIQUE(FILTER('Data Master'!$B$2:$B2880,'Data Master'!$J$2:$J2880=A571)))"),"petani")</f>
        <v>petani</v>
      </c>
    </row>
    <row r="572" hidden="1">
      <c r="C572" s="40" t="str">
        <f>IFERROR(__xludf.DUMMYFUNCTION("TEXTJOIN("", "",TRUE,UNIQUE(FILTER('Data Master'!$B$2:$B2880,'Data Master'!$J$2:$J2880=A572)))"),"petani")</f>
        <v>petani</v>
      </c>
    </row>
    <row r="573" hidden="1">
      <c r="C573" s="40" t="str">
        <f>IFERROR(__xludf.DUMMYFUNCTION("TEXTJOIN("", "",TRUE,UNIQUE(FILTER('Data Master'!$B$2:$B2880,'Data Master'!$J$2:$J2880=A573)))"),"petani")</f>
        <v>petani</v>
      </c>
    </row>
    <row r="574" hidden="1">
      <c r="C574" s="40" t="str">
        <f>IFERROR(__xludf.DUMMYFUNCTION("TEXTJOIN("", "",TRUE,UNIQUE(FILTER('Data Master'!$B$2:$B2880,'Data Master'!$J$2:$J2880=A574)))"),"petani")</f>
        <v>petani</v>
      </c>
    </row>
    <row r="575" hidden="1">
      <c r="C575" s="40" t="str">
        <f>IFERROR(__xludf.DUMMYFUNCTION("TEXTJOIN("", "",TRUE,UNIQUE(FILTER('Data Master'!$B$2:$B2880,'Data Master'!$J$2:$J2880=A575)))"),"petani")</f>
        <v>petani</v>
      </c>
    </row>
    <row r="576" hidden="1">
      <c r="C576" s="40" t="str">
        <f>IFERROR(__xludf.DUMMYFUNCTION("TEXTJOIN("", "",TRUE,UNIQUE(FILTER('Data Master'!$B$2:$B2880,'Data Master'!$J$2:$J2880=A576)))"),"petani")</f>
        <v>petani</v>
      </c>
    </row>
    <row r="577" hidden="1">
      <c r="C577" s="40" t="str">
        <f>IFERROR(__xludf.DUMMYFUNCTION("TEXTJOIN("", "",TRUE,UNIQUE(FILTER('Data Master'!$B$2:$B2880,'Data Master'!$J$2:$J2880=A577)))"),"petani")</f>
        <v>petani</v>
      </c>
    </row>
    <row r="578" hidden="1">
      <c r="C578" s="40" t="str">
        <f>IFERROR(__xludf.DUMMYFUNCTION("TEXTJOIN("", "",TRUE,UNIQUE(FILTER('Data Master'!$B$2:$B2880,'Data Master'!$J$2:$J2880=A578)))"),"petani")</f>
        <v>petani</v>
      </c>
    </row>
    <row r="579" hidden="1">
      <c r="C579" s="40" t="str">
        <f>IFERROR(__xludf.DUMMYFUNCTION("TEXTJOIN("", "",TRUE,UNIQUE(FILTER('Data Master'!$B$2:$B2880,'Data Master'!$J$2:$J2880=A579)))"),"petani")</f>
        <v>petani</v>
      </c>
    </row>
    <row r="580" hidden="1">
      <c r="C580" s="40" t="str">
        <f>IFERROR(__xludf.DUMMYFUNCTION("TEXTJOIN("", "",TRUE,UNIQUE(FILTER('Data Master'!$B$2:$B2880,'Data Master'!$J$2:$J2880=A580)))"),"petani")</f>
        <v>petani</v>
      </c>
    </row>
    <row r="581" hidden="1">
      <c r="C581" s="40" t="str">
        <f>IFERROR(__xludf.DUMMYFUNCTION("TEXTJOIN("", "",TRUE,UNIQUE(FILTER('Data Master'!$B$2:$B2880,'Data Master'!$J$2:$J2880=A581)))"),"petani")</f>
        <v>petani</v>
      </c>
    </row>
    <row r="582" hidden="1">
      <c r="C582" s="40" t="str">
        <f>IFERROR(__xludf.DUMMYFUNCTION("TEXTJOIN("", "",TRUE,UNIQUE(FILTER('Data Master'!$B$2:$B2880,'Data Master'!$J$2:$J2880=A582)))"),"petani")</f>
        <v>petani</v>
      </c>
    </row>
    <row r="583" hidden="1">
      <c r="C583" s="40" t="str">
        <f>IFERROR(__xludf.DUMMYFUNCTION("TEXTJOIN("", "",TRUE,UNIQUE(FILTER('Data Master'!$B$2:$B2880,'Data Master'!$J$2:$J2880=A583)))"),"petani")</f>
        <v>petani</v>
      </c>
    </row>
    <row r="584" hidden="1">
      <c r="C584" s="40" t="str">
        <f>IFERROR(__xludf.DUMMYFUNCTION("TEXTJOIN("", "",TRUE,UNIQUE(FILTER('Data Master'!$B$2:$B2880,'Data Master'!$J$2:$J2880=A584)))"),"petani")</f>
        <v>petani</v>
      </c>
    </row>
    <row r="585" hidden="1">
      <c r="C585" s="40" t="str">
        <f>IFERROR(__xludf.DUMMYFUNCTION("TEXTJOIN("", "",TRUE,UNIQUE(FILTER('Data Master'!$B$2:$B2880,'Data Master'!$J$2:$J2880=A585)))"),"petani")</f>
        <v>petani</v>
      </c>
    </row>
    <row r="586" hidden="1">
      <c r="C586" s="40" t="str">
        <f>IFERROR(__xludf.DUMMYFUNCTION("TEXTJOIN("", "",TRUE,UNIQUE(FILTER('Data Master'!$B$2:$B2880,'Data Master'!$J$2:$J2880=A586)))"),"petani")</f>
        <v>petani</v>
      </c>
    </row>
    <row r="587" hidden="1">
      <c r="C587" s="40" t="str">
        <f>IFERROR(__xludf.DUMMYFUNCTION("TEXTJOIN("", "",TRUE,UNIQUE(FILTER('Data Master'!$B$2:$B2880,'Data Master'!$J$2:$J2880=A587)))"),"petani")</f>
        <v>petani</v>
      </c>
    </row>
    <row r="588" hidden="1">
      <c r="C588" s="40" t="str">
        <f>IFERROR(__xludf.DUMMYFUNCTION("TEXTJOIN("", "",TRUE,UNIQUE(FILTER('Data Master'!$B$2:$B2880,'Data Master'!$J$2:$J2880=A588)))"),"petani")</f>
        <v>petani</v>
      </c>
    </row>
    <row r="589" hidden="1">
      <c r="C589" s="40" t="str">
        <f>IFERROR(__xludf.DUMMYFUNCTION("TEXTJOIN("", "",TRUE,UNIQUE(FILTER('Data Master'!$B$2:$B2880,'Data Master'!$J$2:$J2880=A589)))"),"petani")</f>
        <v>petani</v>
      </c>
    </row>
    <row r="590" hidden="1">
      <c r="C590" s="40" t="str">
        <f>IFERROR(__xludf.DUMMYFUNCTION("TEXTJOIN("", "",TRUE,UNIQUE(FILTER('Data Master'!$B$2:$B2880,'Data Master'!$J$2:$J2880=A590)))"),"petani")</f>
        <v>petani</v>
      </c>
    </row>
    <row r="591" hidden="1">
      <c r="C591" s="40" t="str">
        <f>IFERROR(__xludf.DUMMYFUNCTION("TEXTJOIN("", "",TRUE,UNIQUE(FILTER('Data Master'!$B$2:$B2880,'Data Master'!$J$2:$J2880=A591)))"),"petani")</f>
        <v>petani</v>
      </c>
    </row>
    <row r="592" hidden="1">
      <c r="C592" s="40" t="str">
        <f>IFERROR(__xludf.DUMMYFUNCTION("TEXTJOIN("", "",TRUE,UNIQUE(FILTER('Data Master'!$B$2:$B2880,'Data Master'!$J$2:$J2880=A592)))"),"petani")</f>
        <v>petani</v>
      </c>
    </row>
    <row r="593" hidden="1">
      <c r="C593" s="40" t="str">
        <f>IFERROR(__xludf.DUMMYFUNCTION("TEXTJOIN("", "",TRUE,UNIQUE(FILTER('Data Master'!$B$2:$B2880,'Data Master'!$J$2:$J2880=A593)))"),"petani")</f>
        <v>petani</v>
      </c>
    </row>
    <row r="594" hidden="1">
      <c r="C594" s="40" t="str">
        <f>IFERROR(__xludf.DUMMYFUNCTION("TEXTJOIN("", "",TRUE,UNIQUE(FILTER('Data Master'!$B$2:$B2880,'Data Master'!$J$2:$J2880=A594)))"),"petani")</f>
        <v>petani</v>
      </c>
    </row>
    <row r="595" hidden="1">
      <c r="C595" s="40" t="str">
        <f>IFERROR(__xludf.DUMMYFUNCTION("TEXTJOIN("", "",TRUE,UNIQUE(FILTER('Data Master'!$B$2:$B2880,'Data Master'!$J$2:$J2880=A595)))"),"petani")</f>
        <v>petani</v>
      </c>
    </row>
    <row r="596" hidden="1">
      <c r="C596" s="40" t="str">
        <f>IFERROR(__xludf.DUMMYFUNCTION("TEXTJOIN("", "",TRUE,UNIQUE(FILTER('Data Master'!$B$2:$B2880,'Data Master'!$J$2:$J2880=A596)))"),"petani")</f>
        <v>petani</v>
      </c>
    </row>
    <row r="597" hidden="1">
      <c r="C597" s="40" t="str">
        <f>IFERROR(__xludf.DUMMYFUNCTION("TEXTJOIN("", "",TRUE,UNIQUE(FILTER('Data Master'!$B$2:$B2880,'Data Master'!$J$2:$J2880=A597)))"),"petani")</f>
        <v>petani</v>
      </c>
    </row>
    <row r="598" hidden="1">
      <c r="C598" s="40" t="str">
        <f>IFERROR(__xludf.DUMMYFUNCTION("TEXTJOIN("", "",TRUE,UNIQUE(FILTER('Data Master'!$B$2:$B2880,'Data Master'!$J$2:$J2880=A598)))"),"petani")</f>
        <v>petani</v>
      </c>
    </row>
    <row r="599" hidden="1">
      <c r="C599" s="40" t="str">
        <f>IFERROR(__xludf.DUMMYFUNCTION("TEXTJOIN("", "",TRUE,UNIQUE(FILTER('Data Master'!$B$2:$B2880,'Data Master'!$J$2:$J2880=A599)))"),"petani")</f>
        <v>petani</v>
      </c>
    </row>
    <row r="600" hidden="1">
      <c r="C600" s="40" t="str">
        <f>IFERROR(__xludf.DUMMYFUNCTION("TEXTJOIN("", "",TRUE,UNIQUE(FILTER('Data Master'!$B$2:$B2880,'Data Master'!$J$2:$J2880=A600)))"),"petani")</f>
        <v>petani</v>
      </c>
    </row>
    <row r="601" hidden="1">
      <c r="C601" s="40" t="str">
        <f>IFERROR(__xludf.DUMMYFUNCTION("TEXTJOIN("", "",TRUE,UNIQUE(FILTER('Data Master'!$B$2:$B2880,'Data Master'!$J$2:$J2880=A601)))"),"petani")</f>
        <v>petani</v>
      </c>
    </row>
    <row r="602" hidden="1">
      <c r="C602" s="40" t="str">
        <f>IFERROR(__xludf.DUMMYFUNCTION("TEXTJOIN("", "",TRUE,UNIQUE(FILTER('Data Master'!$B$2:$B2880,'Data Master'!$J$2:$J2880=A602)))"),"petani")</f>
        <v>petani</v>
      </c>
    </row>
    <row r="603" hidden="1">
      <c r="C603" s="40" t="str">
        <f>IFERROR(__xludf.DUMMYFUNCTION("TEXTJOIN("", "",TRUE,UNIQUE(FILTER('Data Master'!$B$2:$B2880,'Data Master'!$J$2:$J2880=A603)))"),"petani")</f>
        <v>petani</v>
      </c>
    </row>
    <row r="604" hidden="1">
      <c r="C604" s="40" t="str">
        <f>IFERROR(__xludf.DUMMYFUNCTION("TEXTJOIN("", "",TRUE,UNIQUE(FILTER('Data Master'!$B$2:$B2880,'Data Master'!$J$2:$J2880=A604)))"),"petani")</f>
        <v>petani</v>
      </c>
    </row>
    <row r="605" hidden="1">
      <c r="C605" s="40" t="str">
        <f>IFERROR(__xludf.DUMMYFUNCTION("TEXTJOIN("", "",TRUE,UNIQUE(FILTER('Data Master'!$B$2:$B2880,'Data Master'!$J$2:$J2880=A605)))"),"petani")</f>
        <v>petani</v>
      </c>
    </row>
    <row r="606" hidden="1">
      <c r="C606" s="40" t="str">
        <f>IFERROR(__xludf.DUMMYFUNCTION("TEXTJOIN("", "",TRUE,UNIQUE(FILTER('Data Master'!$B$2:$B2880,'Data Master'!$J$2:$J2880=A606)))"),"petani")</f>
        <v>petani</v>
      </c>
    </row>
    <row r="607" hidden="1">
      <c r="C607" s="40" t="str">
        <f>IFERROR(__xludf.DUMMYFUNCTION("TEXTJOIN("", "",TRUE,UNIQUE(FILTER('Data Master'!$B$2:$B2880,'Data Master'!$J$2:$J2880=A607)))"),"petani")</f>
        <v>petani</v>
      </c>
    </row>
    <row r="608" hidden="1">
      <c r="C608" s="40" t="str">
        <f>IFERROR(__xludf.DUMMYFUNCTION("TEXTJOIN("", "",TRUE,UNIQUE(FILTER('Data Master'!$B$2:$B2880,'Data Master'!$J$2:$J2880=A608)))"),"petani")</f>
        <v>petani</v>
      </c>
    </row>
    <row r="609" hidden="1">
      <c r="C609" s="40" t="str">
        <f>IFERROR(__xludf.DUMMYFUNCTION("TEXTJOIN("", "",TRUE,UNIQUE(FILTER('Data Master'!$B$2:$B2880,'Data Master'!$J$2:$J2880=A609)))"),"petani")</f>
        <v>petani</v>
      </c>
    </row>
    <row r="610" hidden="1">
      <c r="C610" s="40" t="str">
        <f>IFERROR(__xludf.DUMMYFUNCTION("TEXTJOIN("", "",TRUE,UNIQUE(FILTER('Data Master'!$B$2:$B2880,'Data Master'!$J$2:$J2880=A610)))"),"petani")</f>
        <v>petani</v>
      </c>
    </row>
    <row r="611" hidden="1">
      <c r="C611" s="40" t="str">
        <f>IFERROR(__xludf.DUMMYFUNCTION("TEXTJOIN("", "",TRUE,UNIQUE(FILTER('Data Master'!$B$2:$B2880,'Data Master'!$J$2:$J2880=A611)))"),"petani")</f>
        <v>petani</v>
      </c>
    </row>
    <row r="612" hidden="1">
      <c r="C612" s="40" t="str">
        <f>IFERROR(__xludf.DUMMYFUNCTION("TEXTJOIN("", "",TRUE,UNIQUE(FILTER('Data Master'!$B$2:$B2880,'Data Master'!$J$2:$J2880=A612)))"),"petani")</f>
        <v>petani</v>
      </c>
    </row>
    <row r="613" hidden="1">
      <c r="C613" s="40" t="str">
        <f>IFERROR(__xludf.DUMMYFUNCTION("TEXTJOIN("", "",TRUE,UNIQUE(FILTER('Data Master'!$B$2:$B2880,'Data Master'!$J$2:$J2880=A613)))"),"petani")</f>
        <v>petani</v>
      </c>
    </row>
    <row r="614" hidden="1">
      <c r="C614" s="40" t="str">
        <f>IFERROR(__xludf.DUMMYFUNCTION("TEXTJOIN("", "",TRUE,UNIQUE(FILTER('Data Master'!$B$2:$B2880,'Data Master'!$J$2:$J2880=A614)))"),"petani")</f>
        <v>petani</v>
      </c>
    </row>
    <row r="615" hidden="1">
      <c r="C615" s="40" t="str">
        <f>IFERROR(__xludf.DUMMYFUNCTION("TEXTJOIN("", "",TRUE,UNIQUE(FILTER('Data Master'!$B$2:$B2880,'Data Master'!$J$2:$J2880=A615)))"),"petani")</f>
        <v>petani</v>
      </c>
    </row>
    <row r="616" hidden="1">
      <c r="C616" s="40" t="str">
        <f>IFERROR(__xludf.DUMMYFUNCTION("TEXTJOIN("", "",TRUE,UNIQUE(FILTER('Data Master'!$B$2:$B2880,'Data Master'!$J$2:$J2880=A616)))"),"petani")</f>
        <v>petani</v>
      </c>
    </row>
    <row r="617" hidden="1">
      <c r="C617" s="40" t="str">
        <f>IFERROR(__xludf.DUMMYFUNCTION("TEXTJOIN("", "",TRUE,UNIQUE(FILTER('Data Master'!$B$2:$B2880,'Data Master'!$J$2:$J2880=A617)))"),"petani")</f>
        <v>petani</v>
      </c>
    </row>
    <row r="618" hidden="1">
      <c r="C618" s="40" t="str">
        <f>IFERROR(__xludf.DUMMYFUNCTION("TEXTJOIN("", "",TRUE,UNIQUE(FILTER('Data Master'!$B$2:$B2880,'Data Master'!$J$2:$J2880=A618)))"),"petani")</f>
        <v>petani</v>
      </c>
    </row>
    <row r="619" hidden="1">
      <c r="C619" s="40" t="str">
        <f>IFERROR(__xludf.DUMMYFUNCTION("TEXTJOIN("", "",TRUE,UNIQUE(FILTER('Data Master'!$B$2:$B2880,'Data Master'!$J$2:$J2880=A619)))"),"petani")</f>
        <v>petani</v>
      </c>
    </row>
    <row r="620" hidden="1">
      <c r="C620" s="40" t="str">
        <f>IFERROR(__xludf.DUMMYFUNCTION("TEXTJOIN("", "",TRUE,UNIQUE(FILTER('Data Master'!$B$2:$B2880,'Data Master'!$J$2:$J2880=A620)))"),"petani")</f>
        <v>petani</v>
      </c>
    </row>
    <row r="621" hidden="1">
      <c r="C621" s="40" t="str">
        <f>IFERROR(__xludf.DUMMYFUNCTION("TEXTJOIN("", "",TRUE,UNIQUE(FILTER('Data Master'!$B$2:$B2880,'Data Master'!$J$2:$J2880=A621)))"),"petani")</f>
        <v>petani</v>
      </c>
    </row>
    <row r="622" hidden="1">
      <c r="C622" s="40" t="str">
        <f>IFERROR(__xludf.DUMMYFUNCTION("TEXTJOIN("", "",TRUE,UNIQUE(FILTER('Data Master'!$B$2:$B2880,'Data Master'!$J$2:$J2880=A622)))"),"petani")</f>
        <v>petani</v>
      </c>
    </row>
    <row r="623" hidden="1">
      <c r="C623" s="40" t="str">
        <f>IFERROR(__xludf.DUMMYFUNCTION("TEXTJOIN("", "",TRUE,UNIQUE(FILTER('Data Master'!$B$2:$B2880,'Data Master'!$J$2:$J2880=A623)))"),"petani")</f>
        <v>petani</v>
      </c>
    </row>
    <row r="624" hidden="1">
      <c r="C624" s="40" t="str">
        <f>IFERROR(__xludf.DUMMYFUNCTION("TEXTJOIN("", "",TRUE,UNIQUE(FILTER('Data Master'!$B$2:$B2880,'Data Master'!$J$2:$J2880=A624)))"),"petani")</f>
        <v>petani</v>
      </c>
    </row>
    <row r="625" hidden="1">
      <c r="C625" s="40" t="str">
        <f>IFERROR(__xludf.DUMMYFUNCTION("TEXTJOIN("", "",TRUE,UNIQUE(FILTER('Data Master'!$B$2:$B2880,'Data Master'!$J$2:$J2880=A625)))"),"petani")</f>
        <v>petani</v>
      </c>
    </row>
    <row r="626" hidden="1">
      <c r="C626" s="40" t="str">
        <f>IFERROR(__xludf.DUMMYFUNCTION("TEXTJOIN("", "",TRUE,UNIQUE(FILTER('Data Master'!$B$2:$B2880,'Data Master'!$J$2:$J2880=A626)))"),"petani")</f>
        <v>petani</v>
      </c>
    </row>
    <row r="627" hidden="1">
      <c r="C627" s="40" t="str">
        <f>IFERROR(__xludf.DUMMYFUNCTION("TEXTJOIN("", "",TRUE,UNIQUE(FILTER('Data Master'!$B$2:$B2880,'Data Master'!$J$2:$J2880=A627)))"),"petani")</f>
        <v>petani</v>
      </c>
    </row>
    <row r="628" hidden="1">
      <c r="C628" s="40" t="str">
        <f>IFERROR(__xludf.DUMMYFUNCTION("TEXTJOIN("", "",TRUE,UNIQUE(FILTER('Data Master'!$B$2:$B2880,'Data Master'!$J$2:$J2880=A628)))"),"petani")</f>
        <v>petani</v>
      </c>
    </row>
    <row r="629" hidden="1">
      <c r="C629" s="40" t="str">
        <f>IFERROR(__xludf.DUMMYFUNCTION("TEXTJOIN("", "",TRUE,UNIQUE(FILTER('Data Master'!$B$2:$B2880,'Data Master'!$J$2:$J2880=A629)))"),"petani")</f>
        <v>petani</v>
      </c>
    </row>
    <row r="630" hidden="1">
      <c r="C630" s="40" t="str">
        <f>IFERROR(__xludf.DUMMYFUNCTION("TEXTJOIN("", "",TRUE,UNIQUE(FILTER('Data Master'!$B$2:$B2880,'Data Master'!$J$2:$J2880=A630)))"),"petani")</f>
        <v>petani</v>
      </c>
    </row>
    <row r="631" hidden="1">
      <c r="C631" s="40" t="str">
        <f>IFERROR(__xludf.DUMMYFUNCTION("TEXTJOIN("", "",TRUE,UNIQUE(FILTER('Data Master'!$B$2:$B2880,'Data Master'!$J$2:$J2880=A631)))"),"petani")</f>
        <v>petani</v>
      </c>
    </row>
    <row r="632" hidden="1">
      <c r="C632" s="40" t="str">
        <f>IFERROR(__xludf.DUMMYFUNCTION("TEXTJOIN("", "",TRUE,UNIQUE(FILTER('Data Master'!$B$2:$B2880,'Data Master'!$J$2:$J2880=A632)))"),"petani")</f>
        <v>petani</v>
      </c>
    </row>
    <row r="633" hidden="1">
      <c r="C633" s="40" t="str">
        <f>IFERROR(__xludf.DUMMYFUNCTION("TEXTJOIN("", "",TRUE,UNIQUE(FILTER('Data Master'!$B$2:$B2880,'Data Master'!$J$2:$J2880=A633)))"),"petani")</f>
        <v>petani</v>
      </c>
    </row>
    <row r="634" hidden="1">
      <c r="C634" s="40" t="str">
        <f>IFERROR(__xludf.DUMMYFUNCTION("TEXTJOIN("", "",TRUE,UNIQUE(FILTER('Data Master'!$B$2:$B2880,'Data Master'!$J$2:$J2880=A634)))"),"petani")</f>
        <v>petani</v>
      </c>
    </row>
    <row r="635" hidden="1">
      <c r="C635" s="40" t="str">
        <f>IFERROR(__xludf.DUMMYFUNCTION("TEXTJOIN("", "",TRUE,UNIQUE(FILTER('Data Master'!$B$2:$B2880,'Data Master'!$J$2:$J2880=A635)))"),"petani")</f>
        <v>petani</v>
      </c>
    </row>
    <row r="636" hidden="1">
      <c r="C636" s="40" t="str">
        <f>IFERROR(__xludf.DUMMYFUNCTION("TEXTJOIN("", "",TRUE,UNIQUE(FILTER('Data Master'!$B$2:$B2880,'Data Master'!$J$2:$J2880=A636)))"),"petani")</f>
        <v>petani</v>
      </c>
    </row>
    <row r="637" hidden="1">
      <c r="C637" s="40" t="str">
        <f>IFERROR(__xludf.DUMMYFUNCTION("TEXTJOIN("", "",TRUE,UNIQUE(FILTER('Data Master'!$B$2:$B2880,'Data Master'!$J$2:$J2880=A637)))"),"petani")</f>
        <v>petani</v>
      </c>
    </row>
    <row r="638" hidden="1">
      <c r="C638" s="40" t="str">
        <f>IFERROR(__xludf.DUMMYFUNCTION("TEXTJOIN("", "",TRUE,UNIQUE(FILTER('Data Master'!$B$2:$B2880,'Data Master'!$J$2:$J2880=A638)))"),"petani")</f>
        <v>petani</v>
      </c>
    </row>
    <row r="639" hidden="1">
      <c r="C639" s="40" t="str">
        <f>IFERROR(__xludf.DUMMYFUNCTION("TEXTJOIN("", "",TRUE,UNIQUE(FILTER('Data Master'!$B$2:$B2880,'Data Master'!$J$2:$J2880=A639)))"),"petani")</f>
        <v>petani</v>
      </c>
    </row>
    <row r="640" hidden="1">
      <c r="C640" s="40" t="str">
        <f>IFERROR(__xludf.DUMMYFUNCTION("TEXTJOIN("", "",TRUE,UNIQUE(FILTER('Data Master'!$B$2:$B2880,'Data Master'!$J$2:$J2880=A640)))"),"petani")</f>
        <v>petani</v>
      </c>
    </row>
    <row r="641" hidden="1">
      <c r="C641" s="40" t="str">
        <f>IFERROR(__xludf.DUMMYFUNCTION("TEXTJOIN("", "",TRUE,UNIQUE(FILTER('Data Master'!$B$2:$B2880,'Data Master'!$J$2:$J2880=A641)))"),"petani")</f>
        <v>petani</v>
      </c>
    </row>
    <row r="642" hidden="1">
      <c r="C642" s="40" t="str">
        <f>IFERROR(__xludf.DUMMYFUNCTION("TEXTJOIN("", "",TRUE,UNIQUE(FILTER('Data Master'!$B$2:$B2880,'Data Master'!$J$2:$J2880=A642)))"),"petani")</f>
        <v>petani</v>
      </c>
    </row>
    <row r="643" hidden="1">
      <c r="C643" s="40" t="str">
        <f>IFERROR(__xludf.DUMMYFUNCTION("TEXTJOIN("", "",TRUE,UNIQUE(FILTER('Data Master'!$B$2:$B2880,'Data Master'!$J$2:$J2880=A643)))"),"petani")</f>
        <v>petani</v>
      </c>
    </row>
    <row r="644" hidden="1">
      <c r="C644" s="40" t="str">
        <f>IFERROR(__xludf.DUMMYFUNCTION("TEXTJOIN("", "",TRUE,UNIQUE(FILTER('Data Master'!$B$2:$B2880,'Data Master'!$J$2:$J2880=A644)))"),"petani")</f>
        <v>petani</v>
      </c>
    </row>
    <row r="645" hidden="1">
      <c r="C645" s="40" t="str">
        <f>IFERROR(__xludf.DUMMYFUNCTION("TEXTJOIN("", "",TRUE,UNIQUE(FILTER('Data Master'!$B$2:$B2880,'Data Master'!$J$2:$J2880=A645)))"),"petani")</f>
        <v>petani</v>
      </c>
    </row>
    <row r="646" hidden="1">
      <c r="C646" s="40" t="str">
        <f>IFERROR(__xludf.DUMMYFUNCTION("TEXTJOIN("", "",TRUE,UNIQUE(FILTER('Data Master'!$B$2:$B2880,'Data Master'!$J$2:$J2880=A646)))"),"petani")</f>
        <v>petani</v>
      </c>
    </row>
    <row r="647" hidden="1">
      <c r="C647" s="40" t="str">
        <f>IFERROR(__xludf.DUMMYFUNCTION("TEXTJOIN("", "",TRUE,UNIQUE(FILTER('Data Master'!$B$2:$B2880,'Data Master'!$J$2:$J2880=A647)))"),"petani")</f>
        <v>petani</v>
      </c>
    </row>
    <row r="648" hidden="1">
      <c r="C648" s="40" t="str">
        <f>IFERROR(__xludf.DUMMYFUNCTION("TEXTJOIN("", "",TRUE,UNIQUE(FILTER('Data Master'!$B$2:$B2880,'Data Master'!$J$2:$J2880=A648)))"),"petani")</f>
        <v>petani</v>
      </c>
    </row>
    <row r="649" hidden="1">
      <c r="C649" s="40" t="str">
        <f>IFERROR(__xludf.DUMMYFUNCTION("TEXTJOIN("", "",TRUE,UNIQUE(FILTER('Data Master'!$B$2:$B2880,'Data Master'!$J$2:$J2880=A649)))"),"petani")</f>
        <v>petani</v>
      </c>
    </row>
    <row r="650" hidden="1">
      <c r="C650" s="40" t="str">
        <f>IFERROR(__xludf.DUMMYFUNCTION("TEXTJOIN("", "",TRUE,UNIQUE(FILTER('Data Master'!$B$2:$B2880,'Data Master'!$J$2:$J2880=A650)))"),"petani")</f>
        <v>petani</v>
      </c>
    </row>
    <row r="651" hidden="1">
      <c r="C651" s="40" t="str">
        <f>IFERROR(__xludf.DUMMYFUNCTION("TEXTJOIN("", "",TRUE,UNIQUE(FILTER('Data Master'!$B$2:$B2880,'Data Master'!$J$2:$J2880=A651)))"),"petani")</f>
        <v>petani</v>
      </c>
    </row>
    <row r="652" hidden="1">
      <c r="C652" s="40" t="str">
        <f>IFERROR(__xludf.DUMMYFUNCTION("TEXTJOIN("", "",TRUE,UNIQUE(FILTER('Data Master'!$B$2:$B2880,'Data Master'!$J$2:$J2880=A652)))"),"petani")</f>
        <v>petani</v>
      </c>
    </row>
    <row r="653" hidden="1">
      <c r="C653" s="40" t="str">
        <f>IFERROR(__xludf.DUMMYFUNCTION("TEXTJOIN("", "",TRUE,UNIQUE(FILTER('Data Master'!$B$2:$B2880,'Data Master'!$J$2:$J2880=A653)))"),"petani")</f>
        <v>petani</v>
      </c>
    </row>
    <row r="654" hidden="1">
      <c r="C654" s="40" t="str">
        <f>IFERROR(__xludf.DUMMYFUNCTION("TEXTJOIN("", "",TRUE,UNIQUE(FILTER('Data Master'!$B$2:$B2880,'Data Master'!$J$2:$J2880=A654)))"),"petani")</f>
        <v>petani</v>
      </c>
    </row>
    <row r="655" hidden="1">
      <c r="C655" s="40" t="str">
        <f>IFERROR(__xludf.DUMMYFUNCTION("TEXTJOIN("", "",TRUE,UNIQUE(FILTER('Data Master'!$B$2:$B2880,'Data Master'!$J$2:$J2880=A655)))"),"petani")</f>
        <v>petani</v>
      </c>
    </row>
    <row r="656" hidden="1">
      <c r="C656" s="40" t="str">
        <f>IFERROR(__xludf.DUMMYFUNCTION("TEXTJOIN("", "",TRUE,UNIQUE(FILTER('Data Master'!$B$2:$B2880,'Data Master'!$J$2:$J2880=A656)))"),"petani")</f>
        <v>petani</v>
      </c>
    </row>
    <row r="657" hidden="1">
      <c r="C657" s="40" t="str">
        <f>IFERROR(__xludf.DUMMYFUNCTION("TEXTJOIN("", "",TRUE,UNIQUE(FILTER('Data Master'!$B$2:$B2880,'Data Master'!$J$2:$J2880=A657)))"),"petani")</f>
        <v>petani</v>
      </c>
    </row>
    <row r="658" hidden="1">
      <c r="C658" s="40" t="str">
        <f>IFERROR(__xludf.DUMMYFUNCTION("TEXTJOIN("", "",TRUE,UNIQUE(FILTER('Data Master'!$B$2:$B2880,'Data Master'!$J$2:$J2880=A658)))"),"petani")</f>
        <v>petani</v>
      </c>
    </row>
    <row r="659" hidden="1">
      <c r="C659" s="40" t="str">
        <f>IFERROR(__xludf.DUMMYFUNCTION("TEXTJOIN("", "",TRUE,UNIQUE(FILTER('Data Master'!$B$2:$B2880,'Data Master'!$J$2:$J2880=A659)))"),"petani")</f>
        <v>petani</v>
      </c>
    </row>
    <row r="660" hidden="1">
      <c r="C660" s="40" t="str">
        <f>IFERROR(__xludf.DUMMYFUNCTION("TEXTJOIN("", "",TRUE,UNIQUE(FILTER('Data Master'!$B$2:$B2880,'Data Master'!$J$2:$J2880=A660)))"),"petani")</f>
        <v>petani</v>
      </c>
    </row>
    <row r="661" hidden="1">
      <c r="C661" s="40" t="str">
        <f>IFERROR(__xludf.DUMMYFUNCTION("TEXTJOIN("", "",TRUE,UNIQUE(FILTER('Data Master'!$B$2:$B2880,'Data Master'!$J$2:$J2880=A661)))"),"petani")</f>
        <v>petani</v>
      </c>
    </row>
    <row r="662" hidden="1">
      <c r="C662" s="40" t="str">
        <f>IFERROR(__xludf.DUMMYFUNCTION("TEXTJOIN("", "",TRUE,UNIQUE(FILTER('Data Master'!$B$2:$B2880,'Data Master'!$J$2:$J2880=A662)))"),"petani")</f>
        <v>petani</v>
      </c>
    </row>
    <row r="663" hidden="1">
      <c r="C663" s="40" t="str">
        <f>IFERROR(__xludf.DUMMYFUNCTION("TEXTJOIN("", "",TRUE,UNIQUE(FILTER('Data Master'!$B$2:$B2880,'Data Master'!$J$2:$J2880=A663)))"),"petani")</f>
        <v>petani</v>
      </c>
    </row>
    <row r="664" hidden="1">
      <c r="C664" s="40" t="str">
        <f>IFERROR(__xludf.DUMMYFUNCTION("TEXTJOIN("", "",TRUE,UNIQUE(FILTER('Data Master'!$B$2:$B2880,'Data Master'!$J$2:$J2880=A664)))"),"petani")</f>
        <v>petani</v>
      </c>
    </row>
    <row r="665" hidden="1">
      <c r="C665" s="40" t="str">
        <f>IFERROR(__xludf.DUMMYFUNCTION("TEXTJOIN("", "",TRUE,UNIQUE(FILTER('Data Master'!$B$2:$B2880,'Data Master'!$J$2:$J2880=A665)))"),"petani")</f>
        <v>petani</v>
      </c>
    </row>
    <row r="666" hidden="1">
      <c r="C666" s="40" t="str">
        <f>IFERROR(__xludf.DUMMYFUNCTION("TEXTJOIN("", "",TRUE,UNIQUE(FILTER('Data Master'!$B$2:$B2880,'Data Master'!$J$2:$J2880=A666)))"),"petani")</f>
        <v>petani</v>
      </c>
    </row>
    <row r="667" hidden="1">
      <c r="C667" s="40" t="str">
        <f>IFERROR(__xludf.DUMMYFUNCTION("TEXTJOIN("", "",TRUE,UNIQUE(FILTER('Data Master'!$B$2:$B2880,'Data Master'!$J$2:$J2880=A667)))"),"petani")</f>
        <v>petani</v>
      </c>
    </row>
    <row r="668" hidden="1">
      <c r="C668" s="40" t="str">
        <f>IFERROR(__xludf.DUMMYFUNCTION("TEXTJOIN("", "",TRUE,UNIQUE(FILTER('Data Master'!$B$2:$B2880,'Data Master'!$J$2:$J2880=A668)))"),"petani")</f>
        <v>petani</v>
      </c>
    </row>
    <row r="669" hidden="1">
      <c r="C669" s="40" t="str">
        <f>IFERROR(__xludf.DUMMYFUNCTION("TEXTJOIN("", "",TRUE,UNIQUE(FILTER('Data Master'!$B$2:$B2880,'Data Master'!$J$2:$J2880=A669)))"),"petani")</f>
        <v>petani</v>
      </c>
    </row>
    <row r="670" hidden="1">
      <c r="C670" s="40" t="str">
        <f>IFERROR(__xludf.DUMMYFUNCTION("TEXTJOIN("", "",TRUE,UNIQUE(FILTER('Data Master'!$B$2:$B2880,'Data Master'!$J$2:$J2880=A670)))"),"petani")</f>
        <v>petani</v>
      </c>
    </row>
    <row r="671" hidden="1">
      <c r="C671" s="40" t="str">
        <f>IFERROR(__xludf.DUMMYFUNCTION("TEXTJOIN("", "",TRUE,UNIQUE(FILTER('Data Master'!$B$2:$B2880,'Data Master'!$J$2:$J2880=A671)))"),"petani")</f>
        <v>petani</v>
      </c>
    </row>
    <row r="672" hidden="1">
      <c r="C672" s="40" t="str">
        <f>IFERROR(__xludf.DUMMYFUNCTION("TEXTJOIN("", "",TRUE,UNIQUE(FILTER('Data Master'!$B$2:$B2880,'Data Master'!$J$2:$J2880=A672)))"),"petani")</f>
        <v>petani</v>
      </c>
    </row>
    <row r="673" hidden="1">
      <c r="C673" s="40" t="str">
        <f>IFERROR(__xludf.DUMMYFUNCTION("TEXTJOIN("", "",TRUE,UNIQUE(FILTER('Data Master'!$B$2:$B2880,'Data Master'!$J$2:$J2880=A673)))"),"petani")</f>
        <v>petani</v>
      </c>
    </row>
    <row r="674" hidden="1">
      <c r="C674" s="40" t="str">
        <f>IFERROR(__xludf.DUMMYFUNCTION("TEXTJOIN("", "",TRUE,UNIQUE(FILTER('Data Master'!$B$2:$B2880,'Data Master'!$J$2:$J2880=A674)))"),"petani")</f>
        <v>petani</v>
      </c>
    </row>
    <row r="675" hidden="1">
      <c r="C675" s="40" t="str">
        <f>IFERROR(__xludf.DUMMYFUNCTION("TEXTJOIN("", "",TRUE,UNIQUE(FILTER('Data Master'!$B$2:$B2880,'Data Master'!$J$2:$J2880=A675)))"),"petani")</f>
        <v>petani</v>
      </c>
    </row>
    <row r="676" hidden="1">
      <c r="C676" s="40" t="str">
        <f>IFERROR(__xludf.DUMMYFUNCTION("TEXTJOIN("", "",TRUE,UNIQUE(FILTER('Data Master'!$B$2:$B2880,'Data Master'!$J$2:$J2880=A676)))"),"petani")</f>
        <v>petani</v>
      </c>
    </row>
    <row r="677" hidden="1">
      <c r="C677" s="40" t="str">
        <f>IFERROR(__xludf.DUMMYFUNCTION("TEXTJOIN("", "",TRUE,UNIQUE(FILTER('Data Master'!$B$2:$B2880,'Data Master'!$J$2:$J2880=A677)))"),"petani")</f>
        <v>petani</v>
      </c>
    </row>
    <row r="678" hidden="1">
      <c r="C678" s="40" t="str">
        <f>IFERROR(__xludf.DUMMYFUNCTION("TEXTJOIN("", "",TRUE,UNIQUE(FILTER('Data Master'!$B$2:$B2880,'Data Master'!$J$2:$J2880=A678)))"),"petani")</f>
        <v>petani</v>
      </c>
    </row>
    <row r="679" hidden="1">
      <c r="C679" s="40" t="str">
        <f>IFERROR(__xludf.DUMMYFUNCTION("TEXTJOIN("", "",TRUE,UNIQUE(FILTER('Data Master'!$B$2:$B2880,'Data Master'!$J$2:$J2880=A679)))"),"petani")</f>
        <v>petani</v>
      </c>
    </row>
    <row r="680" hidden="1">
      <c r="C680" s="40" t="str">
        <f>IFERROR(__xludf.DUMMYFUNCTION("TEXTJOIN("", "",TRUE,UNIQUE(FILTER('Data Master'!$B$2:$B2880,'Data Master'!$J$2:$J2880=A680)))"),"petani")</f>
        <v>petani</v>
      </c>
    </row>
    <row r="681" hidden="1">
      <c r="C681" s="40" t="str">
        <f>IFERROR(__xludf.DUMMYFUNCTION("TEXTJOIN("", "",TRUE,UNIQUE(FILTER('Data Master'!$B$2:$B2880,'Data Master'!$J$2:$J2880=A681)))"),"petani")</f>
        <v>petani</v>
      </c>
    </row>
    <row r="682" hidden="1">
      <c r="C682" s="40" t="str">
        <f>IFERROR(__xludf.DUMMYFUNCTION("TEXTJOIN("", "",TRUE,UNIQUE(FILTER('Data Master'!$B$2:$B2880,'Data Master'!$J$2:$J2880=A682)))"),"petani")</f>
        <v>petani</v>
      </c>
    </row>
    <row r="683" hidden="1">
      <c r="C683" s="40" t="str">
        <f>IFERROR(__xludf.DUMMYFUNCTION("TEXTJOIN("", "",TRUE,UNIQUE(FILTER('Data Master'!$B$2:$B2880,'Data Master'!$J$2:$J2880=A683)))"),"petani")</f>
        <v>petani</v>
      </c>
    </row>
    <row r="684" hidden="1">
      <c r="C684" s="40" t="str">
        <f>IFERROR(__xludf.DUMMYFUNCTION("TEXTJOIN("", "",TRUE,UNIQUE(FILTER('Data Master'!$B$2:$B2880,'Data Master'!$J$2:$J2880=A684)))"),"petani")</f>
        <v>petani</v>
      </c>
    </row>
    <row r="685" hidden="1">
      <c r="C685" s="40" t="str">
        <f>IFERROR(__xludf.DUMMYFUNCTION("TEXTJOIN("", "",TRUE,UNIQUE(FILTER('Data Master'!$B$2:$B2880,'Data Master'!$J$2:$J2880=A685)))"),"petani")</f>
        <v>petani</v>
      </c>
    </row>
    <row r="686" hidden="1">
      <c r="C686" s="40" t="str">
        <f>IFERROR(__xludf.DUMMYFUNCTION("TEXTJOIN("", "",TRUE,UNIQUE(FILTER('Data Master'!$B$2:$B2880,'Data Master'!$J$2:$J2880=A686)))"),"petani")</f>
        <v>petani</v>
      </c>
    </row>
    <row r="687" hidden="1">
      <c r="C687" s="40" t="str">
        <f>IFERROR(__xludf.DUMMYFUNCTION("TEXTJOIN("", "",TRUE,UNIQUE(FILTER('Data Master'!$B$2:$B2880,'Data Master'!$J$2:$J2880=A687)))"),"petani")</f>
        <v>petani</v>
      </c>
    </row>
    <row r="688" hidden="1">
      <c r="C688" s="40" t="str">
        <f>IFERROR(__xludf.DUMMYFUNCTION("TEXTJOIN("", "",TRUE,UNIQUE(FILTER('Data Master'!$B$2:$B2880,'Data Master'!$J$2:$J2880=A688)))"),"petani")</f>
        <v>petani</v>
      </c>
    </row>
    <row r="689" hidden="1">
      <c r="C689" s="40" t="str">
        <f>IFERROR(__xludf.DUMMYFUNCTION("TEXTJOIN("", "",TRUE,UNIQUE(FILTER('Data Master'!$B$2:$B2880,'Data Master'!$J$2:$J2880=A689)))"),"petani")</f>
        <v>petani</v>
      </c>
    </row>
    <row r="690" hidden="1">
      <c r="C690" s="40" t="str">
        <f>IFERROR(__xludf.DUMMYFUNCTION("TEXTJOIN("", "",TRUE,UNIQUE(FILTER('Data Master'!$B$2:$B2880,'Data Master'!$J$2:$J2880=A690)))"),"petani")</f>
        <v>petani</v>
      </c>
    </row>
    <row r="691" hidden="1">
      <c r="C691" s="40" t="str">
        <f>IFERROR(__xludf.DUMMYFUNCTION("TEXTJOIN("", "",TRUE,UNIQUE(FILTER('Data Master'!$B$2:$B2880,'Data Master'!$J$2:$J2880=A691)))"),"petani")</f>
        <v>petani</v>
      </c>
    </row>
    <row r="692" hidden="1">
      <c r="C692" s="40" t="str">
        <f>IFERROR(__xludf.DUMMYFUNCTION("TEXTJOIN("", "",TRUE,UNIQUE(FILTER('Data Master'!$B$2:$B2880,'Data Master'!$J$2:$J2880=A692)))"),"petani")</f>
        <v>petani</v>
      </c>
    </row>
    <row r="693" hidden="1">
      <c r="C693" s="40" t="str">
        <f>IFERROR(__xludf.DUMMYFUNCTION("TEXTJOIN("", "",TRUE,UNIQUE(FILTER('Data Master'!$B$2:$B2880,'Data Master'!$J$2:$J2880=A693)))"),"petani")</f>
        <v>petani</v>
      </c>
    </row>
    <row r="694" hidden="1">
      <c r="C694" s="40" t="str">
        <f>IFERROR(__xludf.DUMMYFUNCTION("TEXTJOIN("", "",TRUE,UNIQUE(FILTER('Data Master'!$B$2:$B2880,'Data Master'!$J$2:$J2880=A694)))"),"petani")</f>
        <v>petani</v>
      </c>
    </row>
    <row r="695" hidden="1">
      <c r="C695" s="40" t="str">
        <f>IFERROR(__xludf.DUMMYFUNCTION("TEXTJOIN("", "",TRUE,UNIQUE(FILTER('Data Master'!$B$2:$B2880,'Data Master'!$J$2:$J2880=A695)))"),"penyuluh")</f>
        <v>penyuluh</v>
      </c>
    </row>
    <row r="696" hidden="1">
      <c r="C696" s="40" t="str">
        <f>IFERROR(__xludf.DUMMYFUNCTION("TEXTJOIN("", "",TRUE,UNIQUE(FILTER('Data Master'!$B$2:$B2880,'Data Master'!$J$2:$J2880=A696)))"),"petani")</f>
        <v>petani</v>
      </c>
    </row>
    <row r="697" hidden="1">
      <c r="C697" s="40" t="str">
        <f>IFERROR(__xludf.DUMMYFUNCTION("TEXTJOIN("", "",TRUE,UNIQUE(FILTER('Data Master'!$B$2:$B2880,'Data Master'!$J$2:$J2880=A697)))"),"petani")</f>
        <v>petani</v>
      </c>
    </row>
    <row r="698" hidden="1">
      <c r="C698" s="40" t="str">
        <f>IFERROR(__xludf.DUMMYFUNCTION("TEXTJOIN("", "",TRUE,UNIQUE(FILTER('Data Master'!$B$2:$B2880,'Data Master'!$J$2:$J2880=A698)))"),"petani")</f>
        <v>petani</v>
      </c>
    </row>
    <row r="699" hidden="1">
      <c r="C699" s="40" t="str">
        <f>IFERROR(__xludf.DUMMYFUNCTION("TEXTJOIN("", "",TRUE,UNIQUE(FILTER('Data Master'!$B$2:$B2880,'Data Master'!$J$2:$J2880=A699)))"),"petani")</f>
        <v>petani</v>
      </c>
    </row>
    <row r="700" hidden="1">
      <c r="C700" s="40" t="str">
        <f>IFERROR(__xludf.DUMMYFUNCTION("TEXTJOIN("", "",TRUE,UNIQUE(FILTER('Data Master'!$B$2:$B2880,'Data Master'!$J$2:$J2880=A700)))"),"petani")</f>
        <v>petani</v>
      </c>
    </row>
    <row r="701" hidden="1">
      <c r="C701" s="40" t="str">
        <f>IFERROR(__xludf.DUMMYFUNCTION("TEXTJOIN("", "",TRUE,UNIQUE(FILTER('Data Master'!$B$2:$B2880,'Data Master'!$J$2:$J2880=A701)))"),"petani")</f>
        <v>petani</v>
      </c>
    </row>
    <row r="702" hidden="1">
      <c r="C702" s="40" t="str">
        <f>IFERROR(__xludf.DUMMYFUNCTION("TEXTJOIN("", "",TRUE,UNIQUE(FILTER('Data Master'!$B$2:$B2880,'Data Master'!$J$2:$J2880=A702)))"),"petani")</f>
        <v>petani</v>
      </c>
    </row>
    <row r="703" hidden="1">
      <c r="C703" s="40" t="str">
        <f>IFERROR(__xludf.DUMMYFUNCTION("TEXTJOIN("", "",TRUE,UNIQUE(FILTER('Data Master'!$B$2:$B2880,'Data Master'!$J$2:$J2880=A703)))"),"petani")</f>
        <v>petani</v>
      </c>
    </row>
    <row r="704" hidden="1">
      <c r="C704" s="40" t="str">
        <f>IFERROR(__xludf.DUMMYFUNCTION("TEXTJOIN("", "",TRUE,UNIQUE(FILTER('Data Master'!$B$2:$B2880,'Data Master'!$J$2:$J2880=A704)))"),"petani")</f>
        <v>petani</v>
      </c>
    </row>
    <row r="705" hidden="1">
      <c r="C705" s="40" t="str">
        <f>IFERROR(__xludf.DUMMYFUNCTION("TEXTJOIN("", "",TRUE,UNIQUE(FILTER('Data Master'!$B$2:$B2880,'Data Master'!$J$2:$J2880=A705)))"),"petani")</f>
        <v>petani</v>
      </c>
    </row>
    <row r="706" hidden="1">
      <c r="C706" s="40" t="str">
        <f>IFERROR(__xludf.DUMMYFUNCTION("TEXTJOIN("", "",TRUE,UNIQUE(FILTER('Data Master'!$B$2:$B2880,'Data Master'!$J$2:$J2880=A706)))"),"petani")</f>
        <v>petani</v>
      </c>
    </row>
    <row r="707" hidden="1">
      <c r="C707" s="40" t="str">
        <f>IFERROR(__xludf.DUMMYFUNCTION("TEXTJOIN("", "",TRUE,UNIQUE(FILTER('Data Master'!$B$2:$B2880,'Data Master'!$J$2:$J2880=A707)))"),"petani")</f>
        <v>petani</v>
      </c>
    </row>
    <row r="708" hidden="1">
      <c r="C708" s="40" t="str">
        <f>IFERROR(__xludf.DUMMYFUNCTION("TEXTJOIN("", "",TRUE,UNIQUE(FILTER('Data Master'!$B$2:$B2880,'Data Master'!$J$2:$J2880=A708)))"),"petani")</f>
        <v>petani</v>
      </c>
    </row>
    <row r="709" hidden="1">
      <c r="C709" s="40" t="str">
        <f>IFERROR(__xludf.DUMMYFUNCTION("TEXTJOIN("", "",TRUE,UNIQUE(FILTER('Data Master'!$B$2:$B2880,'Data Master'!$J$2:$J2880=A709)))"),"petani")</f>
        <v>petani</v>
      </c>
    </row>
    <row r="710" hidden="1">
      <c r="C710" s="40" t="str">
        <f>IFERROR(__xludf.DUMMYFUNCTION("TEXTJOIN("", "",TRUE,UNIQUE(FILTER('Data Master'!$B$2:$B2880,'Data Master'!$J$2:$J2880=A710)))"),"petani")</f>
        <v>petani</v>
      </c>
    </row>
    <row r="711" hidden="1">
      <c r="C711" s="40" t="str">
        <f>IFERROR(__xludf.DUMMYFUNCTION("TEXTJOIN("", "",TRUE,UNIQUE(FILTER('Data Master'!$B$2:$B2880,'Data Master'!$J$2:$J2880=A711)))"),"petani")</f>
        <v>petani</v>
      </c>
    </row>
    <row r="712" hidden="1">
      <c r="C712" s="40" t="str">
        <f>IFERROR(__xludf.DUMMYFUNCTION("TEXTJOIN("", "",TRUE,UNIQUE(FILTER('Data Master'!$B$2:$B2880,'Data Master'!$J$2:$J2880=A712)))"),"petani")</f>
        <v>petani</v>
      </c>
    </row>
    <row r="713" hidden="1">
      <c r="C713" s="40" t="str">
        <f>IFERROR(__xludf.DUMMYFUNCTION("TEXTJOIN("", "",TRUE,UNIQUE(FILTER('Data Master'!$B$2:$B2880,'Data Master'!$J$2:$J2880=A713)))"),"petani")</f>
        <v>petani</v>
      </c>
    </row>
    <row r="714" hidden="1">
      <c r="C714" s="40" t="str">
        <f>IFERROR(__xludf.DUMMYFUNCTION("TEXTJOIN("", "",TRUE,UNIQUE(FILTER('Data Master'!$B$2:$B2880,'Data Master'!$J$2:$J2880=A714)))"),"petani")</f>
        <v>petani</v>
      </c>
    </row>
    <row r="715" hidden="1">
      <c r="C715" s="40" t="str">
        <f>IFERROR(__xludf.DUMMYFUNCTION("TEXTJOIN("", "",TRUE,UNIQUE(FILTER('Data Master'!$B$2:$B2880,'Data Master'!$J$2:$J2880=A715)))"),"petani")</f>
        <v>petani</v>
      </c>
    </row>
    <row r="716" hidden="1">
      <c r="C716" s="40" t="str">
        <f>IFERROR(__xludf.DUMMYFUNCTION("TEXTJOIN("", "",TRUE,UNIQUE(FILTER('Data Master'!$B$2:$B2880,'Data Master'!$J$2:$J2880=A716)))"),"petani")</f>
        <v>petani</v>
      </c>
    </row>
    <row r="717" hidden="1">
      <c r="C717" s="40" t="str">
        <f>IFERROR(__xludf.DUMMYFUNCTION("TEXTJOIN("", "",TRUE,UNIQUE(FILTER('Data Master'!$B$2:$B2880,'Data Master'!$J$2:$J2880=A717)))"),"petani")</f>
        <v>petani</v>
      </c>
    </row>
    <row r="718" hidden="1">
      <c r="C718" s="40" t="str">
        <f>IFERROR(__xludf.DUMMYFUNCTION("TEXTJOIN("", "",TRUE,UNIQUE(FILTER('Data Master'!$B$2:$B2880,'Data Master'!$J$2:$J2880=A718)))"),"petani")</f>
        <v>petani</v>
      </c>
    </row>
    <row r="719" hidden="1">
      <c r="C719" s="40" t="str">
        <f>IFERROR(__xludf.DUMMYFUNCTION("TEXTJOIN("", "",TRUE,UNIQUE(FILTER('Data Master'!$B$2:$B2880,'Data Master'!$J$2:$J2880=A719)))"),"petani")</f>
        <v>petani</v>
      </c>
    </row>
    <row r="720" hidden="1">
      <c r="C720" s="40" t="str">
        <f>IFERROR(__xludf.DUMMYFUNCTION("TEXTJOIN("", "",TRUE,UNIQUE(FILTER('Data Master'!$B$2:$B2880,'Data Master'!$J$2:$J2880=A720)))"),"petani")</f>
        <v>petani</v>
      </c>
    </row>
    <row r="721" hidden="1">
      <c r="C721" s="40" t="str">
        <f>IFERROR(__xludf.DUMMYFUNCTION("TEXTJOIN("", "",TRUE,UNIQUE(FILTER('Data Master'!$B$2:$B2880,'Data Master'!$J$2:$J2880=A721)))"),"petani")</f>
        <v>petani</v>
      </c>
    </row>
    <row r="722" hidden="1">
      <c r="C722" s="40" t="str">
        <f>IFERROR(__xludf.DUMMYFUNCTION("TEXTJOIN("", "",TRUE,UNIQUE(FILTER('Data Master'!$B$2:$B2880,'Data Master'!$J$2:$J2880=A722)))"),"petani")</f>
        <v>petani</v>
      </c>
    </row>
    <row r="723" hidden="1">
      <c r="C723" s="40" t="str">
        <f>IFERROR(__xludf.DUMMYFUNCTION("TEXTJOIN("", "",TRUE,UNIQUE(FILTER('Data Master'!$B$2:$B2880,'Data Master'!$J$2:$J2880=A723)))"),"petani")</f>
        <v>petani</v>
      </c>
    </row>
    <row r="724" hidden="1">
      <c r="C724" s="40" t="str">
        <f>IFERROR(__xludf.DUMMYFUNCTION("TEXTJOIN("", "",TRUE,UNIQUE(FILTER('Data Master'!$B$2:$B2880,'Data Master'!$J$2:$J2880=A724)))"),"petani")</f>
        <v>petani</v>
      </c>
    </row>
    <row r="725" hidden="1">
      <c r="C725" s="40" t="str">
        <f>IFERROR(__xludf.DUMMYFUNCTION("TEXTJOIN("", "",TRUE,UNIQUE(FILTER('Data Master'!$B$2:$B2880,'Data Master'!$J$2:$J2880=A725)))"),"petani")</f>
        <v>petani</v>
      </c>
    </row>
    <row r="726" hidden="1">
      <c r="C726" s="40" t="str">
        <f>IFERROR(__xludf.DUMMYFUNCTION("TEXTJOIN("", "",TRUE,UNIQUE(FILTER('Data Master'!$B$2:$B2880,'Data Master'!$J$2:$J2880=A726)))"),"petani")</f>
        <v>petani</v>
      </c>
    </row>
    <row r="727" hidden="1">
      <c r="C727" s="40" t="str">
        <f>IFERROR(__xludf.DUMMYFUNCTION("TEXTJOIN("", "",TRUE,UNIQUE(FILTER('Data Master'!$B$2:$B2880,'Data Master'!$J$2:$J2880=A727)))"),"petani")</f>
        <v>petani</v>
      </c>
    </row>
    <row r="728" hidden="1">
      <c r="C728" s="40" t="str">
        <f>IFERROR(__xludf.DUMMYFUNCTION("TEXTJOIN("", "",TRUE,UNIQUE(FILTER('Data Master'!$B$2:$B2880,'Data Master'!$J$2:$J2880=A728)))"),"petani")</f>
        <v>petani</v>
      </c>
    </row>
    <row r="729" hidden="1">
      <c r="C729" s="40" t="str">
        <f>IFERROR(__xludf.DUMMYFUNCTION("TEXTJOIN("", "",TRUE,UNIQUE(FILTER('Data Master'!$B$2:$B2880,'Data Master'!$J$2:$J2880=A729)))"),"petani")</f>
        <v>petani</v>
      </c>
    </row>
    <row r="730" hidden="1">
      <c r="C730" s="40" t="str">
        <f>IFERROR(__xludf.DUMMYFUNCTION("TEXTJOIN("", "",TRUE,UNIQUE(FILTER('Data Master'!$B$2:$B2880,'Data Master'!$J$2:$J2880=A730)))"),"petani")</f>
        <v>petani</v>
      </c>
    </row>
    <row r="731" hidden="1">
      <c r="C731" s="40" t="str">
        <f>IFERROR(__xludf.DUMMYFUNCTION("TEXTJOIN("", "",TRUE,UNIQUE(FILTER('Data Master'!$B$2:$B2880,'Data Master'!$J$2:$J2880=A731)))"),"petani")</f>
        <v>petani</v>
      </c>
    </row>
    <row r="732" hidden="1">
      <c r="C732" s="40" t="str">
        <f>IFERROR(__xludf.DUMMYFUNCTION("TEXTJOIN("", "",TRUE,UNIQUE(FILTER('Data Master'!$B$2:$B2880,'Data Master'!$J$2:$J2880=A732)))"),"petani")</f>
        <v>petani</v>
      </c>
    </row>
    <row r="733" hidden="1">
      <c r="C733" s="40" t="str">
        <f>IFERROR(__xludf.DUMMYFUNCTION("TEXTJOIN("", "",TRUE,UNIQUE(FILTER('Data Master'!$B$2:$B2880,'Data Master'!$J$2:$J2880=A733)))"),"petani")</f>
        <v>petani</v>
      </c>
    </row>
    <row r="734" hidden="1">
      <c r="C734" s="40" t="str">
        <f>IFERROR(__xludf.DUMMYFUNCTION("TEXTJOIN("", "",TRUE,UNIQUE(FILTER('Data Master'!$B$2:$B2880,'Data Master'!$J$2:$J2880=A734)))"),"petani")</f>
        <v>petani</v>
      </c>
    </row>
    <row r="735" hidden="1">
      <c r="C735" s="40" t="str">
        <f>IFERROR(__xludf.DUMMYFUNCTION("TEXTJOIN("", "",TRUE,UNIQUE(FILTER('Data Master'!$B$2:$B2880,'Data Master'!$J$2:$J2880=A735)))"),"petani")</f>
        <v>petani</v>
      </c>
    </row>
    <row r="736" hidden="1">
      <c r="C736" s="40" t="str">
        <f>IFERROR(__xludf.DUMMYFUNCTION("TEXTJOIN("", "",TRUE,UNIQUE(FILTER('Data Master'!$B$2:$B2880,'Data Master'!$J$2:$J2880=A736)))"),"petani")</f>
        <v>petani</v>
      </c>
    </row>
    <row r="737" hidden="1">
      <c r="C737" s="40" t="str">
        <f>IFERROR(__xludf.DUMMYFUNCTION("TEXTJOIN("", "",TRUE,UNIQUE(FILTER('Data Master'!$B$2:$B2880,'Data Master'!$J$2:$J2880=A737)))"),"petani")</f>
        <v>petani</v>
      </c>
    </row>
    <row r="738" hidden="1">
      <c r="C738" s="40" t="str">
        <f>IFERROR(__xludf.DUMMYFUNCTION("TEXTJOIN("", "",TRUE,UNIQUE(FILTER('Data Master'!$B$2:$B2880,'Data Master'!$J$2:$J2880=A738)))"),"petani")</f>
        <v>petani</v>
      </c>
    </row>
    <row r="739" hidden="1">
      <c r="C739" s="40" t="str">
        <f>IFERROR(__xludf.DUMMYFUNCTION("TEXTJOIN("", "",TRUE,UNIQUE(FILTER('Data Master'!$B$2:$B2880,'Data Master'!$J$2:$J2880=A739)))"),"petani")</f>
        <v>petani</v>
      </c>
    </row>
    <row r="740" hidden="1">
      <c r="C740" s="40" t="str">
        <f>IFERROR(__xludf.DUMMYFUNCTION("TEXTJOIN("", "",TRUE,UNIQUE(FILTER('Data Master'!$B$2:$B2880,'Data Master'!$J$2:$J2880=A740)))"),"petani")</f>
        <v>petani</v>
      </c>
    </row>
    <row r="741" hidden="1">
      <c r="C741" s="40" t="str">
        <f>IFERROR(__xludf.DUMMYFUNCTION("TEXTJOIN("", "",TRUE,UNIQUE(FILTER('Data Master'!$B$2:$B2880,'Data Master'!$J$2:$J2880=A741)))"),"petani")</f>
        <v>petani</v>
      </c>
    </row>
    <row r="742" hidden="1">
      <c r="C742" s="40" t="str">
        <f>IFERROR(__xludf.DUMMYFUNCTION("TEXTJOIN("", "",TRUE,UNIQUE(FILTER('Data Master'!$B$2:$B2880,'Data Master'!$J$2:$J2880=A742)))"),"petani")</f>
        <v>petani</v>
      </c>
    </row>
    <row r="743" hidden="1">
      <c r="C743" s="40" t="str">
        <f>IFERROR(__xludf.DUMMYFUNCTION("TEXTJOIN("", "",TRUE,UNIQUE(FILTER('Data Master'!$B$2:$B2880,'Data Master'!$J$2:$J2880=A743)))"),"petani")</f>
        <v>petani</v>
      </c>
    </row>
    <row r="744" hidden="1">
      <c r="C744" s="40" t="str">
        <f>IFERROR(__xludf.DUMMYFUNCTION("TEXTJOIN("", "",TRUE,UNIQUE(FILTER('Data Master'!$B$2:$B2880,'Data Master'!$J$2:$J2880=A744)))"),"petani")</f>
        <v>petani</v>
      </c>
    </row>
    <row r="745" hidden="1">
      <c r="C745" s="40" t="str">
        <f>IFERROR(__xludf.DUMMYFUNCTION("TEXTJOIN("", "",TRUE,UNIQUE(FILTER('Data Master'!$B$2:$B2880,'Data Master'!$J$2:$J2880=A745)))"),"petani")</f>
        <v>petani</v>
      </c>
    </row>
    <row r="746" hidden="1">
      <c r="C746" s="40" t="str">
        <f>IFERROR(__xludf.DUMMYFUNCTION("TEXTJOIN("", "",TRUE,UNIQUE(FILTER('Data Master'!$B$2:$B2880,'Data Master'!$J$2:$J2880=A746)))"),"petani")</f>
        <v>petani</v>
      </c>
    </row>
    <row r="747" hidden="1">
      <c r="C747" s="40" t="str">
        <f>IFERROR(__xludf.DUMMYFUNCTION("TEXTJOIN("", "",TRUE,UNIQUE(FILTER('Data Master'!$B$2:$B2880,'Data Master'!$J$2:$J2880=A747)))"),"petani")</f>
        <v>petani</v>
      </c>
    </row>
    <row r="748" hidden="1">
      <c r="C748" s="40" t="str">
        <f>IFERROR(__xludf.DUMMYFUNCTION("TEXTJOIN("", "",TRUE,UNIQUE(FILTER('Data Master'!$B$2:$B2880,'Data Master'!$J$2:$J2880=A748)))"),"petani")</f>
        <v>petani</v>
      </c>
    </row>
    <row r="749" hidden="1">
      <c r="C749" s="40" t="str">
        <f>IFERROR(__xludf.DUMMYFUNCTION("TEXTJOIN("", "",TRUE,UNIQUE(FILTER('Data Master'!$B$2:$B2880,'Data Master'!$J$2:$J2880=A749)))"),"petani")</f>
        <v>petani</v>
      </c>
    </row>
    <row r="750" hidden="1">
      <c r="C750" s="40" t="str">
        <f>IFERROR(__xludf.DUMMYFUNCTION("TEXTJOIN("", "",TRUE,UNIQUE(FILTER('Data Master'!$B$2:$B2880,'Data Master'!$J$2:$J2880=A750)))"),"petani")</f>
        <v>petani</v>
      </c>
    </row>
    <row r="751" hidden="1">
      <c r="C751" s="40" t="str">
        <f>IFERROR(__xludf.DUMMYFUNCTION("TEXTJOIN("", "",TRUE,UNIQUE(FILTER('Data Master'!$B$2:$B2880,'Data Master'!$J$2:$J2880=A751)))"),"petani")</f>
        <v>petani</v>
      </c>
    </row>
    <row r="752" hidden="1">
      <c r="C752" s="40" t="str">
        <f>IFERROR(__xludf.DUMMYFUNCTION("TEXTJOIN("", "",TRUE,UNIQUE(FILTER('Data Master'!$B$2:$B2880,'Data Master'!$J$2:$J2880=A752)))"),"petani")</f>
        <v>petani</v>
      </c>
    </row>
    <row r="753" hidden="1">
      <c r="C753" s="40" t="str">
        <f>IFERROR(__xludf.DUMMYFUNCTION("TEXTJOIN("", "",TRUE,UNIQUE(FILTER('Data Master'!$B$2:$B2880,'Data Master'!$J$2:$J2880=A753)))"),"petani")</f>
        <v>petani</v>
      </c>
    </row>
    <row r="754" hidden="1">
      <c r="C754" s="40" t="str">
        <f>IFERROR(__xludf.DUMMYFUNCTION("TEXTJOIN("", "",TRUE,UNIQUE(FILTER('Data Master'!$B$2:$B2880,'Data Master'!$J$2:$J2880=A754)))"),"petani")</f>
        <v>petani</v>
      </c>
    </row>
    <row r="755" hidden="1">
      <c r="C755" s="40" t="str">
        <f>IFERROR(__xludf.DUMMYFUNCTION("TEXTJOIN("", "",TRUE,UNIQUE(FILTER('Data Master'!$B$2:$B2880,'Data Master'!$J$2:$J2880=A755)))"),"petani")</f>
        <v>petani</v>
      </c>
    </row>
    <row r="756" hidden="1">
      <c r="C756" s="40" t="str">
        <f>IFERROR(__xludf.DUMMYFUNCTION("TEXTJOIN("", "",TRUE,UNIQUE(FILTER('Data Master'!$B$2:$B2880,'Data Master'!$J$2:$J2880=A756)))"),"petani")</f>
        <v>petani</v>
      </c>
    </row>
    <row r="757" hidden="1">
      <c r="C757" s="40" t="str">
        <f>IFERROR(__xludf.DUMMYFUNCTION("TEXTJOIN("", "",TRUE,UNIQUE(FILTER('Data Master'!$B$2:$B2880,'Data Master'!$J$2:$J2880=A757)))"),"petani")</f>
        <v>petani</v>
      </c>
    </row>
    <row r="758" hidden="1">
      <c r="C758" s="40" t="str">
        <f>IFERROR(__xludf.DUMMYFUNCTION("TEXTJOIN("", "",TRUE,UNIQUE(FILTER('Data Master'!$B$2:$B2880,'Data Master'!$J$2:$J2880=A758)))"),"petani")</f>
        <v>petani</v>
      </c>
    </row>
    <row r="759" hidden="1">
      <c r="C759" s="40" t="str">
        <f>IFERROR(__xludf.DUMMYFUNCTION("TEXTJOIN("", "",TRUE,UNIQUE(FILTER('Data Master'!$B$2:$B2880,'Data Master'!$J$2:$J2880=A759)))"),"petani")</f>
        <v>petani</v>
      </c>
    </row>
    <row r="760" hidden="1">
      <c r="C760" s="40" t="str">
        <f>IFERROR(__xludf.DUMMYFUNCTION("TEXTJOIN("", "",TRUE,UNIQUE(FILTER('Data Master'!$B$2:$B2880,'Data Master'!$J$2:$J2880=A760)))"),"petani")</f>
        <v>petani</v>
      </c>
    </row>
    <row r="761" hidden="1">
      <c r="C761" s="40" t="str">
        <f>IFERROR(__xludf.DUMMYFUNCTION("TEXTJOIN("", "",TRUE,UNIQUE(FILTER('Data Master'!$B$2:$B2880,'Data Master'!$J$2:$J2880=A761)))"),"petani")</f>
        <v>petani</v>
      </c>
    </row>
    <row r="762" hidden="1">
      <c r="C762" s="40" t="str">
        <f>IFERROR(__xludf.DUMMYFUNCTION("TEXTJOIN("", "",TRUE,UNIQUE(FILTER('Data Master'!$B$2:$B2880,'Data Master'!$J$2:$J2880=A762)))"),"petani")</f>
        <v>petani</v>
      </c>
    </row>
    <row r="763" hidden="1">
      <c r="C763" s="40" t="str">
        <f>IFERROR(__xludf.DUMMYFUNCTION("TEXTJOIN("", "",TRUE,UNIQUE(FILTER('Data Master'!$B$2:$B2880,'Data Master'!$J$2:$J2880=A763)))"),"petani")</f>
        <v>petani</v>
      </c>
    </row>
    <row r="764" hidden="1">
      <c r="C764" s="40" t="str">
        <f>IFERROR(__xludf.DUMMYFUNCTION("TEXTJOIN("", "",TRUE,UNIQUE(FILTER('Data Master'!$B$2:$B2880,'Data Master'!$J$2:$J2880=A764)))"),"petani")</f>
        <v>petani</v>
      </c>
    </row>
    <row r="765" hidden="1">
      <c r="C765" s="40" t="str">
        <f>IFERROR(__xludf.DUMMYFUNCTION("TEXTJOIN("", "",TRUE,UNIQUE(FILTER('Data Master'!$B$2:$B2880,'Data Master'!$J$2:$J2880=A765)))"),"petani")</f>
        <v>petani</v>
      </c>
    </row>
    <row r="766" hidden="1">
      <c r="C766" s="40" t="str">
        <f>IFERROR(__xludf.DUMMYFUNCTION("TEXTJOIN("", "",TRUE,UNIQUE(FILTER('Data Master'!$B$2:$B2880,'Data Master'!$J$2:$J2880=A766)))"),"petani")</f>
        <v>petani</v>
      </c>
    </row>
    <row r="767" hidden="1">
      <c r="C767" s="40" t="str">
        <f>IFERROR(__xludf.DUMMYFUNCTION("TEXTJOIN("", "",TRUE,UNIQUE(FILTER('Data Master'!$B$2:$B2880,'Data Master'!$J$2:$J2880=A767)))"),"petani")</f>
        <v>petani</v>
      </c>
    </row>
    <row r="768" hidden="1">
      <c r="C768" s="40" t="str">
        <f>IFERROR(__xludf.DUMMYFUNCTION("TEXTJOIN("", "",TRUE,UNIQUE(FILTER('Data Master'!$B$2:$B2880,'Data Master'!$J$2:$J2880=A768)))"),"petani")</f>
        <v>petani</v>
      </c>
    </row>
    <row r="769" hidden="1">
      <c r="C769" s="40" t="str">
        <f>IFERROR(__xludf.DUMMYFUNCTION("TEXTJOIN("", "",TRUE,UNIQUE(FILTER('Data Master'!$B$2:$B2880,'Data Master'!$J$2:$J2880=A769)))"),"petani")</f>
        <v>petani</v>
      </c>
    </row>
    <row r="770" hidden="1">
      <c r="C770" s="40" t="str">
        <f>IFERROR(__xludf.DUMMYFUNCTION("TEXTJOIN("", "",TRUE,UNIQUE(FILTER('Data Master'!$B$2:$B2880,'Data Master'!$J$2:$J2880=A770)))"),"petani")</f>
        <v>petani</v>
      </c>
    </row>
    <row r="771" hidden="1">
      <c r="C771" s="40" t="str">
        <f>IFERROR(__xludf.DUMMYFUNCTION("TEXTJOIN("", "",TRUE,UNIQUE(FILTER('Data Master'!$B$2:$B2880,'Data Master'!$J$2:$J2880=A771)))"),"petani")</f>
        <v>petani</v>
      </c>
    </row>
    <row r="772" hidden="1">
      <c r="C772" s="40" t="str">
        <f>IFERROR(__xludf.DUMMYFUNCTION("TEXTJOIN("", "",TRUE,UNIQUE(FILTER('Data Master'!$B$2:$B2880,'Data Master'!$J$2:$J2880=A772)))"),"petani")</f>
        <v>petani</v>
      </c>
    </row>
    <row r="773" hidden="1">
      <c r="C773" s="40" t="str">
        <f>IFERROR(__xludf.DUMMYFUNCTION("TEXTJOIN("", "",TRUE,UNIQUE(FILTER('Data Master'!$B$2:$B2880,'Data Master'!$J$2:$J2880=A773)))"),"petani")</f>
        <v>petani</v>
      </c>
    </row>
    <row r="774" hidden="1">
      <c r="C774" s="40" t="str">
        <f>IFERROR(__xludf.DUMMYFUNCTION("TEXTJOIN("", "",TRUE,UNIQUE(FILTER('Data Master'!$B$2:$B2880,'Data Master'!$J$2:$J2880=A774)))"),"petani")</f>
        <v>petani</v>
      </c>
    </row>
    <row r="775" hidden="1">
      <c r="C775" s="40" t="str">
        <f>IFERROR(__xludf.DUMMYFUNCTION("TEXTJOIN("", "",TRUE,UNIQUE(FILTER('Data Master'!$B$2:$B2880,'Data Master'!$J$2:$J2880=A775)))"),"petani")</f>
        <v>petani</v>
      </c>
    </row>
    <row r="776" hidden="1">
      <c r="C776" s="40" t="str">
        <f>IFERROR(__xludf.DUMMYFUNCTION("TEXTJOIN("", "",TRUE,UNIQUE(FILTER('Data Master'!$B$2:$B2880,'Data Master'!$J$2:$J2880=A776)))"),"petani")</f>
        <v>petani</v>
      </c>
    </row>
    <row r="777" hidden="1">
      <c r="C777" s="40" t="str">
        <f>IFERROR(__xludf.DUMMYFUNCTION("TEXTJOIN("", "",TRUE,UNIQUE(FILTER('Data Master'!$B$2:$B2880,'Data Master'!$J$2:$J2880=A777)))"),"petani")</f>
        <v>petani</v>
      </c>
    </row>
    <row r="778" hidden="1">
      <c r="C778" s="40" t="str">
        <f>IFERROR(__xludf.DUMMYFUNCTION("TEXTJOIN("", "",TRUE,UNIQUE(FILTER('Data Master'!$B$2:$B2880,'Data Master'!$J$2:$J2880=A778)))"),"petani")</f>
        <v>petani</v>
      </c>
    </row>
    <row r="779" hidden="1">
      <c r="C779" s="40" t="str">
        <f>IFERROR(__xludf.DUMMYFUNCTION("TEXTJOIN("", "",TRUE,UNIQUE(FILTER('Data Master'!$B$2:$B2880,'Data Master'!$J$2:$J2880=A779)))"),"petani")</f>
        <v>petani</v>
      </c>
    </row>
    <row r="780" hidden="1">
      <c r="C780" s="40" t="str">
        <f>IFERROR(__xludf.DUMMYFUNCTION("TEXTJOIN("", "",TRUE,UNIQUE(FILTER('Data Master'!$B$2:$B2880,'Data Master'!$J$2:$J2880=A780)))"),"petani")</f>
        <v>petani</v>
      </c>
    </row>
    <row r="781" hidden="1">
      <c r="C781" s="40" t="str">
        <f>IFERROR(__xludf.DUMMYFUNCTION("TEXTJOIN("", "",TRUE,UNIQUE(FILTER('Data Master'!$B$2:$B2880,'Data Master'!$J$2:$J2880=A781)))"),"petani")</f>
        <v>petani</v>
      </c>
    </row>
    <row r="782" hidden="1">
      <c r="C782" s="40" t="str">
        <f>IFERROR(__xludf.DUMMYFUNCTION("TEXTJOIN("", "",TRUE,UNIQUE(FILTER('Data Master'!$B$2:$B2880,'Data Master'!$J$2:$J2880=A782)))"),"petani")</f>
        <v>petani</v>
      </c>
    </row>
    <row r="783" hidden="1">
      <c r="C783" s="40" t="str">
        <f>IFERROR(__xludf.DUMMYFUNCTION("TEXTJOIN("", "",TRUE,UNIQUE(FILTER('Data Master'!$B$2:$B2880,'Data Master'!$J$2:$J2880=A783)))"),"petani")</f>
        <v>petani</v>
      </c>
    </row>
    <row r="784" hidden="1">
      <c r="C784" s="40" t="str">
        <f>IFERROR(__xludf.DUMMYFUNCTION("TEXTJOIN("", "",TRUE,UNIQUE(FILTER('Data Master'!$B$2:$B2880,'Data Master'!$J$2:$J2880=A784)))"),"petani")</f>
        <v>petani</v>
      </c>
    </row>
    <row r="785" hidden="1">
      <c r="C785" s="40" t="str">
        <f>IFERROR(__xludf.DUMMYFUNCTION("TEXTJOIN("", "",TRUE,UNIQUE(FILTER('Data Master'!$B$2:$B2880,'Data Master'!$J$2:$J2880=A785)))"),"petani")</f>
        <v>petani</v>
      </c>
    </row>
    <row r="786" hidden="1">
      <c r="C786" s="40" t="str">
        <f>IFERROR(__xludf.DUMMYFUNCTION("TEXTJOIN("", "",TRUE,UNIQUE(FILTER('Data Master'!$B$2:$B2880,'Data Master'!$J$2:$J2880=A786)))"),"petani")</f>
        <v>petani</v>
      </c>
    </row>
    <row r="787" hidden="1">
      <c r="C787" s="40" t="str">
        <f>IFERROR(__xludf.DUMMYFUNCTION("TEXTJOIN("", "",TRUE,UNIQUE(FILTER('Data Master'!$B$2:$B2880,'Data Master'!$J$2:$J2880=A787)))"),"petani")</f>
        <v>petani</v>
      </c>
    </row>
    <row r="788" hidden="1">
      <c r="C788" s="40" t="str">
        <f>IFERROR(__xludf.DUMMYFUNCTION("TEXTJOIN("", "",TRUE,UNIQUE(FILTER('Data Master'!$B$2:$B2880,'Data Master'!$J$2:$J2880=A788)))"),"petani")</f>
        <v>petani</v>
      </c>
    </row>
    <row r="789" hidden="1">
      <c r="C789" s="40" t="str">
        <f>IFERROR(__xludf.DUMMYFUNCTION("TEXTJOIN("", "",TRUE,UNIQUE(FILTER('Data Master'!$B$2:$B2880,'Data Master'!$J$2:$J2880=A789)))"),"petani")</f>
        <v>petani</v>
      </c>
    </row>
    <row r="790" hidden="1">
      <c r="C790" s="40" t="str">
        <f>IFERROR(__xludf.DUMMYFUNCTION("TEXTJOIN("", "",TRUE,UNIQUE(FILTER('Data Master'!$B$2:$B2880,'Data Master'!$J$2:$J2880=A790)))"),"petani")</f>
        <v>petani</v>
      </c>
    </row>
    <row r="791" hidden="1">
      <c r="C791" s="40" t="str">
        <f>IFERROR(__xludf.DUMMYFUNCTION("TEXTJOIN("", "",TRUE,UNIQUE(FILTER('Data Master'!$B$2:$B2880,'Data Master'!$J$2:$J2880=A791)))"),"petani")</f>
        <v>petani</v>
      </c>
    </row>
    <row r="792" hidden="1">
      <c r="C792" s="40" t="str">
        <f>IFERROR(__xludf.DUMMYFUNCTION("TEXTJOIN("", "",TRUE,UNIQUE(FILTER('Data Master'!$B$2:$B2880,'Data Master'!$J$2:$J2880=A792)))"),"petani")</f>
        <v>petani</v>
      </c>
    </row>
    <row r="793" hidden="1">
      <c r="C793" s="40" t="str">
        <f>IFERROR(__xludf.DUMMYFUNCTION("TEXTJOIN("", "",TRUE,UNIQUE(FILTER('Data Master'!$B$2:$B2880,'Data Master'!$J$2:$J2880=A793)))"),"petani")</f>
        <v>petani</v>
      </c>
    </row>
    <row r="794" hidden="1">
      <c r="C794" s="40" t="str">
        <f>IFERROR(__xludf.DUMMYFUNCTION("TEXTJOIN("", "",TRUE,UNIQUE(FILTER('Data Master'!$B$2:$B2880,'Data Master'!$J$2:$J2880=A794)))"),"petani")</f>
        <v>petani</v>
      </c>
    </row>
    <row r="795" hidden="1">
      <c r="C795" s="40" t="str">
        <f>IFERROR(__xludf.DUMMYFUNCTION("TEXTJOIN("", "",TRUE,UNIQUE(FILTER('Data Master'!$B$2:$B2880,'Data Master'!$J$2:$J2880=A795)))"),"petani")</f>
        <v>petani</v>
      </c>
    </row>
    <row r="796" hidden="1">
      <c r="C796" s="40" t="str">
        <f>IFERROR(__xludf.DUMMYFUNCTION("TEXTJOIN("", "",TRUE,UNIQUE(FILTER('Data Master'!$B$2:$B2880,'Data Master'!$J$2:$J2880=A796)))"),"petani")</f>
        <v>petani</v>
      </c>
    </row>
    <row r="797" hidden="1">
      <c r="C797" s="40" t="str">
        <f>IFERROR(__xludf.DUMMYFUNCTION("TEXTJOIN("", "",TRUE,UNIQUE(FILTER('Data Master'!$B$2:$B2880,'Data Master'!$J$2:$J2880=A797)))"),"petani")</f>
        <v>petani</v>
      </c>
    </row>
    <row r="798" hidden="1">
      <c r="C798" s="40" t="str">
        <f>IFERROR(__xludf.DUMMYFUNCTION("TEXTJOIN("", "",TRUE,UNIQUE(FILTER('Data Master'!$B$2:$B2880,'Data Master'!$J$2:$J2880=A798)))"),"petani")</f>
        <v>petani</v>
      </c>
    </row>
    <row r="799" hidden="1">
      <c r="C799" s="40" t="str">
        <f>IFERROR(__xludf.DUMMYFUNCTION("TEXTJOIN("", "",TRUE,UNIQUE(FILTER('Data Master'!$B$2:$B2880,'Data Master'!$J$2:$J2880=A799)))"),"petani")</f>
        <v>petani</v>
      </c>
    </row>
    <row r="800" hidden="1">
      <c r="C800" s="40" t="str">
        <f>IFERROR(__xludf.DUMMYFUNCTION("TEXTJOIN("", "",TRUE,UNIQUE(FILTER('Data Master'!$B$2:$B2880,'Data Master'!$J$2:$J2880=A800)))"),"petani")</f>
        <v>petani</v>
      </c>
    </row>
    <row r="801" hidden="1">
      <c r="C801" s="40" t="str">
        <f>IFERROR(__xludf.DUMMYFUNCTION("TEXTJOIN("", "",TRUE,UNIQUE(FILTER('Data Master'!$B$2:$B2880,'Data Master'!$J$2:$J2880=A801)))"),"petani")</f>
        <v>petani</v>
      </c>
    </row>
    <row r="802" hidden="1">
      <c r="C802" s="40" t="str">
        <f>IFERROR(__xludf.DUMMYFUNCTION("TEXTJOIN("", "",TRUE,UNIQUE(FILTER('Data Master'!$B$2:$B2880,'Data Master'!$J$2:$J2880=A802)))"),"petani")</f>
        <v>petani</v>
      </c>
    </row>
    <row r="803" hidden="1">
      <c r="C803" s="40" t="str">
        <f>IFERROR(__xludf.DUMMYFUNCTION("TEXTJOIN("", "",TRUE,UNIQUE(FILTER('Data Master'!$B$2:$B2880,'Data Master'!$J$2:$J2880=A803)))"),"petani")</f>
        <v>petani</v>
      </c>
    </row>
    <row r="804" hidden="1">
      <c r="C804" s="40" t="str">
        <f>IFERROR(__xludf.DUMMYFUNCTION("TEXTJOIN("", "",TRUE,UNIQUE(FILTER('Data Master'!$B$2:$B2880,'Data Master'!$J$2:$J2880=A804)))"),"petani")</f>
        <v>petani</v>
      </c>
    </row>
    <row r="805" hidden="1">
      <c r="C805" s="40" t="str">
        <f>IFERROR(__xludf.DUMMYFUNCTION("TEXTJOIN("", "",TRUE,UNIQUE(FILTER('Data Master'!$B$2:$B2880,'Data Master'!$J$2:$J2880=A805)))"),"petani")</f>
        <v>petani</v>
      </c>
    </row>
    <row r="806" hidden="1">
      <c r="C806" s="40" t="str">
        <f>IFERROR(__xludf.DUMMYFUNCTION("TEXTJOIN("", "",TRUE,UNIQUE(FILTER('Data Master'!$B$2:$B2880,'Data Master'!$J$2:$J2880=A806)))"),"petani")</f>
        <v>petani</v>
      </c>
    </row>
    <row r="807" hidden="1">
      <c r="C807" s="40" t="str">
        <f>IFERROR(__xludf.DUMMYFUNCTION("TEXTJOIN("", "",TRUE,UNIQUE(FILTER('Data Master'!$B$2:$B2880,'Data Master'!$J$2:$J2880=A807)))"),"petani")</f>
        <v>petani</v>
      </c>
    </row>
    <row r="808" hidden="1">
      <c r="C808" s="40" t="str">
        <f>IFERROR(__xludf.DUMMYFUNCTION("TEXTJOIN("", "",TRUE,UNIQUE(FILTER('Data Master'!$B$2:$B2880,'Data Master'!$J$2:$J2880=A808)))"),"petani")</f>
        <v>petani</v>
      </c>
    </row>
    <row r="809" hidden="1">
      <c r="C809" s="40" t="str">
        <f>IFERROR(__xludf.DUMMYFUNCTION("TEXTJOIN("", "",TRUE,UNIQUE(FILTER('Data Master'!$B$2:$B2880,'Data Master'!$J$2:$J2880=A809)))"),"petani")</f>
        <v>petani</v>
      </c>
    </row>
    <row r="810" hidden="1">
      <c r="C810" s="40" t="str">
        <f>IFERROR(__xludf.DUMMYFUNCTION("TEXTJOIN("", "",TRUE,UNIQUE(FILTER('Data Master'!$B$2:$B2880,'Data Master'!$J$2:$J2880=A810)))"),"petani")</f>
        <v>petani</v>
      </c>
    </row>
    <row r="811" hidden="1">
      <c r="C811" s="40" t="str">
        <f>IFERROR(__xludf.DUMMYFUNCTION("TEXTJOIN("", "",TRUE,UNIQUE(FILTER('Data Master'!$B$2:$B2880,'Data Master'!$J$2:$J2880=A811)))"),"petani")</f>
        <v>petani</v>
      </c>
    </row>
    <row r="812" hidden="1">
      <c r="C812" s="40" t="str">
        <f>IFERROR(__xludf.DUMMYFUNCTION("TEXTJOIN("", "",TRUE,UNIQUE(FILTER('Data Master'!$B$2:$B2880,'Data Master'!$J$2:$J2880=A812)))"),"petani")</f>
        <v>petani</v>
      </c>
    </row>
    <row r="813" hidden="1">
      <c r="C813" s="40" t="str">
        <f>IFERROR(__xludf.DUMMYFUNCTION("TEXTJOIN("", "",TRUE,UNIQUE(FILTER('Data Master'!$B$2:$B2880,'Data Master'!$J$2:$J2880=A813)))"),"petani")</f>
        <v>petani</v>
      </c>
    </row>
    <row r="814" hidden="1">
      <c r="C814" s="40" t="str">
        <f>IFERROR(__xludf.DUMMYFUNCTION("TEXTJOIN("", "",TRUE,UNIQUE(FILTER('Data Master'!$B$2:$B2880,'Data Master'!$J$2:$J2880=A814)))"),"petani")</f>
        <v>petani</v>
      </c>
    </row>
    <row r="815" hidden="1">
      <c r="C815" s="40" t="str">
        <f>IFERROR(__xludf.DUMMYFUNCTION("TEXTJOIN("", "",TRUE,UNIQUE(FILTER('Data Master'!$B$2:$B2880,'Data Master'!$J$2:$J2880=A815)))"),"petani")</f>
        <v>petani</v>
      </c>
    </row>
    <row r="816" hidden="1">
      <c r="C816" s="40" t="str">
        <f>IFERROR(__xludf.DUMMYFUNCTION("TEXTJOIN("", "",TRUE,UNIQUE(FILTER('Data Master'!$B$2:$B2880,'Data Master'!$J$2:$J2880=A816)))"),"petani")</f>
        <v>petani</v>
      </c>
    </row>
    <row r="817" hidden="1">
      <c r="C817" s="40" t="str">
        <f>IFERROR(__xludf.DUMMYFUNCTION("TEXTJOIN("", "",TRUE,UNIQUE(FILTER('Data Master'!$B$2:$B2880,'Data Master'!$J$2:$J2880=A817)))"),"petani")</f>
        <v>petani</v>
      </c>
    </row>
    <row r="818" hidden="1">
      <c r="C818" s="40" t="str">
        <f>IFERROR(__xludf.DUMMYFUNCTION("TEXTJOIN("", "",TRUE,UNIQUE(FILTER('Data Master'!$B$2:$B2880,'Data Master'!$J$2:$J2880=A818)))"),"petani")</f>
        <v>petani</v>
      </c>
    </row>
    <row r="819" hidden="1">
      <c r="C819" s="40" t="str">
        <f>IFERROR(__xludf.DUMMYFUNCTION("TEXTJOIN("", "",TRUE,UNIQUE(FILTER('Data Master'!$B$2:$B2880,'Data Master'!$J$2:$J2880=A819)))"),"petani")</f>
        <v>petani</v>
      </c>
    </row>
    <row r="820" hidden="1">
      <c r="C820" s="40" t="str">
        <f>IFERROR(__xludf.DUMMYFUNCTION("TEXTJOIN("", "",TRUE,UNIQUE(FILTER('Data Master'!$B$2:$B2880,'Data Master'!$J$2:$J2880=A820)))"),"petani")</f>
        <v>petani</v>
      </c>
    </row>
    <row r="821" hidden="1">
      <c r="C821" s="40" t="str">
        <f>IFERROR(__xludf.DUMMYFUNCTION("TEXTJOIN("", "",TRUE,UNIQUE(FILTER('Data Master'!$B$2:$B2880,'Data Master'!$J$2:$J2880=A821)))"),"petani")</f>
        <v>petani</v>
      </c>
    </row>
    <row r="822" hidden="1">
      <c r="C822" s="40" t="str">
        <f>IFERROR(__xludf.DUMMYFUNCTION("TEXTJOIN("", "",TRUE,UNIQUE(FILTER('Data Master'!$B$2:$B2880,'Data Master'!$J$2:$J2880=A822)))"),"petani")</f>
        <v>petani</v>
      </c>
    </row>
    <row r="823" hidden="1">
      <c r="C823" s="40" t="str">
        <f>IFERROR(__xludf.DUMMYFUNCTION("TEXTJOIN("", "",TRUE,UNIQUE(FILTER('Data Master'!$B$2:$B2880,'Data Master'!$J$2:$J2880=A823)))"),"petani")</f>
        <v>petani</v>
      </c>
    </row>
    <row r="824" hidden="1">
      <c r="C824" s="40" t="str">
        <f>IFERROR(__xludf.DUMMYFUNCTION("TEXTJOIN("", "",TRUE,UNIQUE(FILTER('Data Master'!$B$2:$B2880,'Data Master'!$J$2:$J2880=A824)))"),"petani")</f>
        <v>petani</v>
      </c>
    </row>
    <row r="825" hidden="1">
      <c r="C825" s="40" t="str">
        <f>IFERROR(__xludf.DUMMYFUNCTION("TEXTJOIN("", "",TRUE,UNIQUE(FILTER('Data Master'!$B$2:$B2880,'Data Master'!$J$2:$J2880=A825)))"),"petani")</f>
        <v>petani</v>
      </c>
    </row>
    <row r="826" hidden="1">
      <c r="C826" s="40" t="str">
        <f>IFERROR(__xludf.DUMMYFUNCTION("TEXTJOIN("", "",TRUE,UNIQUE(FILTER('Data Master'!$B$2:$B2880,'Data Master'!$J$2:$J2880=A826)))"),"petani")</f>
        <v>petani</v>
      </c>
    </row>
    <row r="827" hidden="1">
      <c r="C827" s="40" t="str">
        <f>IFERROR(__xludf.DUMMYFUNCTION("TEXTJOIN("", "",TRUE,UNIQUE(FILTER('Data Master'!$B$2:$B2880,'Data Master'!$J$2:$J2880=A827)))"),"petani")</f>
        <v>petani</v>
      </c>
    </row>
    <row r="828" hidden="1">
      <c r="C828" s="40" t="str">
        <f>IFERROR(__xludf.DUMMYFUNCTION("TEXTJOIN("", "",TRUE,UNIQUE(FILTER('Data Master'!$B$2:$B2880,'Data Master'!$J$2:$J2880=A828)))"),"petani")</f>
        <v>petani</v>
      </c>
    </row>
    <row r="829" hidden="1">
      <c r="C829" s="40" t="str">
        <f>IFERROR(__xludf.DUMMYFUNCTION("TEXTJOIN("", "",TRUE,UNIQUE(FILTER('Data Master'!$B$2:$B2880,'Data Master'!$J$2:$J2880=A829)))"),"petani")</f>
        <v>petani</v>
      </c>
    </row>
    <row r="830" hidden="1">
      <c r="C830" s="40" t="str">
        <f>IFERROR(__xludf.DUMMYFUNCTION("TEXTJOIN("", "",TRUE,UNIQUE(FILTER('Data Master'!$B$2:$B2880,'Data Master'!$J$2:$J2880=A830)))"),"petani")</f>
        <v>petani</v>
      </c>
    </row>
    <row r="831" hidden="1">
      <c r="C831" s="40" t="str">
        <f>IFERROR(__xludf.DUMMYFUNCTION("TEXTJOIN("", "",TRUE,UNIQUE(FILTER('Data Master'!$B$2:$B2880,'Data Master'!$J$2:$J2880=A831)))"),"petani")</f>
        <v>petani</v>
      </c>
    </row>
    <row r="832">
      <c r="C832" s="43" t="str">
        <f>IFERROR(__xludf.DUMMYFUNCTION("TEXTJOIN("", "",TRUE,UNIQUE(FILTER('Data Master'!$B$2:$B2880,'Data Master'!$J$2:$J2880=A832)))"),"operator admin, penyuluh")</f>
        <v>operator admin, penyuluh</v>
      </c>
    </row>
    <row r="833" hidden="1">
      <c r="C833" s="40" t="str">
        <f>IFERROR(__xludf.DUMMYFUNCTION("TEXTJOIN("", "",TRUE,UNIQUE(FILTER('Data Master'!$B$2:$B2880,'Data Master'!$J$2:$J2880=A833)))"),"petani")</f>
        <v>petani</v>
      </c>
    </row>
    <row r="834" hidden="1">
      <c r="C834" s="40" t="str">
        <f>IFERROR(__xludf.DUMMYFUNCTION("TEXTJOIN("", "",TRUE,UNIQUE(FILTER('Data Master'!$B$2:$B2880,'Data Master'!$J$2:$J2880=A834)))"),"petani")</f>
        <v>petani</v>
      </c>
    </row>
    <row r="835" hidden="1">
      <c r="C835" s="40" t="str">
        <f>IFERROR(__xludf.DUMMYFUNCTION("TEXTJOIN("", "",TRUE,UNIQUE(FILTER('Data Master'!$B$2:$B2880,'Data Master'!$J$2:$J2880=A835)))"),"petani")</f>
        <v>petani</v>
      </c>
    </row>
    <row r="836" hidden="1">
      <c r="C836" s="40" t="str">
        <f>IFERROR(__xludf.DUMMYFUNCTION("TEXTJOIN("", "",TRUE,UNIQUE(FILTER('Data Master'!$B$2:$B2880,'Data Master'!$J$2:$J2880=A836)))"),"petani")</f>
        <v>petani</v>
      </c>
    </row>
    <row r="837" hidden="1">
      <c r="C837" s="40" t="str">
        <f>IFERROR(__xludf.DUMMYFUNCTION("TEXTJOIN("", "",TRUE,UNIQUE(FILTER('Data Master'!$B$2:$B2880,'Data Master'!$J$2:$J2880=A837)))"),"petani")</f>
        <v>petani</v>
      </c>
    </row>
    <row r="838" hidden="1">
      <c r="C838" s="40" t="str">
        <f>IFERROR(__xludf.DUMMYFUNCTION("TEXTJOIN("", "",TRUE,UNIQUE(FILTER('Data Master'!$B$2:$B2880,'Data Master'!$J$2:$J2880=A838)))"),"petani")</f>
        <v>petani</v>
      </c>
    </row>
    <row r="839" hidden="1">
      <c r="C839" s="40" t="str">
        <f>IFERROR(__xludf.DUMMYFUNCTION("TEXTJOIN("", "",TRUE,UNIQUE(FILTER('Data Master'!$B$2:$B2880,'Data Master'!$J$2:$J2880=A839)))"),"petani")</f>
        <v>petani</v>
      </c>
    </row>
    <row r="840" hidden="1">
      <c r="C840" s="40" t="str">
        <f>IFERROR(__xludf.DUMMYFUNCTION("TEXTJOIN("", "",TRUE,UNIQUE(FILTER('Data Master'!$B$2:$B2880,'Data Master'!$J$2:$J2880=A840)))"),"petani")</f>
        <v>petani</v>
      </c>
    </row>
    <row r="841" hidden="1">
      <c r="C841" s="40" t="str">
        <f>IFERROR(__xludf.DUMMYFUNCTION("TEXTJOIN("", "",TRUE,UNIQUE(FILTER('Data Master'!$B$2:$B2880,'Data Master'!$J$2:$J2880=A841)))"),"petani")</f>
        <v>petani</v>
      </c>
    </row>
    <row r="842" hidden="1">
      <c r="C842" s="40" t="str">
        <f>IFERROR(__xludf.DUMMYFUNCTION("TEXTJOIN("", "",TRUE,UNIQUE(FILTER('Data Master'!$B$2:$B2880,'Data Master'!$J$2:$J2880=A842)))"),"petani")</f>
        <v>petani</v>
      </c>
    </row>
    <row r="843" hidden="1">
      <c r="C843" s="40" t="str">
        <f>IFERROR(__xludf.DUMMYFUNCTION("TEXTJOIN("", "",TRUE,UNIQUE(FILTER('Data Master'!$B$2:$B2880,'Data Master'!$J$2:$J2880=A843)))"),"petani")</f>
        <v>petani</v>
      </c>
    </row>
    <row r="844" hidden="1">
      <c r="C844" s="40" t="str">
        <f>IFERROR(__xludf.DUMMYFUNCTION("TEXTJOIN("", "",TRUE,UNIQUE(FILTER('Data Master'!$B$2:$B2880,'Data Master'!$J$2:$J2880=A844)))"),"petani")</f>
        <v>petani</v>
      </c>
    </row>
    <row r="845" hidden="1">
      <c r="C845" s="40" t="str">
        <f>IFERROR(__xludf.DUMMYFUNCTION("TEXTJOIN("", "",TRUE,UNIQUE(FILTER('Data Master'!$B$2:$B2880,'Data Master'!$J$2:$J2880=A845)))"),"petani")</f>
        <v>petani</v>
      </c>
    </row>
    <row r="846" hidden="1">
      <c r="C846" s="40" t="str">
        <f>IFERROR(__xludf.DUMMYFUNCTION("TEXTJOIN("", "",TRUE,UNIQUE(FILTER('Data Master'!$B$2:$B2880,'Data Master'!$J$2:$J2880=A846)))"),"petani")</f>
        <v>petani</v>
      </c>
    </row>
    <row r="847" hidden="1">
      <c r="C847" s="40" t="str">
        <f>IFERROR(__xludf.DUMMYFUNCTION("TEXTJOIN("", "",TRUE,UNIQUE(FILTER('Data Master'!$B$2:$B2880,'Data Master'!$J$2:$J2880=A847)))"),"petani")</f>
        <v>petani</v>
      </c>
    </row>
    <row r="848" hidden="1">
      <c r="C848" s="40" t="str">
        <f>IFERROR(__xludf.DUMMYFUNCTION("TEXTJOIN("", "",TRUE,UNIQUE(FILTER('Data Master'!$B$2:$B2880,'Data Master'!$J$2:$J2880=A848)))"),"petani")</f>
        <v>petani</v>
      </c>
    </row>
    <row r="849" hidden="1">
      <c r="C849" s="40" t="str">
        <f>IFERROR(__xludf.DUMMYFUNCTION("TEXTJOIN("", "",TRUE,UNIQUE(FILTER('Data Master'!$B$2:$B2880,'Data Master'!$J$2:$J2880=A849)))"),"petani")</f>
        <v>petani</v>
      </c>
    </row>
    <row r="850" hidden="1">
      <c r="C850" s="40" t="str">
        <f>IFERROR(__xludf.DUMMYFUNCTION("TEXTJOIN("", "",TRUE,UNIQUE(FILTER('Data Master'!$B$2:$B2880,'Data Master'!$J$2:$J2880=A850)))"),"petani")</f>
        <v>petani</v>
      </c>
    </row>
    <row r="851" hidden="1">
      <c r="C851" s="40" t="str">
        <f>IFERROR(__xludf.DUMMYFUNCTION("TEXTJOIN("", "",TRUE,UNIQUE(FILTER('Data Master'!$B$2:$B2880,'Data Master'!$J$2:$J2880=A851)))"),"petani")</f>
        <v>petani</v>
      </c>
    </row>
    <row r="852" hidden="1">
      <c r="C852" s="40" t="str">
        <f>IFERROR(__xludf.DUMMYFUNCTION("TEXTJOIN("", "",TRUE,UNIQUE(FILTER('Data Master'!$B$2:$B2880,'Data Master'!$J$2:$J2880=A852)))"),"petani")</f>
        <v>petani</v>
      </c>
    </row>
    <row r="853" hidden="1">
      <c r="C853" s="40" t="str">
        <f>IFERROR(__xludf.DUMMYFUNCTION("TEXTJOIN("", "",TRUE,UNIQUE(FILTER('Data Master'!$B$2:$B2880,'Data Master'!$J$2:$J2880=A853)))"),"petani")</f>
        <v>petani</v>
      </c>
    </row>
    <row r="854" hidden="1">
      <c r="C854" s="40" t="str">
        <f>IFERROR(__xludf.DUMMYFUNCTION("TEXTJOIN("", "",TRUE,UNIQUE(FILTER('Data Master'!$B$2:$B2880,'Data Master'!$J$2:$J2880=A854)))"),"petani")</f>
        <v>petani</v>
      </c>
    </row>
    <row r="855" hidden="1">
      <c r="C855" s="40" t="str">
        <f>IFERROR(__xludf.DUMMYFUNCTION("TEXTJOIN("", "",TRUE,UNIQUE(FILTER('Data Master'!$B$2:$B2880,'Data Master'!$J$2:$J2880=A855)))"),"petani")</f>
        <v>petani</v>
      </c>
    </row>
    <row r="856" hidden="1">
      <c r="C856" s="40" t="str">
        <f>IFERROR(__xludf.DUMMYFUNCTION("TEXTJOIN("", "",TRUE,UNIQUE(FILTER('Data Master'!$B$2:$B2880,'Data Master'!$J$2:$J2880=A856)))"),"petani")</f>
        <v>petani</v>
      </c>
    </row>
    <row r="857" hidden="1">
      <c r="C857" s="40" t="str">
        <f>IFERROR(__xludf.DUMMYFUNCTION("TEXTJOIN("", "",TRUE,UNIQUE(FILTER('Data Master'!$B$2:$B2880,'Data Master'!$J$2:$J2880=A857)))"),"petani")</f>
        <v>petani</v>
      </c>
    </row>
    <row r="858" hidden="1">
      <c r="C858" s="40" t="str">
        <f>IFERROR(__xludf.DUMMYFUNCTION("TEXTJOIN("", "",TRUE,UNIQUE(FILTER('Data Master'!$B$2:$B2880,'Data Master'!$J$2:$J2880=A858)))"),"petani")</f>
        <v>petani</v>
      </c>
    </row>
    <row r="859" hidden="1">
      <c r="C859" s="40" t="str">
        <f>IFERROR(__xludf.DUMMYFUNCTION("TEXTJOIN("", "",TRUE,UNIQUE(FILTER('Data Master'!$B$2:$B2880,'Data Master'!$J$2:$J2880=A859)))"),"petani")</f>
        <v>petani</v>
      </c>
    </row>
    <row r="860" hidden="1">
      <c r="C860" s="40" t="str">
        <f>IFERROR(__xludf.DUMMYFUNCTION("TEXTJOIN("", "",TRUE,UNIQUE(FILTER('Data Master'!$B$2:$B2880,'Data Master'!$J$2:$J2880=A860)))"),"petani")</f>
        <v>petani</v>
      </c>
    </row>
    <row r="861" hidden="1">
      <c r="C861" s="40" t="str">
        <f>IFERROR(__xludf.DUMMYFUNCTION("TEXTJOIN("", "",TRUE,UNIQUE(FILTER('Data Master'!$B$2:$B2880,'Data Master'!$J$2:$J2880=A861)))"),"petani")</f>
        <v>petani</v>
      </c>
    </row>
    <row r="862" hidden="1">
      <c r="C862" s="40" t="str">
        <f>IFERROR(__xludf.DUMMYFUNCTION("TEXTJOIN("", "",TRUE,UNIQUE(FILTER('Data Master'!$B$2:$B2880,'Data Master'!$J$2:$J2880=A862)))"),"petani")</f>
        <v>petani</v>
      </c>
    </row>
    <row r="863" hidden="1">
      <c r="C863" s="40" t="str">
        <f>IFERROR(__xludf.DUMMYFUNCTION("TEXTJOIN("", "",TRUE,UNIQUE(FILTER('Data Master'!$B$2:$B2880,'Data Master'!$J$2:$J2880=A863)))"),"petani")</f>
        <v>petani</v>
      </c>
    </row>
    <row r="864" hidden="1">
      <c r="C864" s="40" t="str">
        <f>IFERROR(__xludf.DUMMYFUNCTION("TEXTJOIN("", "",TRUE,UNIQUE(FILTER('Data Master'!$B$2:$B2880,'Data Master'!$J$2:$J2880=A864)))"),"petani")</f>
        <v>petani</v>
      </c>
    </row>
    <row r="865" hidden="1">
      <c r="C865" s="40" t="str">
        <f>IFERROR(__xludf.DUMMYFUNCTION("TEXTJOIN("", "",TRUE,UNIQUE(FILTER('Data Master'!$B$2:$B2880,'Data Master'!$J$2:$J2880=A865)))"),"petani")</f>
        <v>petani</v>
      </c>
    </row>
    <row r="866" hidden="1">
      <c r="C866" s="40" t="str">
        <f>IFERROR(__xludf.DUMMYFUNCTION("TEXTJOIN("", "",TRUE,UNIQUE(FILTER('Data Master'!$B$2:$B2880,'Data Master'!$J$2:$J2880=A866)))"),"petani")</f>
        <v>petani</v>
      </c>
    </row>
    <row r="867" hidden="1">
      <c r="C867" s="40" t="str">
        <f>IFERROR(__xludf.DUMMYFUNCTION("TEXTJOIN("", "",TRUE,UNIQUE(FILTER('Data Master'!$B$2:$B2880,'Data Master'!$J$2:$J2880=A867)))"),"petani")</f>
        <v>petani</v>
      </c>
    </row>
    <row r="868" hidden="1">
      <c r="C868" s="40" t="str">
        <f>IFERROR(__xludf.DUMMYFUNCTION("TEXTJOIN("", "",TRUE,UNIQUE(FILTER('Data Master'!$B$2:$B2880,'Data Master'!$J$2:$J2880=A868)))"),"petani")</f>
        <v>petani</v>
      </c>
    </row>
    <row r="869" hidden="1">
      <c r="C869" s="40" t="str">
        <f>IFERROR(__xludf.DUMMYFUNCTION("TEXTJOIN("", "",TRUE,UNIQUE(FILTER('Data Master'!$B$2:$B2880,'Data Master'!$J$2:$J2880=A869)))"),"petani")</f>
        <v>petani</v>
      </c>
    </row>
    <row r="870" hidden="1">
      <c r="C870" s="40" t="str">
        <f>IFERROR(__xludf.DUMMYFUNCTION("TEXTJOIN("", "",TRUE,UNIQUE(FILTER('Data Master'!$B$2:$B2880,'Data Master'!$J$2:$J2880=A870)))"),"petani")</f>
        <v>petani</v>
      </c>
    </row>
    <row r="871" hidden="1">
      <c r="C871" s="40" t="str">
        <f>IFERROR(__xludf.DUMMYFUNCTION("TEXTJOIN("", "",TRUE,UNIQUE(FILTER('Data Master'!$B$2:$B2880,'Data Master'!$J$2:$J2880=A871)))"),"petani")</f>
        <v>petani</v>
      </c>
    </row>
    <row r="872" hidden="1">
      <c r="C872" s="40" t="str">
        <f>IFERROR(__xludf.DUMMYFUNCTION("TEXTJOIN("", "",TRUE,UNIQUE(FILTER('Data Master'!$B$2:$B2880,'Data Master'!$J$2:$J2880=A872)))"),"petani")</f>
        <v>petani</v>
      </c>
    </row>
    <row r="873" hidden="1">
      <c r="C873" s="40" t="str">
        <f>IFERROR(__xludf.DUMMYFUNCTION("TEXTJOIN("", "",TRUE,UNIQUE(FILTER('Data Master'!$B$2:$B2880,'Data Master'!$J$2:$J2880=A873)))"),"petani")</f>
        <v>petani</v>
      </c>
    </row>
    <row r="874" hidden="1">
      <c r="C874" s="40" t="str">
        <f>IFERROR(__xludf.DUMMYFUNCTION("TEXTJOIN("", "",TRUE,UNIQUE(FILTER('Data Master'!$B$2:$B2880,'Data Master'!$J$2:$J2880=A874)))"),"petani")</f>
        <v>petani</v>
      </c>
    </row>
    <row r="875" hidden="1">
      <c r="C875" s="40" t="str">
        <f>IFERROR(__xludf.DUMMYFUNCTION("TEXTJOIN("", "",TRUE,UNIQUE(FILTER('Data Master'!$B$2:$B2880,'Data Master'!$J$2:$J2880=A875)))"),"petani")</f>
        <v>petani</v>
      </c>
    </row>
    <row r="876" hidden="1">
      <c r="C876" s="40" t="str">
        <f>IFERROR(__xludf.DUMMYFUNCTION("TEXTJOIN("", "",TRUE,UNIQUE(FILTER('Data Master'!$B$2:$B2880,'Data Master'!$J$2:$J2880=A876)))"),"petani")</f>
        <v>petani</v>
      </c>
    </row>
    <row r="877" hidden="1">
      <c r="C877" s="40" t="str">
        <f>IFERROR(__xludf.DUMMYFUNCTION("TEXTJOIN("", "",TRUE,UNIQUE(FILTER('Data Master'!$B$2:$B2880,'Data Master'!$J$2:$J2880=A877)))"),"petani")</f>
        <v>petani</v>
      </c>
    </row>
    <row r="878" hidden="1">
      <c r="C878" s="40" t="str">
        <f>IFERROR(__xludf.DUMMYFUNCTION("TEXTJOIN("", "",TRUE,UNIQUE(FILTER('Data Master'!$B$2:$B2880,'Data Master'!$J$2:$J2880=A878)))"),"petani")</f>
        <v>petani</v>
      </c>
    </row>
    <row r="879" hidden="1">
      <c r="C879" s="40" t="str">
        <f>IFERROR(__xludf.DUMMYFUNCTION("TEXTJOIN("", "",TRUE,UNIQUE(FILTER('Data Master'!$B$2:$B2880,'Data Master'!$J$2:$J2880=A879)))"),"petani")</f>
        <v>petani</v>
      </c>
    </row>
    <row r="880" hidden="1">
      <c r="C880" s="40" t="str">
        <f>IFERROR(__xludf.DUMMYFUNCTION("TEXTJOIN("", "",TRUE,UNIQUE(FILTER('Data Master'!$B$2:$B2880,'Data Master'!$J$2:$J2880=A880)))"),"petani")</f>
        <v>petani</v>
      </c>
    </row>
    <row r="881" hidden="1">
      <c r="C881" s="40" t="str">
        <f>IFERROR(__xludf.DUMMYFUNCTION("TEXTJOIN("", "",TRUE,UNIQUE(FILTER('Data Master'!$B$2:$B2880,'Data Master'!$J$2:$J2880=A881)))"),"operator admin")</f>
        <v>operator admin</v>
      </c>
    </row>
    <row r="882" hidden="1">
      <c r="C882" s="40" t="str">
        <f>IFERROR(__xludf.DUMMYFUNCTION("TEXTJOIN("", "",TRUE,UNIQUE(FILTER('Data Master'!$B$2:$B2880,'Data Master'!$J$2:$J2880=A882)))"),"petani")</f>
        <v>petani</v>
      </c>
    </row>
    <row r="883" hidden="1">
      <c r="C883" s="40" t="str">
        <f>IFERROR(__xludf.DUMMYFUNCTION("TEXTJOIN("", "",TRUE,UNIQUE(FILTER('Data Master'!$B$2:$B2880,'Data Master'!$J$2:$J2880=A883)))"),"petani")</f>
        <v>petani</v>
      </c>
    </row>
    <row r="884" hidden="1">
      <c r="C884" s="40" t="str">
        <f>IFERROR(__xludf.DUMMYFUNCTION("TEXTJOIN("", "",TRUE,UNIQUE(FILTER('Data Master'!$B$2:$B2880,'Data Master'!$J$2:$J2880=A884)))"),"petani")</f>
        <v>petani</v>
      </c>
    </row>
    <row r="885" hidden="1">
      <c r="C885" s="40" t="str">
        <f>IFERROR(__xludf.DUMMYFUNCTION("TEXTJOIN("", "",TRUE,UNIQUE(FILTER('Data Master'!$B$2:$B2880,'Data Master'!$J$2:$J2880=A885)))"),"petani")</f>
        <v>petani</v>
      </c>
    </row>
    <row r="886" hidden="1">
      <c r="C886" s="40" t="str">
        <f>IFERROR(__xludf.DUMMYFUNCTION("TEXTJOIN("", "",TRUE,UNIQUE(FILTER('Data Master'!$B$2:$B2880,'Data Master'!$J$2:$J2880=A886)))"),"petani")</f>
        <v>petani</v>
      </c>
    </row>
    <row r="887" hidden="1">
      <c r="C887" s="40" t="str">
        <f>IFERROR(__xludf.DUMMYFUNCTION("TEXTJOIN("", "",TRUE,UNIQUE(FILTER('Data Master'!$B$2:$B2880,'Data Master'!$J$2:$J2880=A887)))"),"petani")</f>
        <v>petani</v>
      </c>
    </row>
    <row r="888" hidden="1">
      <c r="C888" s="40" t="str">
        <f>IFERROR(__xludf.DUMMYFUNCTION("TEXTJOIN("", "",TRUE,UNIQUE(FILTER('Data Master'!$B$2:$B2880,'Data Master'!$J$2:$J2880=A888)))"),"petani")</f>
        <v>petani</v>
      </c>
    </row>
    <row r="889" hidden="1">
      <c r="C889" s="40" t="str">
        <f>IFERROR(__xludf.DUMMYFUNCTION("TEXTJOIN("", "",TRUE,UNIQUE(FILTER('Data Master'!$B$2:$B2880,'Data Master'!$J$2:$J2880=A889)))"),"petani")</f>
        <v>petani</v>
      </c>
    </row>
    <row r="890" hidden="1">
      <c r="C890" s="40" t="str">
        <f>IFERROR(__xludf.DUMMYFUNCTION("TEXTJOIN("", "",TRUE,UNIQUE(FILTER('Data Master'!$B$2:$B2880,'Data Master'!$J$2:$J2880=A890)))"),"petani")</f>
        <v>petani</v>
      </c>
    </row>
    <row r="891" hidden="1">
      <c r="C891" s="40" t="str">
        <f>IFERROR(__xludf.DUMMYFUNCTION("TEXTJOIN("", "",TRUE,UNIQUE(FILTER('Data Master'!$B$2:$B2880,'Data Master'!$J$2:$J2880=A891)))"),"petani")</f>
        <v>petani</v>
      </c>
    </row>
    <row r="892" hidden="1">
      <c r="C892" s="40" t="str">
        <f>IFERROR(__xludf.DUMMYFUNCTION("TEXTJOIN("", "",TRUE,UNIQUE(FILTER('Data Master'!$B$2:$B2880,'Data Master'!$J$2:$J2880=A892)))"),"petani")</f>
        <v>petani</v>
      </c>
    </row>
    <row r="893">
      <c r="C893" s="43" t="str">
        <f>IFERROR(__xludf.DUMMYFUNCTION("TEXTJOIN("", "",TRUE,UNIQUE(FILTER('Data Master'!$B$2:$B2880,'Data Master'!$J$2:$J2880=A893)))"),"operator admin, penyuluh")</f>
        <v>operator admin, penyuluh</v>
      </c>
    </row>
    <row r="894" hidden="1">
      <c r="C894" s="40" t="str">
        <f>IFERROR(__xludf.DUMMYFUNCTION("TEXTJOIN("", "",TRUE,UNIQUE(FILTER('Data Master'!$B$2:$B2880,'Data Master'!$J$2:$J2880=A894)))"),"petani")</f>
        <v>petani</v>
      </c>
    </row>
    <row r="895" hidden="1">
      <c r="C895" s="40" t="str">
        <f>IFERROR(__xludf.DUMMYFUNCTION("TEXTJOIN("", "",TRUE,UNIQUE(FILTER('Data Master'!$B$2:$B2880,'Data Master'!$J$2:$J2880=A895)))"),"petani")</f>
        <v>petani</v>
      </c>
    </row>
    <row r="896" hidden="1">
      <c r="C896" s="40" t="str">
        <f>IFERROR(__xludf.DUMMYFUNCTION("TEXTJOIN("", "",TRUE,UNIQUE(FILTER('Data Master'!$B$2:$B2880,'Data Master'!$J$2:$J2880=A896)))"),"petani")</f>
        <v>petani</v>
      </c>
    </row>
    <row r="897" hidden="1">
      <c r="C897" s="40" t="str">
        <f>IFERROR(__xludf.DUMMYFUNCTION("TEXTJOIN("", "",TRUE,UNIQUE(FILTER('Data Master'!$B$2:$B2880,'Data Master'!$J$2:$J2880=A897)))"),"petani")</f>
        <v>petani</v>
      </c>
    </row>
    <row r="898" hidden="1">
      <c r="C898" s="40" t="str">
        <f>IFERROR(__xludf.DUMMYFUNCTION("TEXTJOIN("", "",TRUE,UNIQUE(FILTER('Data Master'!$B$2:$B2880,'Data Master'!$J$2:$J2880=A898)))"),"petani")</f>
        <v>petani</v>
      </c>
    </row>
    <row r="899" hidden="1">
      <c r="C899" s="40" t="str">
        <f>IFERROR(__xludf.DUMMYFUNCTION("TEXTJOIN("", "",TRUE,UNIQUE(FILTER('Data Master'!$B$2:$B2880,'Data Master'!$J$2:$J2880=A899)))"),"petani")</f>
        <v>petani</v>
      </c>
    </row>
    <row r="900" hidden="1">
      <c r="C900" s="40" t="str">
        <f>IFERROR(__xludf.DUMMYFUNCTION("TEXTJOIN("", "",TRUE,UNIQUE(FILTER('Data Master'!$B$2:$B2880,'Data Master'!$J$2:$J2880=A900)))"),"petani")</f>
        <v>petani</v>
      </c>
    </row>
    <row r="901" hidden="1">
      <c r="C901" s="40" t="str">
        <f>IFERROR(__xludf.DUMMYFUNCTION("TEXTJOIN("", "",TRUE,UNIQUE(FILTER('Data Master'!$B$2:$B2880,'Data Master'!$J$2:$J2880=A901)))"),"petani")</f>
        <v>petani</v>
      </c>
    </row>
    <row r="902" hidden="1">
      <c r="C902" s="40" t="str">
        <f>IFERROR(__xludf.DUMMYFUNCTION("TEXTJOIN("", "",TRUE,UNIQUE(FILTER('Data Master'!$B$2:$B2880,'Data Master'!$J$2:$J2880=A902)))"),"petani")</f>
        <v>petani</v>
      </c>
    </row>
    <row r="903" hidden="1">
      <c r="C903" s="40" t="str">
        <f>IFERROR(__xludf.DUMMYFUNCTION("TEXTJOIN("", "",TRUE,UNIQUE(FILTER('Data Master'!$B$2:$B2880,'Data Master'!$J$2:$J2880=A903)))"),"petani")</f>
        <v>petani</v>
      </c>
    </row>
    <row r="904" hidden="1">
      <c r="C904" s="40" t="str">
        <f>IFERROR(__xludf.DUMMYFUNCTION("TEXTJOIN("", "",TRUE,UNIQUE(FILTER('Data Master'!$B$2:$B2880,'Data Master'!$J$2:$J2880=A904)))"),"petani")</f>
        <v>petani</v>
      </c>
    </row>
    <row r="905" hidden="1">
      <c r="C905" s="40" t="str">
        <f>IFERROR(__xludf.DUMMYFUNCTION("TEXTJOIN("", "",TRUE,UNIQUE(FILTER('Data Master'!$B$2:$B2880,'Data Master'!$J$2:$J2880=A905)))"),"petani")</f>
        <v>petani</v>
      </c>
    </row>
    <row r="906" hidden="1">
      <c r="C906" s="40" t="str">
        <f>IFERROR(__xludf.DUMMYFUNCTION("TEXTJOIN("", "",TRUE,UNIQUE(FILTER('Data Master'!$B$2:$B2880,'Data Master'!$J$2:$J2880=A906)))"),"petani")</f>
        <v>petani</v>
      </c>
    </row>
    <row r="907" hidden="1">
      <c r="C907" s="40" t="str">
        <f>IFERROR(__xludf.DUMMYFUNCTION("TEXTJOIN("", "",TRUE,UNIQUE(FILTER('Data Master'!$B$2:$B2880,'Data Master'!$J$2:$J2880=A907)))"),"petani")</f>
        <v>petani</v>
      </c>
    </row>
    <row r="908" hidden="1">
      <c r="C908" s="40" t="str">
        <f>IFERROR(__xludf.DUMMYFUNCTION("TEXTJOIN("", "",TRUE,UNIQUE(FILTER('Data Master'!$B$2:$B2880,'Data Master'!$J$2:$J2880=A908)))"),"petani")</f>
        <v>petani</v>
      </c>
    </row>
    <row r="909" hidden="1">
      <c r="C909" s="40" t="str">
        <f>IFERROR(__xludf.DUMMYFUNCTION("TEXTJOIN("", "",TRUE,UNIQUE(FILTER('Data Master'!$B$2:$B2880,'Data Master'!$J$2:$J2880=A909)))"),"petani")</f>
        <v>petani</v>
      </c>
    </row>
    <row r="910" hidden="1">
      <c r="C910" s="40" t="str">
        <f>IFERROR(__xludf.DUMMYFUNCTION("TEXTJOIN("", "",TRUE,UNIQUE(FILTER('Data Master'!$B$2:$B2880,'Data Master'!$J$2:$J2880=A910)))"),"petani")</f>
        <v>petani</v>
      </c>
    </row>
    <row r="911" hidden="1">
      <c r="C911" s="40" t="str">
        <f>IFERROR(__xludf.DUMMYFUNCTION("TEXTJOIN("", "",TRUE,UNIQUE(FILTER('Data Master'!$B$2:$B2880,'Data Master'!$J$2:$J2880=A911)))"),"petani")</f>
        <v>petani</v>
      </c>
    </row>
    <row r="912" hidden="1">
      <c r="C912" s="40" t="str">
        <f>IFERROR(__xludf.DUMMYFUNCTION("TEXTJOIN("", "",TRUE,UNIQUE(FILTER('Data Master'!$B$2:$B2880,'Data Master'!$J$2:$J2880=A912)))"),"petani")</f>
        <v>petani</v>
      </c>
    </row>
    <row r="913" hidden="1">
      <c r="C913" s="40" t="str">
        <f>IFERROR(__xludf.DUMMYFUNCTION("TEXTJOIN("", "",TRUE,UNIQUE(FILTER('Data Master'!$B$2:$B2880,'Data Master'!$J$2:$J2880=A913)))"),"petani")</f>
        <v>petani</v>
      </c>
    </row>
    <row r="914" hidden="1">
      <c r="C914" s="40" t="str">
        <f>IFERROR(__xludf.DUMMYFUNCTION("TEXTJOIN("", "",TRUE,UNIQUE(FILTER('Data Master'!$B$2:$B2880,'Data Master'!$J$2:$J2880=A914)))"),"petani")</f>
        <v>petani</v>
      </c>
    </row>
    <row r="915" hidden="1">
      <c r="C915" s="40" t="str">
        <f>IFERROR(__xludf.DUMMYFUNCTION("TEXTJOIN("", "",TRUE,UNIQUE(FILTER('Data Master'!$B$2:$B2880,'Data Master'!$J$2:$J2880=A915)))"),"petani")</f>
        <v>petani</v>
      </c>
    </row>
    <row r="916" hidden="1">
      <c r="C916" s="40" t="str">
        <f>IFERROR(__xludf.DUMMYFUNCTION("TEXTJOIN("", "",TRUE,UNIQUE(FILTER('Data Master'!$B$2:$B2880,'Data Master'!$J$2:$J2880=A916)))"),"petani")</f>
        <v>petani</v>
      </c>
    </row>
    <row r="917" hidden="1">
      <c r="C917" s="40" t="str">
        <f>IFERROR(__xludf.DUMMYFUNCTION("TEXTJOIN("", "",TRUE,UNIQUE(FILTER('Data Master'!$B$2:$B2880,'Data Master'!$J$2:$J2880=A917)))"),"petani")</f>
        <v>petani</v>
      </c>
    </row>
    <row r="918" hidden="1">
      <c r="C918" s="40" t="str">
        <f>IFERROR(__xludf.DUMMYFUNCTION("TEXTJOIN("", "",TRUE,UNIQUE(FILTER('Data Master'!$B$2:$B2880,'Data Master'!$J$2:$J2880=A918)))"),"petani")</f>
        <v>petani</v>
      </c>
    </row>
    <row r="919" hidden="1">
      <c r="C919" s="40" t="str">
        <f>IFERROR(__xludf.DUMMYFUNCTION("TEXTJOIN("", "",TRUE,UNIQUE(FILTER('Data Master'!$B$2:$B2880,'Data Master'!$J$2:$J2880=A919)))"),"petani")</f>
        <v>petani</v>
      </c>
    </row>
    <row r="920" hidden="1">
      <c r="C920" s="40" t="str">
        <f>IFERROR(__xludf.DUMMYFUNCTION("TEXTJOIN("", "",TRUE,UNIQUE(FILTER('Data Master'!$B$2:$B2880,'Data Master'!$J$2:$J2880=A920)))"),"petani")</f>
        <v>petani</v>
      </c>
    </row>
    <row r="921" hidden="1">
      <c r="C921" s="40" t="str">
        <f>IFERROR(__xludf.DUMMYFUNCTION("TEXTJOIN("", "",TRUE,UNIQUE(FILTER('Data Master'!$B$2:$B2880,'Data Master'!$J$2:$J2880=A921)))"),"petani")</f>
        <v>petani</v>
      </c>
    </row>
    <row r="922" hidden="1">
      <c r="C922" s="40" t="str">
        <f>IFERROR(__xludf.DUMMYFUNCTION("TEXTJOIN("", "",TRUE,UNIQUE(FILTER('Data Master'!$B$2:$B2880,'Data Master'!$J$2:$J2880=A922)))"),"petani")</f>
        <v>petani</v>
      </c>
    </row>
    <row r="923" hidden="1">
      <c r="C923" s="40" t="str">
        <f>IFERROR(__xludf.DUMMYFUNCTION("TEXTJOIN("", "",TRUE,UNIQUE(FILTER('Data Master'!$B$2:$B2880,'Data Master'!$J$2:$J2880=A923)))"),"petani")</f>
        <v>petani</v>
      </c>
    </row>
    <row r="924" hidden="1">
      <c r="C924" s="40" t="str">
        <f>IFERROR(__xludf.DUMMYFUNCTION("TEXTJOIN("", "",TRUE,UNIQUE(FILTER('Data Master'!$B$2:$B2880,'Data Master'!$J$2:$J2880=A924)))"),"petani")</f>
        <v>petani</v>
      </c>
    </row>
    <row r="925" hidden="1">
      <c r="C925" s="40" t="str">
        <f>IFERROR(__xludf.DUMMYFUNCTION("TEXTJOIN("", "",TRUE,UNIQUE(FILTER('Data Master'!$B$2:$B2880,'Data Master'!$J$2:$J2880=A925)))"),"petani")</f>
        <v>petani</v>
      </c>
    </row>
    <row r="926" hidden="1">
      <c r="C926" s="40" t="str">
        <f>IFERROR(__xludf.DUMMYFUNCTION("TEXTJOIN("", "",TRUE,UNIQUE(FILTER('Data Master'!$B$2:$B2880,'Data Master'!$J$2:$J2880=A926)))"),"petani")</f>
        <v>petani</v>
      </c>
    </row>
    <row r="927" hidden="1">
      <c r="C927" s="40" t="str">
        <f>IFERROR(__xludf.DUMMYFUNCTION("TEXTJOIN("", "",TRUE,UNIQUE(FILTER('Data Master'!$B$2:$B2880,'Data Master'!$J$2:$J2880=A927)))"),"petani")</f>
        <v>petani</v>
      </c>
    </row>
    <row r="928" hidden="1">
      <c r="C928" s="40" t="str">
        <f>IFERROR(__xludf.DUMMYFUNCTION("TEXTJOIN("", "",TRUE,UNIQUE(FILTER('Data Master'!$B$2:$B2880,'Data Master'!$J$2:$J2880=A928)))"),"petani")</f>
        <v>petani</v>
      </c>
    </row>
    <row r="929" hidden="1">
      <c r="C929" s="40" t="str">
        <f>IFERROR(__xludf.DUMMYFUNCTION("TEXTJOIN("", "",TRUE,UNIQUE(FILTER('Data Master'!$B$2:$B2880,'Data Master'!$J$2:$J2880=A929)))"),"petani")</f>
        <v>petani</v>
      </c>
    </row>
    <row r="930" hidden="1">
      <c r="C930" s="40" t="str">
        <f>IFERROR(__xludf.DUMMYFUNCTION("TEXTJOIN("", "",TRUE,UNIQUE(FILTER('Data Master'!$B$2:$B2880,'Data Master'!$J$2:$J2880=A930)))"),"petani")</f>
        <v>petani</v>
      </c>
    </row>
    <row r="931" hidden="1">
      <c r="C931" s="40" t="str">
        <f>IFERROR(__xludf.DUMMYFUNCTION("TEXTJOIN("", "",TRUE,UNIQUE(FILTER('Data Master'!$B$2:$B2880,'Data Master'!$J$2:$J2880=A931)))"),"petani")</f>
        <v>petani</v>
      </c>
    </row>
    <row r="932" hidden="1">
      <c r="C932" s="40" t="str">
        <f>IFERROR(__xludf.DUMMYFUNCTION("TEXTJOIN("", "",TRUE,UNIQUE(FILTER('Data Master'!$B$2:$B2880,'Data Master'!$J$2:$J2880=A932)))"),"petani")</f>
        <v>petani</v>
      </c>
    </row>
    <row r="933" hidden="1">
      <c r="C933" s="40" t="str">
        <f>IFERROR(__xludf.DUMMYFUNCTION("TEXTJOIN("", "",TRUE,UNIQUE(FILTER('Data Master'!$B$2:$B2880,'Data Master'!$J$2:$J2880=A933)))"),"petani")</f>
        <v>petani</v>
      </c>
    </row>
    <row r="934" hidden="1">
      <c r="C934" s="40" t="str">
        <f>IFERROR(__xludf.DUMMYFUNCTION("TEXTJOIN("", "",TRUE,UNIQUE(FILTER('Data Master'!$B$2:$B2880,'Data Master'!$J$2:$J2880=A934)))"),"petani")</f>
        <v>petani</v>
      </c>
    </row>
    <row r="935" hidden="1">
      <c r="C935" s="40" t="str">
        <f>IFERROR(__xludf.DUMMYFUNCTION("TEXTJOIN("", "",TRUE,UNIQUE(FILTER('Data Master'!$B$2:$B2880,'Data Master'!$J$2:$J2880=A935)))"),"petani")</f>
        <v>petani</v>
      </c>
    </row>
    <row r="936" hidden="1">
      <c r="C936" s="40" t="str">
        <f>IFERROR(__xludf.DUMMYFUNCTION("TEXTJOIN("", "",TRUE,UNIQUE(FILTER('Data Master'!$B$2:$B2880,'Data Master'!$J$2:$J2880=A936)))"),"petani")</f>
        <v>petani</v>
      </c>
    </row>
    <row r="937" hidden="1">
      <c r="C937" s="40" t="str">
        <f>IFERROR(__xludf.DUMMYFUNCTION("TEXTJOIN("", "",TRUE,UNIQUE(FILTER('Data Master'!$B$2:$B2880,'Data Master'!$J$2:$J2880=A937)))"),"petani")</f>
        <v>petani</v>
      </c>
    </row>
    <row r="938" hidden="1">
      <c r="C938" s="40" t="str">
        <f>IFERROR(__xludf.DUMMYFUNCTION("TEXTJOIN("", "",TRUE,UNIQUE(FILTER('Data Master'!$B$2:$B2880,'Data Master'!$J$2:$J2880=A938)))"),"petani")</f>
        <v>petani</v>
      </c>
    </row>
    <row r="939" hidden="1">
      <c r="C939" s="40" t="str">
        <f>IFERROR(__xludf.DUMMYFUNCTION("TEXTJOIN("", "",TRUE,UNIQUE(FILTER('Data Master'!$B$2:$B2880,'Data Master'!$J$2:$J2880=A939)))"),"operator admin")</f>
        <v>operator admin</v>
      </c>
    </row>
    <row r="940" hidden="1">
      <c r="C940" s="40" t="str">
        <f>IFERROR(__xludf.DUMMYFUNCTION("TEXTJOIN("", "",TRUE,UNIQUE(FILTER('Data Master'!$B$2:$B2880,'Data Master'!$J$2:$J2880=A940)))"),"petani")</f>
        <v>petani</v>
      </c>
    </row>
    <row r="941" hidden="1">
      <c r="C941" s="40" t="str">
        <f>IFERROR(__xludf.DUMMYFUNCTION("TEXTJOIN("", "",TRUE,UNIQUE(FILTER('Data Master'!$B$2:$B2880,'Data Master'!$J$2:$J2880=A941)))"),"petani")</f>
        <v>petani</v>
      </c>
    </row>
    <row r="942" hidden="1">
      <c r="C942" s="40" t="str">
        <f>IFERROR(__xludf.DUMMYFUNCTION("TEXTJOIN("", "",TRUE,UNIQUE(FILTER('Data Master'!$B$2:$B2880,'Data Master'!$J$2:$J2880=A942)))"),"petani")</f>
        <v>petani</v>
      </c>
    </row>
    <row r="943" hidden="1">
      <c r="C943" s="40" t="str">
        <f>IFERROR(__xludf.DUMMYFUNCTION("TEXTJOIN("", "",TRUE,UNIQUE(FILTER('Data Master'!$B$2:$B2880,'Data Master'!$J$2:$J2880=A943)))"),"petani")</f>
        <v>petani</v>
      </c>
    </row>
    <row r="944" hidden="1">
      <c r="C944" s="40" t="str">
        <f>IFERROR(__xludf.DUMMYFUNCTION("TEXTJOIN("", "",TRUE,UNIQUE(FILTER('Data Master'!$B$2:$B2880,'Data Master'!$J$2:$J2880=A944)))"),"penyuluh")</f>
        <v>penyuluh</v>
      </c>
    </row>
    <row r="945" hidden="1">
      <c r="C945" s="40" t="str">
        <f>IFERROR(__xludf.DUMMYFUNCTION("TEXTJOIN("", "",TRUE,UNIQUE(FILTER('Data Master'!$B$2:$B2880,'Data Master'!$J$2:$J2880=A945)))"),"petani")</f>
        <v>petani</v>
      </c>
    </row>
    <row r="946" hidden="1">
      <c r="C946" s="40" t="str">
        <f>IFERROR(__xludf.DUMMYFUNCTION("TEXTJOIN("", "",TRUE,UNIQUE(FILTER('Data Master'!$B$2:$B2880,'Data Master'!$J$2:$J2880=A946)))"),"petani")</f>
        <v>petani</v>
      </c>
    </row>
    <row r="947" hidden="1">
      <c r="C947" s="40" t="str">
        <f>IFERROR(__xludf.DUMMYFUNCTION("TEXTJOIN("", "",TRUE,UNIQUE(FILTER('Data Master'!$B$2:$B2880,'Data Master'!$J$2:$J2880=A947)))"),"petani")</f>
        <v>petani</v>
      </c>
    </row>
    <row r="948" hidden="1">
      <c r="C948" s="40" t="str">
        <f>IFERROR(__xludf.DUMMYFUNCTION("TEXTJOIN("", "",TRUE,UNIQUE(FILTER('Data Master'!$B$2:$B2880,'Data Master'!$J$2:$J2880=A948)))"),"petani")</f>
        <v>petani</v>
      </c>
    </row>
    <row r="949" hidden="1">
      <c r="C949" s="40" t="str">
        <f>IFERROR(__xludf.DUMMYFUNCTION("TEXTJOIN("", "",TRUE,UNIQUE(FILTER('Data Master'!$B$2:$B2880,'Data Master'!$J$2:$J2880=A949)))"),"petani")</f>
        <v>petani</v>
      </c>
    </row>
    <row r="950" hidden="1">
      <c r="C950" s="40" t="str">
        <f>IFERROR(__xludf.DUMMYFUNCTION("TEXTJOIN("", "",TRUE,UNIQUE(FILTER('Data Master'!$B$2:$B2880,'Data Master'!$J$2:$J2880=A950)))"),"petani")</f>
        <v>petani</v>
      </c>
    </row>
    <row r="951" hidden="1">
      <c r="C951" s="40" t="str">
        <f>IFERROR(__xludf.DUMMYFUNCTION("TEXTJOIN("", "",TRUE,UNIQUE(FILTER('Data Master'!$B$2:$B2880,'Data Master'!$J$2:$J2880=A951)))"),"petani")</f>
        <v>petani</v>
      </c>
    </row>
    <row r="952" hidden="1">
      <c r="C952" s="40" t="str">
        <f>IFERROR(__xludf.DUMMYFUNCTION("TEXTJOIN("", "",TRUE,UNIQUE(FILTER('Data Master'!$B$2:$B2880,'Data Master'!$J$2:$J2880=A952)))"),"petani")</f>
        <v>petani</v>
      </c>
    </row>
    <row r="953" hidden="1">
      <c r="C953" s="40" t="str">
        <f>IFERROR(__xludf.DUMMYFUNCTION("TEXTJOIN("", "",TRUE,UNIQUE(FILTER('Data Master'!$B$2:$B2880,'Data Master'!$J$2:$J2880=A953)))"),"petani")</f>
        <v>petani</v>
      </c>
    </row>
    <row r="954" hidden="1">
      <c r="C954" s="40" t="str">
        <f>IFERROR(__xludf.DUMMYFUNCTION("TEXTJOIN("", "",TRUE,UNIQUE(FILTER('Data Master'!$B$2:$B2880,'Data Master'!$J$2:$J2880=A954)))"),"petani")</f>
        <v>petani</v>
      </c>
    </row>
    <row r="955" hidden="1">
      <c r="C955" s="40" t="str">
        <f>IFERROR(__xludf.DUMMYFUNCTION("TEXTJOIN("", "",TRUE,UNIQUE(FILTER('Data Master'!$B$2:$B2880,'Data Master'!$J$2:$J2880=A955)))"),"petani")</f>
        <v>petani</v>
      </c>
    </row>
    <row r="956" hidden="1">
      <c r="C956" s="40" t="str">
        <f>IFERROR(__xludf.DUMMYFUNCTION("TEXTJOIN("", "",TRUE,UNIQUE(FILTER('Data Master'!$B$2:$B2880,'Data Master'!$J$2:$J2880=A956)))"),"petani")</f>
        <v>petani</v>
      </c>
    </row>
    <row r="957" hidden="1">
      <c r="C957" s="40" t="str">
        <f>IFERROR(__xludf.DUMMYFUNCTION("TEXTJOIN("", "",TRUE,UNIQUE(FILTER('Data Master'!$B$2:$B2880,'Data Master'!$J$2:$J2880=A957)))"),"petani")</f>
        <v>petani</v>
      </c>
    </row>
    <row r="958" hidden="1">
      <c r="C958" s="40" t="str">
        <f>IFERROR(__xludf.DUMMYFUNCTION("TEXTJOIN("", "",TRUE,UNIQUE(FILTER('Data Master'!$B$2:$B2880,'Data Master'!$J$2:$J2880=A958)))"),"petani")</f>
        <v>petani</v>
      </c>
    </row>
    <row r="959" hidden="1">
      <c r="C959" s="40" t="str">
        <f>IFERROR(__xludf.DUMMYFUNCTION("TEXTJOIN("", "",TRUE,UNIQUE(FILTER('Data Master'!$B$2:$B2880,'Data Master'!$J$2:$J2880=A959)))"),"petani")</f>
        <v>petani</v>
      </c>
    </row>
    <row r="960" hidden="1">
      <c r="C960" s="40" t="str">
        <f>IFERROR(__xludf.DUMMYFUNCTION("TEXTJOIN("", "",TRUE,UNIQUE(FILTER('Data Master'!$B$2:$B2880,'Data Master'!$J$2:$J2880=A960)))"),"petani")</f>
        <v>petani</v>
      </c>
    </row>
    <row r="961" hidden="1">
      <c r="C961" s="40" t="str">
        <f>IFERROR(__xludf.DUMMYFUNCTION("TEXTJOIN("", "",TRUE,UNIQUE(FILTER('Data Master'!$B$2:$B2880,'Data Master'!$J$2:$J2880=A961)))"),"petani")</f>
        <v>petani</v>
      </c>
    </row>
    <row r="962" hidden="1">
      <c r="C962" s="40" t="str">
        <f>IFERROR(__xludf.DUMMYFUNCTION("TEXTJOIN("", "",TRUE,UNIQUE(FILTER('Data Master'!$B$2:$B2880,'Data Master'!$J$2:$J2880=A962)))"),"petani")</f>
        <v>petani</v>
      </c>
    </row>
    <row r="963" hidden="1">
      <c r="C963" s="40" t="str">
        <f>IFERROR(__xludf.DUMMYFUNCTION("TEXTJOIN("", "",TRUE,UNIQUE(FILTER('Data Master'!$B$2:$B2880,'Data Master'!$J$2:$J2880=A963)))"),"petani")</f>
        <v>petani</v>
      </c>
    </row>
    <row r="964" hidden="1">
      <c r="C964" s="40" t="str">
        <f>IFERROR(__xludf.DUMMYFUNCTION("TEXTJOIN("", "",TRUE,UNIQUE(FILTER('Data Master'!$B$2:$B2880,'Data Master'!$J$2:$J2880=A964)))"),"petani")</f>
        <v>petani</v>
      </c>
    </row>
    <row r="965" hidden="1">
      <c r="C965" s="40" t="str">
        <f>IFERROR(__xludf.DUMMYFUNCTION("TEXTJOIN("", "",TRUE,UNIQUE(FILTER('Data Master'!$B$2:$B2880,'Data Master'!$J$2:$J2880=A965)))"),"petani")</f>
        <v>petani</v>
      </c>
    </row>
    <row r="966" hidden="1">
      <c r="C966" s="40" t="str">
        <f>IFERROR(__xludf.DUMMYFUNCTION("TEXTJOIN("", "",TRUE,UNIQUE(FILTER('Data Master'!$B$2:$B2880,'Data Master'!$J$2:$J2880=A966)))"),"petani")</f>
        <v>petani</v>
      </c>
    </row>
    <row r="967" hidden="1">
      <c r="C967" s="40" t="str">
        <f>IFERROR(__xludf.DUMMYFUNCTION("TEXTJOIN("", "",TRUE,UNIQUE(FILTER('Data Master'!$B$2:$B2880,'Data Master'!$J$2:$J2880=A967)))"),"petani")</f>
        <v>petani</v>
      </c>
    </row>
    <row r="968" hidden="1">
      <c r="C968" s="40" t="str">
        <f>IFERROR(__xludf.DUMMYFUNCTION("TEXTJOIN("", "",TRUE,UNIQUE(FILTER('Data Master'!$B$2:$B2880,'Data Master'!$J$2:$J2880=A968)))"),"petani")</f>
        <v>petani</v>
      </c>
    </row>
    <row r="969" hidden="1">
      <c r="C969" s="40" t="str">
        <f>IFERROR(__xludf.DUMMYFUNCTION("TEXTJOIN("", "",TRUE,UNIQUE(FILTER('Data Master'!$B$2:$B2880,'Data Master'!$J$2:$J2880=A969)))"),"petani")</f>
        <v>petani</v>
      </c>
    </row>
    <row r="970" hidden="1">
      <c r="C970" s="40" t="str">
        <f>IFERROR(__xludf.DUMMYFUNCTION("TEXTJOIN("", "",TRUE,UNIQUE(FILTER('Data Master'!$B$2:$B2880,'Data Master'!$J$2:$J2880=A970)))"),"petani")</f>
        <v>petani</v>
      </c>
    </row>
    <row r="971" hidden="1">
      <c r="C971" s="40" t="str">
        <f>IFERROR(__xludf.DUMMYFUNCTION("TEXTJOIN("", "",TRUE,UNIQUE(FILTER('Data Master'!$B$2:$B2880,'Data Master'!$J$2:$J2880=A971)))"),"petani")</f>
        <v>petani</v>
      </c>
    </row>
    <row r="972" hidden="1">
      <c r="C972" s="40" t="str">
        <f>IFERROR(__xludf.DUMMYFUNCTION("TEXTJOIN("", "",TRUE,UNIQUE(FILTER('Data Master'!$B$2:$B2880,'Data Master'!$J$2:$J2880=A972)))"),"petani")</f>
        <v>petani</v>
      </c>
    </row>
    <row r="973" hidden="1">
      <c r="C973" s="40" t="str">
        <f>IFERROR(__xludf.DUMMYFUNCTION("TEXTJOIN("", "",TRUE,UNIQUE(FILTER('Data Master'!$B$2:$B2880,'Data Master'!$J$2:$J2880=A973)))"),"petani")</f>
        <v>petani</v>
      </c>
    </row>
    <row r="974" hidden="1">
      <c r="C974" s="40" t="str">
        <f>IFERROR(__xludf.DUMMYFUNCTION("TEXTJOIN("", "",TRUE,UNIQUE(FILTER('Data Master'!$B$2:$B2880,'Data Master'!$J$2:$J2880=A974)))"),"petani")</f>
        <v>petani</v>
      </c>
    </row>
    <row r="975" hidden="1">
      <c r="C975" s="40" t="str">
        <f>IFERROR(__xludf.DUMMYFUNCTION("TEXTJOIN("", "",TRUE,UNIQUE(FILTER('Data Master'!$B$2:$B2880,'Data Master'!$J$2:$J2880=A975)))"),"petani")</f>
        <v>petani</v>
      </c>
    </row>
    <row r="976" hidden="1">
      <c r="C976" s="40" t="str">
        <f>IFERROR(__xludf.DUMMYFUNCTION("TEXTJOIN("", "",TRUE,UNIQUE(FILTER('Data Master'!$B$2:$B2880,'Data Master'!$J$2:$J2880=A976)))"),"petani")</f>
        <v>petani</v>
      </c>
    </row>
    <row r="977" hidden="1">
      <c r="C977" s="40" t="str">
        <f>IFERROR(__xludf.DUMMYFUNCTION("TEXTJOIN("", "",TRUE,UNIQUE(FILTER('Data Master'!$B$2:$B2880,'Data Master'!$J$2:$J2880=A977)))"),"petani")</f>
        <v>petani</v>
      </c>
    </row>
    <row r="978" hidden="1">
      <c r="C978" s="40" t="str">
        <f>IFERROR(__xludf.DUMMYFUNCTION("TEXTJOIN("", "",TRUE,UNIQUE(FILTER('Data Master'!$B$2:$B2880,'Data Master'!$J$2:$J2880=A978)))"),"petani")</f>
        <v>petani</v>
      </c>
    </row>
    <row r="979" hidden="1">
      <c r="C979" s="40" t="str">
        <f>IFERROR(__xludf.DUMMYFUNCTION("TEXTJOIN("", "",TRUE,UNIQUE(FILTER('Data Master'!$B$2:$B2880,'Data Master'!$J$2:$J2880=A979)))"),"petani")</f>
        <v>petani</v>
      </c>
    </row>
    <row r="980" hidden="1">
      <c r="C980" s="40" t="str">
        <f>IFERROR(__xludf.DUMMYFUNCTION("TEXTJOIN("", "",TRUE,UNIQUE(FILTER('Data Master'!$B$2:$B2880,'Data Master'!$J$2:$J2880=A980)))"),"petani")</f>
        <v>petani</v>
      </c>
    </row>
    <row r="981" hidden="1">
      <c r="C981" s="40" t="str">
        <f>IFERROR(__xludf.DUMMYFUNCTION("TEXTJOIN("", "",TRUE,UNIQUE(FILTER('Data Master'!$B$2:$B2880,'Data Master'!$J$2:$J2880=A981)))"),"petani")</f>
        <v>petani</v>
      </c>
    </row>
    <row r="982" hidden="1">
      <c r="C982" s="40" t="str">
        <f>IFERROR(__xludf.DUMMYFUNCTION("TEXTJOIN("", "",TRUE,UNIQUE(FILTER('Data Master'!$B$2:$B2880,'Data Master'!$J$2:$J2880=A982)))"),"operator admin")</f>
        <v>operator admin</v>
      </c>
    </row>
    <row r="983" hidden="1">
      <c r="C983" s="40" t="str">
        <f>IFERROR(__xludf.DUMMYFUNCTION("TEXTJOIN("", "",TRUE,UNIQUE(FILTER('Data Master'!$B$2:$B2880,'Data Master'!$J$2:$J2880=A983)))"),"petani")</f>
        <v>petani</v>
      </c>
    </row>
    <row r="984" hidden="1">
      <c r="C984" s="40" t="str">
        <f>IFERROR(__xludf.DUMMYFUNCTION("TEXTJOIN("", "",TRUE,UNIQUE(FILTER('Data Master'!$B$2:$B2880,'Data Master'!$J$2:$J2880=A984)))"),"petani")</f>
        <v>petani</v>
      </c>
    </row>
    <row r="985" hidden="1">
      <c r="C985" s="40" t="str">
        <f>IFERROR(__xludf.DUMMYFUNCTION("TEXTJOIN("", "",TRUE,UNIQUE(FILTER('Data Master'!$B$2:$B2880,'Data Master'!$J$2:$J2880=A985)))"),"petani")</f>
        <v>petani</v>
      </c>
    </row>
    <row r="986" hidden="1">
      <c r="C986" s="40" t="str">
        <f>IFERROR(__xludf.DUMMYFUNCTION("TEXTJOIN("", "",TRUE,UNIQUE(FILTER('Data Master'!$B$2:$B2880,'Data Master'!$J$2:$J2880=A986)))"),"petani")</f>
        <v>petani</v>
      </c>
    </row>
    <row r="987" hidden="1">
      <c r="C987" s="40" t="str">
        <f>IFERROR(__xludf.DUMMYFUNCTION("TEXTJOIN("", "",TRUE,UNIQUE(FILTER('Data Master'!$B$2:$B2880,'Data Master'!$J$2:$J2880=A987)))"),"petani")</f>
        <v>petani</v>
      </c>
    </row>
    <row r="988" hidden="1">
      <c r="C988" s="40" t="str">
        <f>IFERROR(__xludf.DUMMYFUNCTION("TEXTJOIN("", "",TRUE,UNIQUE(FILTER('Data Master'!$B$2:$B2880,'Data Master'!$J$2:$J2880=A988)))"),"petani")</f>
        <v>petani</v>
      </c>
    </row>
    <row r="989" hidden="1">
      <c r="C989" s="40" t="str">
        <f>IFERROR(__xludf.DUMMYFUNCTION("TEXTJOIN("", "",TRUE,UNIQUE(FILTER('Data Master'!$B$2:$B2880,'Data Master'!$J$2:$J2880=A989)))"),"petani")</f>
        <v>petani</v>
      </c>
    </row>
    <row r="990" hidden="1">
      <c r="C990" s="40" t="str">
        <f>IFERROR(__xludf.DUMMYFUNCTION("TEXTJOIN("", "",TRUE,UNIQUE(FILTER('Data Master'!$B$2:$B2880,'Data Master'!$J$2:$J2880=A990)))"),"petani")</f>
        <v>petani</v>
      </c>
    </row>
    <row r="991" hidden="1">
      <c r="C991" s="40" t="str">
        <f>IFERROR(__xludf.DUMMYFUNCTION("TEXTJOIN("", "",TRUE,UNIQUE(FILTER('Data Master'!$B$2:$B2880,'Data Master'!$J$2:$J2880=A991)))"),"petani")</f>
        <v>petani</v>
      </c>
    </row>
    <row r="992" hidden="1">
      <c r="C992" s="40" t="str">
        <f>IFERROR(__xludf.DUMMYFUNCTION("TEXTJOIN("", "",TRUE,UNIQUE(FILTER('Data Master'!$B$2:$B2880,'Data Master'!$J$2:$J2880=A992)))"),"petani")</f>
        <v>petani</v>
      </c>
    </row>
    <row r="993" hidden="1">
      <c r="C993" s="40" t="str">
        <f>IFERROR(__xludf.DUMMYFUNCTION("TEXTJOIN("", "",TRUE,UNIQUE(FILTER('Data Master'!$B$2:$B2880,'Data Master'!$J$2:$J2880=A993)))"),"petani")</f>
        <v>petani</v>
      </c>
    </row>
    <row r="994" hidden="1">
      <c r="C994" s="40" t="str">
        <f>IFERROR(__xludf.DUMMYFUNCTION("TEXTJOIN("", "",TRUE,UNIQUE(FILTER('Data Master'!$B$2:$B2880,'Data Master'!$J$2:$J2880=A994)))"),"petani")</f>
        <v>petani</v>
      </c>
    </row>
    <row r="995" hidden="1">
      <c r="C995" s="40" t="str">
        <f>IFERROR(__xludf.DUMMYFUNCTION("TEXTJOIN("", "",TRUE,UNIQUE(FILTER('Data Master'!$B$2:$B2880,'Data Master'!$J$2:$J2880=A995)))"),"petani")</f>
        <v>petani</v>
      </c>
    </row>
    <row r="996" hidden="1">
      <c r="C996" s="40" t="str">
        <f>IFERROR(__xludf.DUMMYFUNCTION("TEXTJOIN("", "",TRUE,UNIQUE(FILTER('Data Master'!$B$2:$B2880,'Data Master'!$J$2:$J2880=A996)))"),"petani")</f>
        <v>petani</v>
      </c>
    </row>
    <row r="997" hidden="1">
      <c r="C997" s="40" t="str">
        <f>IFERROR(__xludf.DUMMYFUNCTION("TEXTJOIN("", "",TRUE,UNIQUE(FILTER('Data Master'!$B$2:$B2880,'Data Master'!$J$2:$J2880=A997)))"),"petani")</f>
        <v>petani</v>
      </c>
    </row>
    <row r="998" hidden="1">
      <c r="C998" s="40" t="str">
        <f>IFERROR(__xludf.DUMMYFUNCTION("TEXTJOIN("", "",TRUE,UNIQUE(FILTER('Data Master'!$B$2:$B2880,'Data Master'!$J$2:$J2880=A998)))"),"petani")</f>
        <v>petani</v>
      </c>
    </row>
    <row r="999" hidden="1">
      <c r="C999" s="40" t="str">
        <f>IFERROR(__xludf.DUMMYFUNCTION("TEXTJOIN("", "",TRUE,UNIQUE(FILTER('Data Master'!$B$2:$B2880,'Data Master'!$J$2:$J2880=A999)))"),"petani")</f>
        <v>petani</v>
      </c>
    </row>
    <row r="1000" hidden="1">
      <c r="C1000" s="40" t="str">
        <f>IFERROR(__xludf.DUMMYFUNCTION("TEXTJOIN("", "",TRUE,UNIQUE(FILTER('Data Master'!$B$2:$B2880,'Data Master'!$J$2:$J2880=A1000)))"),"penyuluh")</f>
        <v>penyuluh</v>
      </c>
    </row>
    <row r="1001" hidden="1">
      <c r="C1001" s="40" t="str">
        <f>IFERROR(__xludf.DUMMYFUNCTION("TEXTJOIN("", "",TRUE,UNIQUE(FILTER('Data Master'!$B$2:$B2880,'Data Master'!$J$2:$J2880=A1001)))"),"petani")</f>
        <v>petani</v>
      </c>
    </row>
    <row r="1002" hidden="1">
      <c r="C1002" s="40" t="str">
        <f>IFERROR(__xludf.DUMMYFUNCTION("TEXTJOIN("", "",TRUE,UNIQUE(FILTER('Data Master'!$B$2:$B2880,'Data Master'!$J$2:$J2880=A1002)))"),"petani")</f>
        <v>petani</v>
      </c>
    </row>
    <row r="1003" hidden="1">
      <c r="C1003" s="40" t="str">
        <f>IFERROR(__xludf.DUMMYFUNCTION("TEXTJOIN("", "",TRUE,UNIQUE(FILTER('Data Master'!$B$2:$B2880,'Data Master'!$J$2:$J2880=A1003)))"),"petani")</f>
        <v>petani</v>
      </c>
    </row>
    <row r="1004" hidden="1">
      <c r="C1004" s="40" t="str">
        <f>IFERROR(__xludf.DUMMYFUNCTION("TEXTJOIN("", "",TRUE,UNIQUE(FILTER('Data Master'!$B$2:$B2880,'Data Master'!$J$2:$J2880=A1004)))"),"petani")</f>
        <v>petani</v>
      </c>
    </row>
    <row r="1005" hidden="1">
      <c r="C1005" s="40" t="str">
        <f>IFERROR(__xludf.DUMMYFUNCTION("TEXTJOIN("", "",TRUE,UNIQUE(FILTER('Data Master'!$B$2:$B2880,'Data Master'!$J$2:$J2880=A1005)))"),"petani")</f>
        <v>petani</v>
      </c>
    </row>
    <row r="1006" hidden="1">
      <c r="C1006" s="40" t="str">
        <f>IFERROR(__xludf.DUMMYFUNCTION("TEXTJOIN("", "",TRUE,UNIQUE(FILTER('Data Master'!$B$2:$B2880,'Data Master'!$J$2:$J2880=A1006)))"),"petani")</f>
        <v>petani</v>
      </c>
    </row>
    <row r="1007" hidden="1">
      <c r="C1007" s="40" t="str">
        <f>IFERROR(__xludf.DUMMYFUNCTION("TEXTJOIN("", "",TRUE,UNIQUE(FILTER('Data Master'!$B$2:$B2880,'Data Master'!$J$2:$J2880=A1007)))"),"petani")</f>
        <v>petani</v>
      </c>
    </row>
    <row r="1008" hidden="1">
      <c r="C1008" s="40" t="str">
        <f>IFERROR(__xludf.DUMMYFUNCTION("TEXTJOIN("", "",TRUE,UNIQUE(FILTER('Data Master'!$B$2:$B2880,'Data Master'!$J$2:$J2880=A1008)))"),"petani")</f>
        <v>petani</v>
      </c>
    </row>
    <row r="1009" hidden="1">
      <c r="C1009" s="40" t="str">
        <f>IFERROR(__xludf.DUMMYFUNCTION("TEXTJOIN("", "",TRUE,UNIQUE(FILTER('Data Master'!$B$2:$B2880,'Data Master'!$J$2:$J2880=A1009)))"),"petani")</f>
        <v>petani</v>
      </c>
    </row>
    <row r="1010" hidden="1">
      <c r="C1010" s="40" t="str">
        <f>IFERROR(__xludf.DUMMYFUNCTION("TEXTJOIN("", "",TRUE,UNIQUE(FILTER('Data Master'!$B$2:$B2880,'Data Master'!$J$2:$J2880=A1010)))"),"petani")</f>
        <v>petani</v>
      </c>
    </row>
    <row r="1011" hidden="1">
      <c r="C1011" s="40" t="str">
        <f>IFERROR(__xludf.DUMMYFUNCTION("TEXTJOIN("", "",TRUE,UNIQUE(FILTER('Data Master'!$B$2:$B2880,'Data Master'!$J$2:$J2880=A1011)))"),"petani")</f>
        <v>petani</v>
      </c>
    </row>
    <row r="1012" hidden="1">
      <c r="C1012" s="40" t="str">
        <f>IFERROR(__xludf.DUMMYFUNCTION("TEXTJOIN("", "",TRUE,UNIQUE(FILTER('Data Master'!$B$2:$B2880,'Data Master'!$J$2:$J2880=A1012)))"),"petani")</f>
        <v>petani</v>
      </c>
    </row>
    <row r="1013" hidden="1">
      <c r="C1013" s="40" t="str">
        <f>IFERROR(__xludf.DUMMYFUNCTION("TEXTJOIN("", "",TRUE,UNIQUE(FILTER('Data Master'!$B$2:$B2880,'Data Master'!$J$2:$J2880=A1013)))"),"petani")</f>
        <v>petani</v>
      </c>
    </row>
    <row r="1014" hidden="1">
      <c r="C1014" s="40" t="str">
        <f>IFERROR(__xludf.DUMMYFUNCTION("TEXTJOIN("", "",TRUE,UNIQUE(FILTER('Data Master'!$B$2:$B2880,'Data Master'!$J$2:$J2880=A1014)))"),"petani")</f>
        <v>petani</v>
      </c>
    </row>
    <row r="1015" hidden="1">
      <c r="C1015" s="40" t="str">
        <f>IFERROR(__xludf.DUMMYFUNCTION("TEXTJOIN("", "",TRUE,UNIQUE(FILTER('Data Master'!$B$2:$B2880,'Data Master'!$J$2:$J2880=A1015)))"),"petani")</f>
        <v>petani</v>
      </c>
    </row>
    <row r="1016" hidden="1">
      <c r="C1016" s="40" t="str">
        <f>IFERROR(__xludf.DUMMYFUNCTION("TEXTJOIN("", "",TRUE,UNIQUE(FILTER('Data Master'!$B$2:$B2880,'Data Master'!$J$2:$J2880=A1016)))"),"petani")</f>
        <v>petani</v>
      </c>
    </row>
    <row r="1017" hidden="1">
      <c r="C1017" s="40" t="str">
        <f>IFERROR(__xludf.DUMMYFUNCTION("TEXTJOIN("", "",TRUE,UNIQUE(FILTER('Data Master'!$B$2:$B2880,'Data Master'!$J$2:$J2880=A1017)))"),"petani")</f>
        <v>petani</v>
      </c>
    </row>
    <row r="1018" hidden="1">
      <c r="C1018" s="40" t="str">
        <f>IFERROR(__xludf.DUMMYFUNCTION("TEXTJOIN("", "",TRUE,UNIQUE(FILTER('Data Master'!$B$2:$B2880,'Data Master'!$J$2:$J2880=A1018)))"),"petani")</f>
        <v>petani</v>
      </c>
    </row>
    <row r="1019" hidden="1">
      <c r="C1019" s="40" t="str">
        <f>IFERROR(__xludf.DUMMYFUNCTION("TEXTJOIN("", "",TRUE,UNIQUE(FILTER('Data Master'!$B$2:$B2880,'Data Master'!$J$2:$J2880=A1019)))"),"petani")</f>
        <v>petani</v>
      </c>
    </row>
    <row r="1020" hidden="1">
      <c r="C1020" s="40" t="str">
        <f>IFERROR(__xludf.DUMMYFUNCTION("TEXTJOIN("", "",TRUE,UNIQUE(FILTER('Data Master'!$B$2:$B2880,'Data Master'!$J$2:$J2880=A1020)))"),"petani")</f>
        <v>petani</v>
      </c>
    </row>
    <row r="1021" hidden="1">
      <c r="C1021" s="40" t="str">
        <f>IFERROR(__xludf.DUMMYFUNCTION("TEXTJOIN("", "",TRUE,UNIQUE(FILTER('Data Master'!$B$2:$B2880,'Data Master'!$J$2:$J2880=A1021)))"),"petani")</f>
        <v>petani</v>
      </c>
    </row>
    <row r="1022" hidden="1">
      <c r="C1022" s="40" t="str">
        <f>IFERROR(__xludf.DUMMYFUNCTION("TEXTJOIN("", "",TRUE,UNIQUE(FILTER('Data Master'!$B$2:$B2880,'Data Master'!$J$2:$J2880=A1022)))"),"petani")</f>
        <v>petani</v>
      </c>
    </row>
    <row r="1023" hidden="1">
      <c r="C1023" s="40" t="str">
        <f>IFERROR(__xludf.DUMMYFUNCTION("TEXTJOIN("", "",TRUE,UNIQUE(FILTER('Data Master'!$B$2:$B2880,'Data Master'!$J$2:$J2880=A1023)))"),"petani")</f>
        <v>petani</v>
      </c>
    </row>
    <row r="1024" hidden="1">
      <c r="C1024" s="40" t="str">
        <f>IFERROR(__xludf.DUMMYFUNCTION("TEXTJOIN("", "",TRUE,UNIQUE(FILTER('Data Master'!$B$2:$B2880,'Data Master'!$J$2:$J2880=A1024)))"),"petani")</f>
        <v>petani</v>
      </c>
    </row>
    <row r="1025" hidden="1">
      <c r="C1025" s="40" t="str">
        <f>IFERROR(__xludf.DUMMYFUNCTION("TEXTJOIN("", "",TRUE,UNIQUE(FILTER('Data Master'!$B$2:$B2880,'Data Master'!$J$2:$J2880=A1025)))"),"petani")</f>
        <v>petani</v>
      </c>
    </row>
    <row r="1026" hidden="1">
      <c r="C1026" s="40" t="str">
        <f>IFERROR(__xludf.DUMMYFUNCTION("TEXTJOIN("", "",TRUE,UNIQUE(FILTER('Data Master'!$B$2:$B2880,'Data Master'!$J$2:$J2880=A1026)))"),"petani")</f>
        <v>petani</v>
      </c>
    </row>
    <row r="1027" hidden="1">
      <c r="C1027" s="40" t="str">
        <f>IFERROR(__xludf.DUMMYFUNCTION("TEXTJOIN("", "",TRUE,UNIQUE(FILTER('Data Master'!$B$2:$B2880,'Data Master'!$J$2:$J2880=A1027)))"),"petani")</f>
        <v>petani</v>
      </c>
    </row>
    <row r="1028" hidden="1">
      <c r="C1028" s="40" t="str">
        <f>IFERROR(__xludf.DUMMYFUNCTION("TEXTJOIN("", "",TRUE,UNIQUE(FILTER('Data Master'!$B$2:$B2880,'Data Master'!$J$2:$J2880=A1028)))"),"petani")</f>
        <v>petani</v>
      </c>
    </row>
    <row r="1029" hidden="1">
      <c r="C1029" s="40" t="str">
        <f>IFERROR(__xludf.DUMMYFUNCTION("TEXTJOIN("", "",TRUE,UNIQUE(FILTER('Data Master'!$B$2:$B2880,'Data Master'!$J$2:$J2880=A1029)))"),"petani")</f>
        <v>petani</v>
      </c>
    </row>
    <row r="1030" hidden="1">
      <c r="C1030" s="40" t="str">
        <f>IFERROR(__xludf.DUMMYFUNCTION("TEXTJOIN("", "",TRUE,UNIQUE(FILTER('Data Master'!$B$2:$B2880,'Data Master'!$J$2:$J2880=A1030)))"),"petani")</f>
        <v>petani</v>
      </c>
    </row>
    <row r="1031" hidden="1">
      <c r="C1031" s="40" t="str">
        <f>IFERROR(__xludf.DUMMYFUNCTION("TEXTJOIN("", "",TRUE,UNIQUE(FILTER('Data Master'!$B$2:$B2880,'Data Master'!$J$2:$J2880=A1031)))"),"petani")</f>
        <v>petani</v>
      </c>
    </row>
    <row r="1032" hidden="1">
      <c r="C1032" s="40" t="str">
        <f>IFERROR(__xludf.DUMMYFUNCTION("TEXTJOIN("", "",TRUE,UNIQUE(FILTER('Data Master'!$B$2:$B2880,'Data Master'!$J$2:$J2880=A1032)))"),"petani")</f>
        <v>petani</v>
      </c>
    </row>
    <row r="1033" hidden="1">
      <c r="C1033" s="40" t="str">
        <f>IFERROR(__xludf.DUMMYFUNCTION("TEXTJOIN("", "",TRUE,UNIQUE(FILTER('Data Master'!$B$2:$B2880,'Data Master'!$J$2:$J2880=A1033)))"),"petani")</f>
        <v>petani</v>
      </c>
    </row>
    <row r="1034" hidden="1">
      <c r="C1034" s="40" t="str">
        <f>IFERROR(__xludf.DUMMYFUNCTION("TEXTJOIN("", "",TRUE,UNIQUE(FILTER('Data Master'!$B$2:$B2880,'Data Master'!$J$2:$J2880=A1034)))"),"petani")</f>
        <v>petani</v>
      </c>
    </row>
    <row r="1035" hidden="1">
      <c r="C1035" s="40" t="str">
        <f>IFERROR(__xludf.DUMMYFUNCTION("TEXTJOIN("", "",TRUE,UNIQUE(FILTER('Data Master'!$B$2:$B2880,'Data Master'!$J$2:$J2880=A1035)))"),"petani")</f>
        <v>petani</v>
      </c>
    </row>
    <row r="1036" hidden="1">
      <c r="C1036" s="40" t="str">
        <f>IFERROR(__xludf.DUMMYFUNCTION("TEXTJOIN("", "",TRUE,UNIQUE(FILTER('Data Master'!$B$2:$B2880,'Data Master'!$J$2:$J2880=A1036)))"),"petani")</f>
        <v>petani</v>
      </c>
    </row>
    <row r="1037" hidden="1">
      <c r="C1037" s="40" t="str">
        <f>IFERROR(__xludf.DUMMYFUNCTION("TEXTJOIN("", "",TRUE,UNIQUE(FILTER('Data Master'!$B$2:$B2880,'Data Master'!$J$2:$J2880=A1037)))"),"petani")</f>
        <v>petani</v>
      </c>
    </row>
    <row r="1038" hidden="1">
      <c r="C1038" s="40" t="str">
        <f>IFERROR(__xludf.DUMMYFUNCTION("TEXTJOIN("", "",TRUE,UNIQUE(FILTER('Data Master'!$B$2:$B2880,'Data Master'!$J$2:$J2880=A1038)))"),"petani")</f>
        <v>petani</v>
      </c>
    </row>
    <row r="1039" hidden="1">
      <c r="C1039" s="40" t="str">
        <f>IFERROR(__xludf.DUMMYFUNCTION("TEXTJOIN("", "",TRUE,UNIQUE(FILTER('Data Master'!$B$2:$B2880,'Data Master'!$J$2:$J2880=A1039)))"),"petani")</f>
        <v>petani</v>
      </c>
    </row>
    <row r="1040" hidden="1">
      <c r="C1040" s="40" t="str">
        <f>IFERROR(__xludf.DUMMYFUNCTION("TEXTJOIN("", "",TRUE,UNIQUE(FILTER('Data Master'!$B$2:$B2880,'Data Master'!$J$2:$J2880=A1040)))"),"petani")</f>
        <v>petani</v>
      </c>
    </row>
    <row r="1041" hidden="1">
      <c r="C1041" s="40" t="str">
        <f>IFERROR(__xludf.DUMMYFUNCTION("TEXTJOIN("", "",TRUE,UNIQUE(FILTER('Data Master'!$B$2:$B2880,'Data Master'!$J$2:$J2880=A1041)))"),"petani")</f>
        <v>petani</v>
      </c>
    </row>
    <row r="1042" hidden="1">
      <c r="C1042" s="40" t="str">
        <f>IFERROR(__xludf.DUMMYFUNCTION("TEXTJOIN("", "",TRUE,UNIQUE(FILTER('Data Master'!$B$2:$B2880,'Data Master'!$J$2:$J2880=A1042)))"),"petani")</f>
        <v>petani</v>
      </c>
    </row>
    <row r="1043" hidden="1">
      <c r="C1043" s="40" t="str">
        <f>IFERROR(__xludf.DUMMYFUNCTION("TEXTJOIN("", "",TRUE,UNIQUE(FILTER('Data Master'!$B$2:$B2880,'Data Master'!$J$2:$J2880=A1043)))"),"petani")</f>
        <v>petani</v>
      </c>
    </row>
    <row r="1044" hidden="1">
      <c r="C1044" s="40" t="str">
        <f>IFERROR(__xludf.DUMMYFUNCTION("TEXTJOIN("", "",TRUE,UNIQUE(FILTER('Data Master'!$B$2:$B2880,'Data Master'!$J$2:$J2880=A1044)))"),"petani")</f>
        <v>petani</v>
      </c>
    </row>
    <row r="1045" hidden="1">
      <c r="C1045" s="40" t="str">
        <f>IFERROR(__xludf.DUMMYFUNCTION("TEXTJOIN("", "",TRUE,UNIQUE(FILTER('Data Master'!$B$2:$B2880,'Data Master'!$J$2:$J2880=A1045)))"),"petani")</f>
        <v>petani</v>
      </c>
    </row>
    <row r="1046" hidden="1">
      <c r="C1046" s="40" t="str">
        <f>IFERROR(__xludf.DUMMYFUNCTION("TEXTJOIN("", "",TRUE,UNIQUE(FILTER('Data Master'!$B$2:$B2880,'Data Master'!$J$2:$J2880=A1046)))"),"petani")</f>
        <v>petani</v>
      </c>
    </row>
    <row r="1047" hidden="1">
      <c r="C1047" s="40" t="str">
        <f>IFERROR(__xludf.DUMMYFUNCTION("TEXTJOIN("", "",TRUE,UNIQUE(FILTER('Data Master'!$B$2:$B2880,'Data Master'!$J$2:$J2880=A1047)))"),"petani")</f>
        <v>petani</v>
      </c>
    </row>
    <row r="1048" hidden="1">
      <c r="C1048" s="40" t="str">
        <f>IFERROR(__xludf.DUMMYFUNCTION("TEXTJOIN("", "",TRUE,UNIQUE(FILTER('Data Master'!$B$2:$B2880,'Data Master'!$J$2:$J2880=A1048)))"),"petani")</f>
        <v>petani</v>
      </c>
    </row>
    <row r="1049" hidden="1">
      <c r="C1049" s="40" t="str">
        <f>IFERROR(__xludf.DUMMYFUNCTION("TEXTJOIN("", "",TRUE,UNIQUE(FILTER('Data Master'!$B$2:$B2880,'Data Master'!$J$2:$J2880=A1049)))"),"petani")</f>
        <v>petani</v>
      </c>
    </row>
    <row r="1050" hidden="1">
      <c r="C1050" s="40" t="str">
        <f>IFERROR(__xludf.DUMMYFUNCTION("TEXTJOIN("", "",TRUE,UNIQUE(FILTER('Data Master'!$B$2:$B2880,'Data Master'!$J$2:$J2880=A1050)))"),"petani")</f>
        <v>petani</v>
      </c>
    </row>
    <row r="1051" hidden="1">
      <c r="C1051" s="40" t="str">
        <f>IFERROR(__xludf.DUMMYFUNCTION("TEXTJOIN("", "",TRUE,UNIQUE(FILTER('Data Master'!$B$2:$B2880,'Data Master'!$J$2:$J2880=A1051)))"),"petani")</f>
        <v>petani</v>
      </c>
    </row>
    <row r="1052" hidden="1">
      <c r="C1052" s="40" t="str">
        <f>IFERROR(__xludf.DUMMYFUNCTION("TEXTJOIN("", "",TRUE,UNIQUE(FILTER('Data Master'!$B$2:$B2880,'Data Master'!$J$2:$J2880=A1052)))"),"petani")</f>
        <v>petani</v>
      </c>
    </row>
    <row r="1053" hidden="1">
      <c r="C1053" s="40" t="str">
        <f>IFERROR(__xludf.DUMMYFUNCTION("TEXTJOIN("", "",TRUE,UNIQUE(FILTER('Data Master'!$B$2:$B2880,'Data Master'!$J$2:$J2880=A1053)))"),"petani")</f>
        <v>petani</v>
      </c>
    </row>
    <row r="1054" hidden="1">
      <c r="C1054" s="40" t="str">
        <f>IFERROR(__xludf.DUMMYFUNCTION("TEXTJOIN("", "",TRUE,UNIQUE(FILTER('Data Master'!$B$2:$B2880,'Data Master'!$J$2:$J2880=A1054)))"),"petani")</f>
        <v>petani</v>
      </c>
    </row>
    <row r="1055" hidden="1">
      <c r="C1055" s="40" t="str">
        <f>IFERROR(__xludf.DUMMYFUNCTION("TEXTJOIN("", "",TRUE,UNIQUE(FILTER('Data Master'!$B$2:$B2880,'Data Master'!$J$2:$J2880=A1055)))"),"petani")</f>
        <v>petani</v>
      </c>
    </row>
    <row r="1056" hidden="1">
      <c r="C1056" s="40" t="str">
        <f>IFERROR(__xludf.DUMMYFUNCTION("TEXTJOIN("", "",TRUE,UNIQUE(FILTER('Data Master'!$B$2:$B2880,'Data Master'!$J$2:$J2880=A1056)))"),"petani")</f>
        <v>petani</v>
      </c>
    </row>
    <row r="1057" hidden="1">
      <c r="C1057" s="40" t="str">
        <f>IFERROR(__xludf.DUMMYFUNCTION("TEXTJOIN("", "",TRUE,UNIQUE(FILTER('Data Master'!$B$2:$B2880,'Data Master'!$J$2:$J2880=A1057)))"),"petani")</f>
        <v>petani</v>
      </c>
    </row>
    <row r="1058" hidden="1">
      <c r="C1058" s="40" t="str">
        <f>IFERROR(__xludf.DUMMYFUNCTION("TEXTJOIN("", "",TRUE,UNIQUE(FILTER('Data Master'!$B$2:$B2880,'Data Master'!$J$2:$J2880=A1058)))"),"petani")</f>
        <v>petani</v>
      </c>
    </row>
    <row r="1059" hidden="1">
      <c r="C1059" s="40" t="str">
        <f>IFERROR(__xludf.DUMMYFUNCTION("TEXTJOIN("", "",TRUE,UNIQUE(FILTER('Data Master'!$B$2:$B2880,'Data Master'!$J$2:$J2880=A1059)))"),"petani")</f>
        <v>petani</v>
      </c>
    </row>
    <row r="1060" hidden="1">
      <c r="C1060" s="40" t="str">
        <f>IFERROR(__xludf.DUMMYFUNCTION("TEXTJOIN("", "",TRUE,UNIQUE(FILTER('Data Master'!$B$2:$B2880,'Data Master'!$J$2:$J2880=A1060)))"),"petani")</f>
        <v>petani</v>
      </c>
    </row>
    <row r="1061" hidden="1">
      <c r="C1061" s="40" t="str">
        <f>IFERROR(__xludf.DUMMYFUNCTION("TEXTJOIN("", "",TRUE,UNIQUE(FILTER('Data Master'!$B$2:$B2880,'Data Master'!$J$2:$J2880=A1061)))"),"petani")</f>
        <v>petani</v>
      </c>
    </row>
    <row r="1062" hidden="1">
      <c r="C1062" s="40" t="str">
        <f>IFERROR(__xludf.DUMMYFUNCTION("TEXTJOIN("", "",TRUE,UNIQUE(FILTER('Data Master'!$B$2:$B2880,'Data Master'!$J$2:$J2880=A1062)))"),"petani")</f>
        <v>petani</v>
      </c>
    </row>
    <row r="1063" hidden="1">
      <c r="C1063" s="40" t="str">
        <f>IFERROR(__xludf.DUMMYFUNCTION("TEXTJOIN("", "",TRUE,UNIQUE(FILTER('Data Master'!$B$2:$B2880,'Data Master'!$J$2:$J2880=A1063)))"),"petani")</f>
        <v>petani</v>
      </c>
    </row>
    <row r="1064" hidden="1">
      <c r="C1064" s="40" t="str">
        <f>IFERROR(__xludf.DUMMYFUNCTION("TEXTJOIN("", "",TRUE,UNIQUE(FILTER('Data Master'!$B$2:$B2880,'Data Master'!$J$2:$J2880=A1064)))"),"petani")</f>
        <v>petani</v>
      </c>
    </row>
    <row r="1065" hidden="1">
      <c r="C1065" s="40" t="str">
        <f>IFERROR(__xludf.DUMMYFUNCTION("TEXTJOIN("", "",TRUE,UNIQUE(FILTER('Data Master'!$B$2:$B2880,'Data Master'!$J$2:$J2880=A1065)))"),"petani")</f>
        <v>petani</v>
      </c>
    </row>
    <row r="1066" hidden="1">
      <c r="C1066" s="40" t="str">
        <f>IFERROR(__xludf.DUMMYFUNCTION("TEXTJOIN("", "",TRUE,UNIQUE(FILTER('Data Master'!$B$2:$B2880,'Data Master'!$J$2:$J2880=A1066)))"),"petani")</f>
        <v>petani</v>
      </c>
    </row>
    <row r="1067" hidden="1">
      <c r="C1067" s="40" t="str">
        <f>IFERROR(__xludf.DUMMYFUNCTION("TEXTJOIN("", "",TRUE,UNIQUE(FILTER('Data Master'!$B$2:$B2880,'Data Master'!$J$2:$J2880=A1067)))"),"petani")</f>
        <v>petani</v>
      </c>
    </row>
    <row r="1068" hidden="1">
      <c r="C1068" s="40" t="str">
        <f>IFERROR(__xludf.DUMMYFUNCTION("TEXTJOIN("", "",TRUE,UNIQUE(FILTER('Data Master'!$B$2:$B2880,'Data Master'!$J$2:$J2880=A1068)))"),"petani")</f>
        <v>petani</v>
      </c>
    </row>
    <row r="1069" hidden="1">
      <c r="C1069" s="40" t="str">
        <f>IFERROR(__xludf.DUMMYFUNCTION("TEXTJOIN("", "",TRUE,UNIQUE(FILTER('Data Master'!$B$2:$B2880,'Data Master'!$J$2:$J2880=A1069)))"),"petani")</f>
        <v>petani</v>
      </c>
    </row>
    <row r="1070" hidden="1">
      <c r="C1070" s="40" t="str">
        <f>IFERROR(__xludf.DUMMYFUNCTION("TEXTJOIN("", "",TRUE,UNIQUE(FILTER('Data Master'!$B$2:$B2880,'Data Master'!$J$2:$J2880=A1070)))"),"petani")</f>
        <v>petani</v>
      </c>
    </row>
    <row r="1071" hidden="1">
      <c r="C1071" s="40" t="str">
        <f>IFERROR(__xludf.DUMMYFUNCTION("TEXTJOIN("", "",TRUE,UNIQUE(FILTER('Data Master'!$B$2:$B2880,'Data Master'!$J$2:$J2880=A1071)))"),"petani")</f>
        <v>petani</v>
      </c>
    </row>
    <row r="1072" hidden="1">
      <c r="C1072" s="40" t="str">
        <f>IFERROR(__xludf.DUMMYFUNCTION("TEXTJOIN("", "",TRUE,UNIQUE(FILTER('Data Master'!$B$2:$B2880,'Data Master'!$J$2:$J2880=A1072)))"),"petani")</f>
        <v>petani</v>
      </c>
    </row>
    <row r="1073" hidden="1">
      <c r="C1073" s="40" t="str">
        <f>IFERROR(__xludf.DUMMYFUNCTION("TEXTJOIN("", "",TRUE,UNIQUE(FILTER('Data Master'!$B$2:$B2880,'Data Master'!$J$2:$J2880=A1073)))"),"operator admin")</f>
        <v>operator admin</v>
      </c>
    </row>
    <row r="1074" hidden="1">
      <c r="C1074" s="40" t="str">
        <f>IFERROR(__xludf.DUMMYFUNCTION("TEXTJOIN("", "",TRUE,UNIQUE(FILTER('Data Master'!$B$2:$B2880,'Data Master'!$J$2:$J2880=A1074)))"),"petani")</f>
        <v>petani</v>
      </c>
    </row>
    <row r="1075" hidden="1">
      <c r="C1075" s="40" t="str">
        <f>IFERROR(__xludf.DUMMYFUNCTION("TEXTJOIN("", "",TRUE,UNIQUE(FILTER('Data Master'!$B$2:$B2880,'Data Master'!$J$2:$J2880=A1075)))"),"petani")</f>
        <v>petani</v>
      </c>
    </row>
    <row r="1076" hidden="1">
      <c r="C1076" s="40" t="str">
        <f>IFERROR(__xludf.DUMMYFUNCTION("TEXTJOIN("", "",TRUE,UNIQUE(FILTER('Data Master'!$B$2:$B2880,'Data Master'!$J$2:$J2880=A1076)))"),"petani")</f>
        <v>petani</v>
      </c>
    </row>
    <row r="1077" hidden="1">
      <c r="C1077" s="40" t="str">
        <f>IFERROR(__xludf.DUMMYFUNCTION("TEXTJOIN("", "",TRUE,UNIQUE(FILTER('Data Master'!$B$2:$B2880,'Data Master'!$J$2:$J2880=A1077)))"),"petani")</f>
        <v>petani</v>
      </c>
    </row>
    <row r="1078" hidden="1">
      <c r="C1078" s="40" t="str">
        <f>IFERROR(__xludf.DUMMYFUNCTION("TEXTJOIN("", "",TRUE,UNIQUE(FILTER('Data Master'!$B$2:$B2880,'Data Master'!$J$2:$J2880=A1078)))"),"petani")</f>
        <v>petani</v>
      </c>
    </row>
    <row r="1079" hidden="1">
      <c r="C1079" s="40" t="str">
        <f>IFERROR(__xludf.DUMMYFUNCTION("TEXTJOIN("", "",TRUE,UNIQUE(FILTER('Data Master'!$B$2:$B2880,'Data Master'!$J$2:$J2880=A1079)))"),"petani")</f>
        <v>petani</v>
      </c>
    </row>
    <row r="1080" hidden="1">
      <c r="C1080" s="40" t="str">
        <f>IFERROR(__xludf.DUMMYFUNCTION("TEXTJOIN("", "",TRUE,UNIQUE(FILTER('Data Master'!$B$2:$B2880,'Data Master'!$J$2:$J2880=A1080)))"),"petani")</f>
        <v>petani</v>
      </c>
    </row>
    <row r="1081" hidden="1">
      <c r="C1081" s="40" t="str">
        <f>IFERROR(__xludf.DUMMYFUNCTION("TEXTJOIN("", "",TRUE,UNIQUE(FILTER('Data Master'!$B$2:$B2880,'Data Master'!$J$2:$J2880=A1081)))"),"petani")</f>
        <v>petani</v>
      </c>
    </row>
    <row r="1082" hidden="1">
      <c r="C1082" s="40" t="str">
        <f>IFERROR(__xludf.DUMMYFUNCTION("TEXTJOIN("", "",TRUE,UNIQUE(FILTER('Data Master'!$B$2:$B2880,'Data Master'!$J$2:$J2880=A1082)))"),"petani")</f>
        <v>petani</v>
      </c>
    </row>
    <row r="1083" hidden="1">
      <c r="C1083" s="40" t="str">
        <f>IFERROR(__xludf.DUMMYFUNCTION("TEXTJOIN("", "",TRUE,UNIQUE(FILTER('Data Master'!$B$2:$B2880,'Data Master'!$J$2:$J2880=A1083)))"),"petani")</f>
        <v>petani</v>
      </c>
    </row>
    <row r="1084" hidden="1">
      <c r="C1084" s="40" t="str">
        <f>IFERROR(__xludf.DUMMYFUNCTION("TEXTJOIN("", "",TRUE,UNIQUE(FILTER('Data Master'!$B$2:$B2880,'Data Master'!$J$2:$J2880=A1084)))"),"petani")</f>
        <v>petani</v>
      </c>
    </row>
    <row r="1085" hidden="1">
      <c r="C1085" s="40" t="str">
        <f>IFERROR(__xludf.DUMMYFUNCTION("TEXTJOIN("", "",TRUE,UNIQUE(FILTER('Data Master'!$B$2:$B2880,'Data Master'!$J$2:$J2880=A1085)))"),"petani")</f>
        <v>petani</v>
      </c>
    </row>
    <row r="1086" hidden="1">
      <c r="C1086" s="40" t="str">
        <f>IFERROR(__xludf.DUMMYFUNCTION("TEXTJOIN("", "",TRUE,UNIQUE(FILTER('Data Master'!$B$2:$B2880,'Data Master'!$J$2:$J2880=A1086)))"),"petani")</f>
        <v>petani</v>
      </c>
    </row>
    <row r="1087" hidden="1">
      <c r="C1087" s="40" t="str">
        <f>IFERROR(__xludf.DUMMYFUNCTION("TEXTJOIN("", "",TRUE,UNIQUE(FILTER('Data Master'!$B$2:$B2880,'Data Master'!$J$2:$J2880=A1087)))"),"petani")</f>
        <v>petani</v>
      </c>
    </row>
    <row r="1088" hidden="1">
      <c r="C1088" s="40" t="str">
        <f>IFERROR(__xludf.DUMMYFUNCTION("TEXTJOIN("", "",TRUE,UNIQUE(FILTER('Data Master'!$B$2:$B2880,'Data Master'!$J$2:$J2880=A1088)))"),"petani")</f>
        <v>petani</v>
      </c>
    </row>
    <row r="1089" hidden="1">
      <c r="C1089" s="40" t="str">
        <f>IFERROR(__xludf.DUMMYFUNCTION("TEXTJOIN("", "",TRUE,UNIQUE(FILTER('Data Master'!$B$2:$B2880,'Data Master'!$J$2:$J2880=A1089)))"),"petani")</f>
        <v>petani</v>
      </c>
    </row>
    <row r="1090" hidden="1">
      <c r="C1090" s="40" t="str">
        <f>IFERROR(__xludf.DUMMYFUNCTION("TEXTJOIN("", "",TRUE,UNIQUE(FILTER('Data Master'!$B$2:$B2880,'Data Master'!$J$2:$J2880=A1090)))"),"petani")</f>
        <v>petani</v>
      </c>
    </row>
    <row r="1091" hidden="1">
      <c r="C1091" s="40" t="str">
        <f>IFERROR(__xludf.DUMMYFUNCTION("TEXTJOIN("", "",TRUE,UNIQUE(FILTER('Data Master'!$B$2:$B2880,'Data Master'!$J$2:$J2880=A1091)))"),"petani")</f>
        <v>petani</v>
      </c>
    </row>
    <row r="1092" hidden="1">
      <c r="C1092" s="40" t="str">
        <f>IFERROR(__xludf.DUMMYFUNCTION("TEXTJOIN("", "",TRUE,UNIQUE(FILTER('Data Master'!$B$2:$B2880,'Data Master'!$J$2:$J2880=A1092)))"),"petani")</f>
        <v>petani</v>
      </c>
    </row>
    <row r="1093" hidden="1">
      <c r="C1093" s="40" t="str">
        <f>IFERROR(__xludf.DUMMYFUNCTION("TEXTJOIN("", "",TRUE,UNIQUE(FILTER('Data Master'!$B$2:$B2880,'Data Master'!$J$2:$J2880=A1093)))"),"petani")</f>
        <v>petani</v>
      </c>
    </row>
    <row r="1094" hidden="1">
      <c r="C1094" s="40" t="str">
        <f>IFERROR(__xludf.DUMMYFUNCTION("TEXTJOIN("", "",TRUE,UNIQUE(FILTER('Data Master'!$B$2:$B2880,'Data Master'!$J$2:$J2880=A1094)))"),"petani")</f>
        <v>petani</v>
      </c>
    </row>
    <row r="1095" hidden="1">
      <c r="C1095" s="40" t="str">
        <f>IFERROR(__xludf.DUMMYFUNCTION("TEXTJOIN("", "",TRUE,UNIQUE(FILTER('Data Master'!$B$2:$B2880,'Data Master'!$J$2:$J2880=A1095)))"),"petani")</f>
        <v>petani</v>
      </c>
    </row>
    <row r="1096" hidden="1">
      <c r="C1096" s="40" t="str">
        <f>IFERROR(__xludf.DUMMYFUNCTION("TEXTJOIN("", "",TRUE,UNIQUE(FILTER('Data Master'!$B$2:$B2880,'Data Master'!$J$2:$J2880=A1096)))"),"petani")</f>
        <v>petani</v>
      </c>
    </row>
    <row r="1097" hidden="1">
      <c r="C1097" s="40" t="str">
        <f>IFERROR(__xludf.DUMMYFUNCTION("TEXTJOIN("", "",TRUE,UNIQUE(FILTER('Data Master'!$B$2:$B2880,'Data Master'!$J$2:$J2880=A1097)))"),"petani")</f>
        <v>petani</v>
      </c>
    </row>
    <row r="1098" hidden="1">
      <c r="C1098" s="40" t="str">
        <f>IFERROR(__xludf.DUMMYFUNCTION("TEXTJOIN("", "",TRUE,UNIQUE(FILTER('Data Master'!$B$2:$B2880,'Data Master'!$J$2:$J2880=A1098)))"),"petani")</f>
        <v>petani</v>
      </c>
    </row>
    <row r="1099" hidden="1">
      <c r="C1099" s="40" t="str">
        <f>IFERROR(__xludf.DUMMYFUNCTION("TEXTJOIN("", "",TRUE,UNIQUE(FILTER('Data Master'!$B$2:$B2880,'Data Master'!$J$2:$J2880=A1099)))"),"petani")</f>
        <v>petani</v>
      </c>
    </row>
    <row r="1100" hidden="1">
      <c r="C1100" s="40" t="str">
        <f>IFERROR(__xludf.DUMMYFUNCTION("TEXTJOIN("", "",TRUE,UNIQUE(FILTER('Data Master'!$B$2:$B2880,'Data Master'!$J$2:$J2880=A1100)))"),"petani")</f>
        <v>petani</v>
      </c>
    </row>
    <row r="1101" hidden="1">
      <c r="C1101" s="40" t="str">
        <f>IFERROR(__xludf.DUMMYFUNCTION("TEXTJOIN("", "",TRUE,UNIQUE(FILTER('Data Master'!$B$2:$B2880,'Data Master'!$J$2:$J2880=A1101)))"),"petani")</f>
        <v>petani</v>
      </c>
    </row>
    <row r="1102" hidden="1">
      <c r="C1102" s="40" t="str">
        <f>IFERROR(__xludf.DUMMYFUNCTION("TEXTJOIN("", "",TRUE,UNIQUE(FILTER('Data Master'!$B$2:$B2880,'Data Master'!$J$2:$J2880=A1102)))"),"petani")</f>
        <v>petani</v>
      </c>
    </row>
    <row r="1103" hidden="1">
      <c r="C1103" s="40" t="str">
        <f>IFERROR(__xludf.DUMMYFUNCTION("TEXTJOIN("", "",TRUE,UNIQUE(FILTER('Data Master'!$B$2:$B2880,'Data Master'!$J$2:$J2880=A1103)))"),"petani")</f>
        <v>petani</v>
      </c>
    </row>
    <row r="1104" hidden="1">
      <c r="C1104" s="40" t="str">
        <f>IFERROR(__xludf.DUMMYFUNCTION("TEXTJOIN("", "",TRUE,UNIQUE(FILTER('Data Master'!$B$2:$B2880,'Data Master'!$J$2:$J2880=A1104)))"),"petani")</f>
        <v>petani</v>
      </c>
    </row>
    <row r="1105" hidden="1">
      <c r="C1105" s="40" t="str">
        <f>IFERROR(__xludf.DUMMYFUNCTION("TEXTJOIN("", "",TRUE,UNIQUE(FILTER('Data Master'!$B$2:$B2880,'Data Master'!$J$2:$J2880=A1105)))"),"petani")</f>
        <v>petani</v>
      </c>
    </row>
    <row r="1106" hidden="1">
      <c r="C1106" s="40" t="str">
        <f>IFERROR(__xludf.DUMMYFUNCTION("TEXTJOIN("", "",TRUE,UNIQUE(FILTER('Data Master'!$B$2:$B2880,'Data Master'!$J$2:$J2880=A1106)))"),"petani")</f>
        <v>petani</v>
      </c>
    </row>
    <row r="1107" hidden="1">
      <c r="C1107" s="40" t="str">
        <f>IFERROR(__xludf.DUMMYFUNCTION("TEXTJOIN("", "",TRUE,UNIQUE(FILTER('Data Master'!$B$2:$B2880,'Data Master'!$J$2:$J2880=A1107)))"),"petani")</f>
        <v>petani</v>
      </c>
    </row>
    <row r="1108" hidden="1">
      <c r="C1108" s="40" t="str">
        <f>IFERROR(__xludf.DUMMYFUNCTION("TEXTJOIN("", "",TRUE,UNIQUE(FILTER('Data Master'!$B$2:$B2880,'Data Master'!$J$2:$J2880=A1108)))"),"petani")</f>
        <v>petani</v>
      </c>
    </row>
    <row r="1109" hidden="1">
      <c r="C1109" s="40" t="str">
        <f>IFERROR(__xludf.DUMMYFUNCTION("TEXTJOIN("", "",TRUE,UNIQUE(FILTER('Data Master'!$B$2:$B2880,'Data Master'!$J$2:$J2880=A1109)))"),"petani")</f>
        <v>petani</v>
      </c>
    </row>
    <row r="1110" hidden="1">
      <c r="C1110" s="40" t="str">
        <f>IFERROR(__xludf.DUMMYFUNCTION("TEXTJOIN("", "",TRUE,UNIQUE(FILTER('Data Master'!$B$2:$B2880,'Data Master'!$J$2:$J2880=A1110)))"),"petani")</f>
        <v>petani</v>
      </c>
    </row>
    <row r="1111" hidden="1">
      <c r="C1111" s="40" t="str">
        <f>IFERROR(__xludf.DUMMYFUNCTION("TEXTJOIN("", "",TRUE,UNIQUE(FILTER('Data Master'!$B$2:$B2880,'Data Master'!$J$2:$J2880=A1111)))"),"petani")</f>
        <v>petani</v>
      </c>
    </row>
    <row r="1112" hidden="1">
      <c r="C1112" s="40" t="str">
        <f>IFERROR(__xludf.DUMMYFUNCTION("TEXTJOIN("", "",TRUE,UNIQUE(FILTER('Data Master'!$B$2:$B2880,'Data Master'!$J$2:$J2880=A1112)))"),"petani")</f>
        <v>petani</v>
      </c>
    </row>
    <row r="1113" hidden="1">
      <c r="C1113" s="40" t="str">
        <f>IFERROR(__xludf.DUMMYFUNCTION("TEXTJOIN("", "",TRUE,UNIQUE(FILTER('Data Master'!$B$2:$B2880,'Data Master'!$J$2:$J2880=A1113)))"),"petani")</f>
        <v>petani</v>
      </c>
    </row>
    <row r="1114" hidden="1">
      <c r="C1114" s="40" t="str">
        <f>IFERROR(__xludf.DUMMYFUNCTION("TEXTJOIN("", "",TRUE,UNIQUE(FILTER('Data Master'!$B$2:$B2880,'Data Master'!$J$2:$J2880=A1114)))"),"petani")</f>
        <v>petani</v>
      </c>
    </row>
    <row r="1115" hidden="1">
      <c r="C1115" s="40" t="str">
        <f>IFERROR(__xludf.DUMMYFUNCTION("TEXTJOIN("", "",TRUE,UNIQUE(FILTER('Data Master'!$B$2:$B2880,'Data Master'!$J$2:$J2880=A1115)))"),"petani")</f>
        <v>petani</v>
      </c>
    </row>
    <row r="1116" hidden="1">
      <c r="C1116" s="40" t="str">
        <f>IFERROR(__xludf.DUMMYFUNCTION("TEXTJOIN("", "",TRUE,UNIQUE(FILTER('Data Master'!$B$2:$B2880,'Data Master'!$J$2:$J2880=A1116)))"),"petani")</f>
        <v>petani</v>
      </c>
    </row>
    <row r="1117" hidden="1">
      <c r="C1117" s="40" t="str">
        <f>IFERROR(__xludf.DUMMYFUNCTION("TEXTJOIN("", "",TRUE,UNIQUE(FILTER('Data Master'!$B$2:$B2880,'Data Master'!$J$2:$J2880=A1117)))"),"petani")</f>
        <v>petani</v>
      </c>
    </row>
    <row r="1118" hidden="1">
      <c r="C1118" s="40" t="str">
        <f>IFERROR(__xludf.DUMMYFUNCTION("TEXTJOIN("", "",TRUE,UNIQUE(FILTER('Data Master'!$B$2:$B2880,'Data Master'!$J$2:$J2880=A1118)))"),"petani")</f>
        <v>petani</v>
      </c>
    </row>
    <row r="1119" hidden="1">
      <c r="C1119" s="40" t="str">
        <f>IFERROR(__xludf.DUMMYFUNCTION("TEXTJOIN("", "",TRUE,UNIQUE(FILTER('Data Master'!$B$2:$B2880,'Data Master'!$J$2:$J2880=A1119)))"),"petani")</f>
        <v>petani</v>
      </c>
    </row>
    <row r="1120" hidden="1">
      <c r="C1120" s="40" t="str">
        <f>IFERROR(__xludf.DUMMYFUNCTION("TEXTJOIN("", "",TRUE,UNIQUE(FILTER('Data Master'!$B$2:$B2880,'Data Master'!$J$2:$J2880=A1120)))"),"petani")</f>
        <v>petani</v>
      </c>
    </row>
    <row r="1121" hidden="1">
      <c r="C1121" s="40" t="str">
        <f>IFERROR(__xludf.DUMMYFUNCTION("TEXTJOIN("", "",TRUE,UNIQUE(FILTER('Data Master'!$B$2:$B2880,'Data Master'!$J$2:$J2880=A1121)))"),"petani")</f>
        <v>petani</v>
      </c>
    </row>
    <row r="1122" hidden="1">
      <c r="C1122" s="40" t="str">
        <f>IFERROR(__xludf.DUMMYFUNCTION("TEXTJOIN("", "",TRUE,UNIQUE(FILTER('Data Master'!$B$2:$B2880,'Data Master'!$J$2:$J2880=A1122)))"),"petani")</f>
        <v>petani</v>
      </c>
    </row>
    <row r="1123" hidden="1">
      <c r="C1123" s="40" t="str">
        <f>IFERROR(__xludf.DUMMYFUNCTION("TEXTJOIN("", "",TRUE,UNIQUE(FILTER('Data Master'!$B$2:$B2880,'Data Master'!$J$2:$J2880=A1123)))"),"petani")</f>
        <v>petani</v>
      </c>
    </row>
    <row r="1124" hidden="1">
      <c r="C1124" s="40" t="str">
        <f>IFERROR(__xludf.DUMMYFUNCTION("TEXTJOIN("", "",TRUE,UNIQUE(FILTER('Data Master'!$B$2:$B2880,'Data Master'!$J$2:$J2880=A1124)))"),"petani")</f>
        <v>petani</v>
      </c>
    </row>
    <row r="1125">
      <c r="C1125" s="43" t="str">
        <f>IFERROR(__xludf.DUMMYFUNCTION("TEXTJOIN("", "",TRUE,UNIQUE(FILTER('Data Master'!$B$2:$B2880,'Data Master'!$J$2:$J2880=A1125)))"),"operator admin, penyuluh")</f>
        <v>operator admin, penyuluh</v>
      </c>
    </row>
    <row r="1126" hidden="1">
      <c r="C1126" s="40" t="str">
        <f>IFERROR(__xludf.DUMMYFUNCTION("TEXTJOIN("", "",TRUE,UNIQUE(FILTER('Data Master'!$B$2:$B2880,'Data Master'!$J$2:$J2880=A1126)))"),"petani")</f>
        <v>petani</v>
      </c>
    </row>
    <row r="1127" hidden="1">
      <c r="C1127" s="40" t="str">
        <f>IFERROR(__xludf.DUMMYFUNCTION("TEXTJOIN("", "",TRUE,UNIQUE(FILTER('Data Master'!$B$2:$B2880,'Data Master'!$J$2:$J2880=A1127)))"),"petani")</f>
        <v>petani</v>
      </c>
    </row>
    <row r="1128" hidden="1">
      <c r="C1128" s="40" t="str">
        <f>IFERROR(__xludf.DUMMYFUNCTION("TEXTJOIN("", "",TRUE,UNIQUE(FILTER('Data Master'!$B$2:$B2880,'Data Master'!$J$2:$J2880=A1128)))"),"petani")</f>
        <v>petani</v>
      </c>
    </row>
    <row r="1129" hidden="1">
      <c r="C1129" s="40" t="str">
        <f>IFERROR(__xludf.DUMMYFUNCTION("TEXTJOIN("", "",TRUE,UNIQUE(FILTER('Data Master'!$B$2:$B2880,'Data Master'!$J$2:$J2880=A1129)))"),"petani")</f>
        <v>petani</v>
      </c>
    </row>
    <row r="1130" hidden="1">
      <c r="C1130" s="40" t="str">
        <f>IFERROR(__xludf.DUMMYFUNCTION("TEXTJOIN("", "",TRUE,UNIQUE(FILTER('Data Master'!$B$2:$B2880,'Data Master'!$J$2:$J2880=A1130)))"),"petani")</f>
        <v>petani</v>
      </c>
    </row>
    <row r="1131" hidden="1">
      <c r="C1131" s="40" t="str">
        <f>IFERROR(__xludf.DUMMYFUNCTION("TEXTJOIN("", "",TRUE,UNIQUE(FILTER('Data Master'!$B$2:$B2880,'Data Master'!$J$2:$J2880=A1131)))"),"petani")</f>
        <v>petani</v>
      </c>
    </row>
    <row r="1132" hidden="1">
      <c r="C1132" s="40" t="str">
        <f>IFERROR(__xludf.DUMMYFUNCTION("TEXTJOIN("", "",TRUE,UNIQUE(FILTER('Data Master'!$B$2:$B2880,'Data Master'!$J$2:$J2880=A1132)))"),"petani")</f>
        <v>petani</v>
      </c>
    </row>
    <row r="1133" hidden="1">
      <c r="C1133" s="40" t="str">
        <f>IFERROR(__xludf.DUMMYFUNCTION("TEXTJOIN("", "",TRUE,UNIQUE(FILTER('Data Master'!$B$2:$B2880,'Data Master'!$J$2:$J2880=A1133)))"),"petani")</f>
        <v>petani</v>
      </c>
    </row>
    <row r="1134" hidden="1">
      <c r="C1134" s="40" t="str">
        <f>IFERROR(__xludf.DUMMYFUNCTION("TEXTJOIN("", "",TRUE,UNIQUE(FILTER('Data Master'!$B$2:$B2880,'Data Master'!$J$2:$J2880=A1134)))"),"petani")</f>
        <v>petani</v>
      </c>
    </row>
    <row r="1135" hidden="1">
      <c r="C1135" s="40" t="str">
        <f>IFERROR(__xludf.DUMMYFUNCTION("TEXTJOIN("", "",TRUE,UNIQUE(FILTER('Data Master'!$B$2:$B2880,'Data Master'!$J$2:$J2880=A1135)))"),"petani")</f>
        <v>petani</v>
      </c>
    </row>
    <row r="1136" hidden="1">
      <c r="C1136" s="40" t="str">
        <f>IFERROR(__xludf.DUMMYFUNCTION("TEXTJOIN("", "",TRUE,UNIQUE(FILTER('Data Master'!$B$2:$B2880,'Data Master'!$J$2:$J2880=A1136)))"),"petani")</f>
        <v>petani</v>
      </c>
    </row>
    <row r="1137" hidden="1">
      <c r="C1137" s="40" t="str">
        <f>IFERROR(__xludf.DUMMYFUNCTION("TEXTJOIN("", "",TRUE,UNIQUE(FILTER('Data Master'!$B$2:$B2880,'Data Master'!$J$2:$J2880=A1137)))"),"petani")</f>
        <v>petani</v>
      </c>
    </row>
    <row r="1138" hidden="1">
      <c r="C1138" s="40" t="str">
        <f>IFERROR(__xludf.DUMMYFUNCTION("TEXTJOIN("", "",TRUE,UNIQUE(FILTER('Data Master'!$B$2:$B2880,'Data Master'!$J$2:$J2880=A1138)))"),"petani")</f>
        <v>petani</v>
      </c>
    </row>
    <row r="1139" hidden="1">
      <c r="C1139" s="40" t="str">
        <f>IFERROR(__xludf.DUMMYFUNCTION("TEXTJOIN("", "",TRUE,UNIQUE(FILTER('Data Master'!$B$2:$B2880,'Data Master'!$J$2:$J2880=A1139)))"),"petani")</f>
        <v>petani</v>
      </c>
    </row>
    <row r="1140" hidden="1">
      <c r="C1140" s="40" t="str">
        <f>IFERROR(__xludf.DUMMYFUNCTION("TEXTJOIN("", "",TRUE,UNIQUE(FILTER('Data Master'!$B$2:$B2880,'Data Master'!$J$2:$J2880=A1140)))"),"petani")</f>
        <v>petani</v>
      </c>
    </row>
    <row r="1141" hidden="1">
      <c r="C1141" s="40" t="str">
        <f>IFERROR(__xludf.DUMMYFUNCTION("TEXTJOIN("", "",TRUE,UNIQUE(FILTER('Data Master'!$B$2:$B2880,'Data Master'!$J$2:$J2880=A1141)))"),"petani")</f>
        <v>petani</v>
      </c>
    </row>
    <row r="1142" hidden="1">
      <c r="C1142" s="40" t="str">
        <f>IFERROR(__xludf.DUMMYFUNCTION("TEXTJOIN("", "",TRUE,UNIQUE(FILTER('Data Master'!$B$2:$B2880,'Data Master'!$J$2:$J2880=A1142)))"),"petani")</f>
        <v>petani</v>
      </c>
    </row>
    <row r="1143" hidden="1">
      <c r="C1143" s="40" t="str">
        <f>IFERROR(__xludf.DUMMYFUNCTION("TEXTJOIN("", "",TRUE,UNIQUE(FILTER('Data Master'!$B$2:$B2880,'Data Master'!$J$2:$J2880=A1143)))"),"petani")</f>
        <v>petani</v>
      </c>
    </row>
    <row r="1144" hidden="1">
      <c r="C1144" s="40" t="str">
        <f>IFERROR(__xludf.DUMMYFUNCTION("TEXTJOIN("", "",TRUE,UNIQUE(FILTER('Data Master'!$B$2:$B2880,'Data Master'!$J$2:$J2880=A1144)))"),"petani")</f>
        <v>petani</v>
      </c>
    </row>
    <row r="1145" hidden="1">
      <c r="C1145" s="40" t="str">
        <f>IFERROR(__xludf.DUMMYFUNCTION("TEXTJOIN("", "",TRUE,UNIQUE(FILTER('Data Master'!$B$2:$B2880,'Data Master'!$J$2:$J2880=A1145)))"),"petani")</f>
        <v>petani</v>
      </c>
    </row>
    <row r="1146" hidden="1">
      <c r="C1146" s="40" t="str">
        <f>IFERROR(__xludf.DUMMYFUNCTION("TEXTJOIN("", "",TRUE,UNIQUE(FILTER('Data Master'!$B$2:$B2880,'Data Master'!$J$2:$J2880=A1146)))"),"petani")</f>
        <v>petani</v>
      </c>
    </row>
    <row r="1147" hidden="1">
      <c r="C1147" s="40" t="str">
        <f>IFERROR(__xludf.DUMMYFUNCTION("TEXTJOIN("", "",TRUE,UNIQUE(FILTER('Data Master'!$B$2:$B2880,'Data Master'!$J$2:$J2880=A1147)))"),"petani")</f>
        <v>petani</v>
      </c>
    </row>
    <row r="1148" hidden="1">
      <c r="C1148" s="40" t="str">
        <f>IFERROR(__xludf.DUMMYFUNCTION("TEXTJOIN("", "",TRUE,UNIQUE(FILTER('Data Master'!$B$2:$B2880,'Data Master'!$J$2:$J2880=A1148)))"),"petani")</f>
        <v>petani</v>
      </c>
    </row>
    <row r="1149" hidden="1">
      <c r="C1149" s="40" t="str">
        <f>IFERROR(__xludf.DUMMYFUNCTION("TEXTJOIN("", "",TRUE,UNIQUE(FILTER('Data Master'!$B$2:$B2880,'Data Master'!$J$2:$J2880=A1149)))"),"petani")</f>
        <v>petani</v>
      </c>
    </row>
    <row r="1150" hidden="1">
      <c r="C1150" s="40" t="str">
        <f>IFERROR(__xludf.DUMMYFUNCTION("TEXTJOIN("", "",TRUE,UNIQUE(FILTER('Data Master'!$B$2:$B2880,'Data Master'!$J$2:$J2880=A1150)))"),"petani")</f>
        <v>petani</v>
      </c>
    </row>
    <row r="1151" hidden="1">
      <c r="C1151" s="40" t="str">
        <f>IFERROR(__xludf.DUMMYFUNCTION("TEXTJOIN("", "",TRUE,UNIQUE(FILTER('Data Master'!$B$2:$B2880,'Data Master'!$J$2:$J2880=A1151)))"),"petani")</f>
        <v>petani</v>
      </c>
    </row>
    <row r="1152" hidden="1">
      <c r="C1152" s="40" t="str">
        <f>IFERROR(__xludf.DUMMYFUNCTION("TEXTJOIN("", "",TRUE,UNIQUE(FILTER('Data Master'!$B$2:$B2880,'Data Master'!$J$2:$J2880=A1152)))"),"petani")</f>
        <v>petani</v>
      </c>
    </row>
    <row r="1153" hidden="1">
      <c r="C1153" s="40" t="str">
        <f>IFERROR(__xludf.DUMMYFUNCTION("TEXTJOIN("", "",TRUE,UNIQUE(FILTER('Data Master'!$B$2:$B2880,'Data Master'!$J$2:$J2880=A1153)))"),"petani")</f>
        <v>petani</v>
      </c>
    </row>
    <row r="1154" hidden="1">
      <c r="C1154" s="40" t="str">
        <f>IFERROR(__xludf.DUMMYFUNCTION("TEXTJOIN("", "",TRUE,UNIQUE(FILTER('Data Master'!$B$2:$B2880,'Data Master'!$J$2:$J2880=A1154)))"),"petani")</f>
        <v>petani</v>
      </c>
    </row>
    <row r="1155" hidden="1">
      <c r="C1155" s="40" t="str">
        <f>IFERROR(__xludf.DUMMYFUNCTION("TEXTJOIN("", "",TRUE,UNIQUE(FILTER('Data Master'!$B$2:$B2880,'Data Master'!$J$2:$J2880=A1155)))"),"petani")</f>
        <v>petani</v>
      </c>
    </row>
    <row r="1156" hidden="1">
      <c r="C1156" s="40" t="str">
        <f>IFERROR(__xludf.DUMMYFUNCTION("TEXTJOIN("", "",TRUE,UNIQUE(FILTER('Data Master'!$B$2:$B2880,'Data Master'!$J$2:$J2880=A1156)))"),"petani")</f>
        <v>petani</v>
      </c>
    </row>
    <row r="1157" hidden="1">
      <c r="C1157" s="40" t="str">
        <f>IFERROR(__xludf.DUMMYFUNCTION("TEXTJOIN("", "",TRUE,UNIQUE(FILTER('Data Master'!$B$2:$B2880,'Data Master'!$J$2:$J2880=A1157)))"),"petani")</f>
        <v>petani</v>
      </c>
    </row>
    <row r="1158" hidden="1">
      <c r="C1158" s="40" t="str">
        <f>IFERROR(__xludf.DUMMYFUNCTION("TEXTJOIN("", "",TRUE,UNIQUE(FILTER('Data Master'!$B$2:$B2880,'Data Master'!$J$2:$J2880=A1158)))"),"petani")</f>
        <v>petani</v>
      </c>
    </row>
    <row r="1159" hidden="1">
      <c r="C1159" s="40" t="str">
        <f>IFERROR(__xludf.DUMMYFUNCTION("TEXTJOIN("", "",TRUE,UNIQUE(FILTER('Data Master'!$B$2:$B2880,'Data Master'!$J$2:$J2880=A1159)))"),"petani")</f>
        <v>petani</v>
      </c>
    </row>
    <row r="1160" hidden="1">
      <c r="C1160" s="40" t="str">
        <f>IFERROR(__xludf.DUMMYFUNCTION("TEXTJOIN("", "",TRUE,UNIQUE(FILTER('Data Master'!$B$2:$B2880,'Data Master'!$J$2:$J2880=A1160)))"),"petani")</f>
        <v>petani</v>
      </c>
    </row>
    <row r="1161" hidden="1">
      <c r="C1161" s="40" t="str">
        <f>IFERROR(__xludf.DUMMYFUNCTION("TEXTJOIN("", "",TRUE,UNIQUE(FILTER('Data Master'!$B$2:$B2880,'Data Master'!$J$2:$J2880=A1161)))"),"petani")</f>
        <v>petani</v>
      </c>
    </row>
    <row r="1162" hidden="1">
      <c r="C1162" s="40" t="str">
        <f>IFERROR(__xludf.DUMMYFUNCTION("TEXTJOIN("", "",TRUE,UNIQUE(FILTER('Data Master'!$B$2:$B2880,'Data Master'!$J$2:$J2880=A1162)))"),"petani")</f>
        <v>petani</v>
      </c>
    </row>
    <row r="1163" hidden="1">
      <c r="C1163" s="40" t="str">
        <f>IFERROR(__xludf.DUMMYFUNCTION("TEXTJOIN("", "",TRUE,UNIQUE(FILTER('Data Master'!$B$2:$B2880,'Data Master'!$J$2:$J2880=A1163)))"),"petani")</f>
        <v>petani</v>
      </c>
    </row>
    <row r="1164" hidden="1">
      <c r="C1164" s="40" t="str">
        <f>IFERROR(__xludf.DUMMYFUNCTION("TEXTJOIN("", "",TRUE,UNIQUE(FILTER('Data Master'!$B$2:$B2880,'Data Master'!$J$2:$J2880=A1164)))"),"petani")</f>
        <v>petani</v>
      </c>
    </row>
    <row r="1165" hidden="1">
      <c r="C1165" s="40" t="str">
        <f>IFERROR(__xludf.DUMMYFUNCTION("TEXTJOIN("", "",TRUE,UNIQUE(FILTER('Data Master'!$B$2:$B2880,'Data Master'!$J$2:$J2880=A1165)))"),"petani")</f>
        <v>petani</v>
      </c>
    </row>
    <row r="1166" hidden="1">
      <c r="C1166" s="40" t="str">
        <f>IFERROR(__xludf.DUMMYFUNCTION("TEXTJOIN("", "",TRUE,UNIQUE(FILTER('Data Master'!$B$2:$B2880,'Data Master'!$J$2:$J2880=A1166)))"),"petani")</f>
        <v>petani</v>
      </c>
    </row>
    <row r="1167" hidden="1">
      <c r="C1167" s="40" t="str">
        <f>IFERROR(__xludf.DUMMYFUNCTION("TEXTJOIN("", "",TRUE,UNIQUE(FILTER('Data Master'!$B$2:$B2880,'Data Master'!$J$2:$J2880=A1167)))"),"petani")</f>
        <v>petani</v>
      </c>
    </row>
    <row r="1168" hidden="1">
      <c r="C1168" s="40" t="str">
        <f>IFERROR(__xludf.DUMMYFUNCTION("TEXTJOIN("", "",TRUE,UNIQUE(FILTER('Data Master'!$B$2:$B2880,'Data Master'!$J$2:$J2880=A1168)))"),"petani")</f>
        <v>petani</v>
      </c>
    </row>
    <row r="1169" hidden="1">
      <c r="C1169" s="40" t="str">
        <f>IFERROR(__xludf.DUMMYFUNCTION("TEXTJOIN("", "",TRUE,UNIQUE(FILTER('Data Master'!$B$2:$B2880,'Data Master'!$J$2:$J2880=A1169)))"),"petani")</f>
        <v>petani</v>
      </c>
    </row>
    <row r="1170" hidden="1">
      <c r="C1170" s="40" t="str">
        <f>IFERROR(__xludf.DUMMYFUNCTION("TEXTJOIN("", "",TRUE,UNIQUE(FILTER('Data Master'!$B$2:$B2880,'Data Master'!$J$2:$J2880=A1170)))"),"petani")</f>
        <v>petani</v>
      </c>
    </row>
    <row r="1171" hidden="1">
      <c r="C1171" s="40" t="str">
        <f>IFERROR(__xludf.DUMMYFUNCTION("TEXTJOIN("", "",TRUE,UNIQUE(FILTER('Data Master'!$B$2:$B2880,'Data Master'!$J$2:$J2880=A1171)))"),"petani")</f>
        <v>petani</v>
      </c>
    </row>
    <row r="1172" hidden="1">
      <c r="C1172" s="40" t="str">
        <f>IFERROR(__xludf.DUMMYFUNCTION("TEXTJOIN("", "",TRUE,UNIQUE(FILTER('Data Master'!$B$2:$B2880,'Data Master'!$J$2:$J2880=A1172)))"),"petani")</f>
        <v>petani</v>
      </c>
    </row>
    <row r="1173" hidden="1">
      <c r="C1173" s="40" t="str">
        <f>IFERROR(__xludf.DUMMYFUNCTION("TEXTJOIN("", "",TRUE,UNIQUE(FILTER('Data Master'!$B$2:$B2880,'Data Master'!$J$2:$J2880=A1173)))"),"petani")</f>
        <v>petani</v>
      </c>
    </row>
    <row r="1174" hidden="1">
      <c r="C1174" s="40" t="str">
        <f>IFERROR(__xludf.DUMMYFUNCTION("TEXTJOIN("", "",TRUE,UNIQUE(FILTER('Data Master'!$B$2:$B2880,'Data Master'!$J$2:$J2880=A1174)))"),"petani")</f>
        <v>petani</v>
      </c>
    </row>
    <row r="1175" hidden="1">
      <c r="C1175" s="40" t="str">
        <f>IFERROR(__xludf.DUMMYFUNCTION("TEXTJOIN("", "",TRUE,UNIQUE(FILTER('Data Master'!$B$2:$B2880,'Data Master'!$J$2:$J2880=A1175)))"),"petani")</f>
        <v>petani</v>
      </c>
    </row>
    <row r="1176" hidden="1">
      <c r="C1176" s="40" t="str">
        <f>IFERROR(__xludf.DUMMYFUNCTION("TEXTJOIN("", "",TRUE,UNIQUE(FILTER('Data Master'!$B$2:$B2880,'Data Master'!$J$2:$J2880=A1176)))"),"petani")</f>
        <v>petani</v>
      </c>
    </row>
    <row r="1177" hidden="1">
      <c r="C1177" s="40" t="str">
        <f>IFERROR(__xludf.DUMMYFUNCTION("TEXTJOIN("", "",TRUE,UNIQUE(FILTER('Data Master'!$B$2:$B2880,'Data Master'!$J$2:$J2880=A1177)))"),"petani")</f>
        <v>petani</v>
      </c>
    </row>
    <row r="1178" hidden="1">
      <c r="C1178" s="40" t="str">
        <f>IFERROR(__xludf.DUMMYFUNCTION("TEXTJOIN("", "",TRUE,UNIQUE(FILTER('Data Master'!$B$2:$B2880,'Data Master'!$J$2:$J2880=A1178)))"),"petani")</f>
        <v>petani</v>
      </c>
    </row>
    <row r="1179" hidden="1">
      <c r="C1179" s="40" t="str">
        <f>IFERROR(__xludf.DUMMYFUNCTION("TEXTJOIN("", "",TRUE,UNIQUE(FILTER('Data Master'!$B$2:$B2880,'Data Master'!$J$2:$J2880=A1179)))"),"petani")</f>
        <v>petani</v>
      </c>
    </row>
    <row r="1180" hidden="1">
      <c r="C1180" s="40" t="str">
        <f>IFERROR(__xludf.DUMMYFUNCTION("TEXTJOIN("", "",TRUE,UNIQUE(FILTER('Data Master'!$B$2:$B2880,'Data Master'!$J$2:$J2880=A1180)))"),"petani")</f>
        <v>petani</v>
      </c>
    </row>
    <row r="1181" hidden="1">
      <c r="C1181" s="40" t="str">
        <f>IFERROR(__xludf.DUMMYFUNCTION("TEXTJOIN("", "",TRUE,UNIQUE(FILTER('Data Master'!$B$2:$B2880,'Data Master'!$J$2:$J2880=A1181)))"),"petani")</f>
        <v>petani</v>
      </c>
    </row>
    <row r="1182" hidden="1">
      <c r="C1182" s="40" t="str">
        <f>IFERROR(__xludf.DUMMYFUNCTION("TEXTJOIN("", "",TRUE,UNIQUE(FILTER('Data Master'!$B$2:$B2880,'Data Master'!$J$2:$J2880=A1182)))"),"petani")</f>
        <v>petani</v>
      </c>
    </row>
    <row r="1183" hidden="1">
      <c r="C1183" s="40" t="str">
        <f>IFERROR(__xludf.DUMMYFUNCTION("TEXTJOIN("", "",TRUE,UNIQUE(FILTER('Data Master'!$B$2:$B2880,'Data Master'!$J$2:$J2880=A1183)))"),"petani")</f>
        <v>petani</v>
      </c>
    </row>
    <row r="1184" hidden="1">
      <c r="C1184" s="40" t="str">
        <f>IFERROR(__xludf.DUMMYFUNCTION("TEXTJOIN("", "",TRUE,UNIQUE(FILTER('Data Master'!$B$2:$B2880,'Data Master'!$J$2:$J2880=A1184)))"),"petani")</f>
        <v>petani</v>
      </c>
    </row>
    <row r="1185" hidden="1">
      <c r="C1185" s="40" t="str">
        <f>IFERROR(__xludf.DUMMYFUNCTION("TEXTJOIN("", "",TRUE,UNIQUE(FILTER('Data Master'!$B$2:$B2880,'Data Master'!$J$2:$J2880=A1185)))"),"petani")</f>
        <v>petani</v>
      </c>
    </row>
    <row r="1186" hidden="1">
      <c r="C1186" s="40" t="str">
        <f>IFERROR(__xludf.DUMMYFUNCTION("TEXTJOIN("", "",TRUE,UNIQUE(FILTER('Data Master'!$B$2:$B2880,'Data Master'!$J$2:$J2880=A1186)))"),"petani")</f>
        <v>petani</v>
      </c>
    </row>
    <row r="1187" hidden="1">
      <c r="C1187" s="40" t="str">
        <f>IFERROR(__xludf.DUMMYFUNCTION("TEXTJOIN("", "",TRUE,UNIQUE(FILTER('Data Master'!$B$2:$B2880,'Data Master'!$J$2:$J2880=A1187)))"),"petani")</f>
        <v>petani</v>
      </c>
    </row>
    <row r="1188" hidden="1">
      <c r="C1188" s="40" t="str">
        <f>IFERROR(__xludf.DUMMYFUNCTION("TEXTJOIN("", "",TRUE,UNIQUE(FILTER('Data Master'!$B$2:$B2880,'Data Master'!$J$2:$J2880=A1188)))"),"petani")</f>
        <v>petani</v>
      </c>
    </row>
    <row r="1189" hidden="1">
      <c r="C1189" s="40" t="str">
        <f>IFERROR(__xludf.DUMMYFUNCTION("TEXTJOIN("", "",TRUE,UNIQUE(FILTER('Data Master'!$B$2:$B2880,'Data Master'!$J$2:$J2880=A1189)))"),"petani")</f>
        <v>petani</v>
      </c>
    </row>
    <row r="1190" hidden="1">
      <c r="C1190" s="40" t="str">
        <f>IFERROR(__xludf.DUMMYFUNCTION("TEXTJOIN("", "",TRUE,UNIQUE(FILTER('Data Master'!$B$2:$B2880,'Data Master'!$J$2:$J2880=A1190)))"),"petani")</f>
        <v>petani</v>
      </c>
    </row>
    <row r="1191" hidden="1">
      <c r="C1191" s="40" t="str">
        <f>IFERROR(__xludf.DUMMYFUNCTION("TEXTJOIN("", "",TRUE,UNIQUE(FILTER('Data Master'!$B$2:$B2880,'Data Master'!$J$2:$J2880=A1191)))"),"petani")</f>
        <v>petani</v>
      </c>
    </row>
    <row r="1192" hidden="1">
      <c r="C1192" s="40" t="str">
        <f>IFERROR(__xludf.DUMMYFUNCTION("TEXTJOIN("", "",TRUE,UNIQUE(FILTER('Data Master'!$B$2:$B2880,'Data Master'!$J$2:$J2880=A1192)))"),"petani")</f>
        <v>petani</v>
      </c>
    </row>
    <row r="1193" hidden="1">
      <c r="C1193" s="40" t="str">
        <f>IFERROR(__xludf.DUMMYFUNCTION("TEXTJOIN("", "",TRUE,UNIQUE(FILTER('Data Master'!$B$2:$B2880,'Data Master'!$J$2:$J2880=A1193)))"),"petani")</f>
        <v>petani</v>
      </c>
    </row>
    <row r="1194" hidden="1">
      <c r="C1194" s="40" t="str">
        <f>IFERROR(__xludf.DUMMYFUNCTION("TEXTJOIN("", "",TRUE,UNIQUE(FILTER('Data Master'!$B$2:$B2880,'Data Master'!$J$2:$J2880=A1194)))"),"petani")</f>
        <v>petani</v>
      </c>
    </row>
    <row r="1195" hidden="1">
      <c r="C1195" s="40" t="str">
        <f>IFERROR(__xludf.DUMMYFUNCTION("TEXTJOIN("", "",TRUE,UNIQUE(FILTER('Data Master'!$B$2:$B2880,'Data Master'!$J$2:$J2880=A1195)))"),"petani")</f>
        <v>petani</v>
      </c>
    </row>
    <row r="1196" hidden="1">
      <c r="C1196" s="40" t="str">
        <f>IFERROR(__xludf.DUMMYFUNCTION("TEXTJOIN("", "",TRUE,UNIQUE(FILTER('Data Master'!$B$2:$B2880,'Data Master'!$J$2:$J2880=A1196)))"),"petani")</f>
        <v>petani</v>
      </c>
    </row>
    <row r="1197" hidden="1">
      <c r="C1197" s="40" t="str">
        <f>IFERROR(__xludf.DUMMYFUNCTION("TEXTJOIN("", "",TRUE,UNIQUE(FILTER('Data Master'!$B$2:$B2880,'Data Master'!$J$2:$J2880=A1197)))"),"petani")</f>
        <v>petani</v>
      </c>
    </row>
    <row r="1198" hidden="1">
      <c r="C1198" s="40" t="str">
        <f>IFERROR(__xludf.DUMMYFUNCTION("TEXTJOIN("", "",TRUE,UNIQUE(FILTER('Data Master'!$B$2:$B2880,'Data Master'!$J$2:$J2880=A1198)))"),"petani")</f>
        <v>petani</v>
      </c>
    </row>
    <row r="1199" hidden="1">
      <c r="C1199" s="40" t="str">
        <f>IFERROR(__xludf.DUMMYFUNCTION("TEXTJOIN("", "",TRUE,UNIQUE(FILTER('Data Master'!$B$2:$B2880,'Data Master'!$J$2:$J2880=A1199)))"),"petani")</f>
        <v>petani</v>
      </c>
    </row>
    <row r="1200" hidden="1">
      <c r="C1200" s="40" t="str">
        <f>IFERROR(__xludf.DUMMYFUNCTION("TEXTJOIN("", "",TRUE,UNIQUE(FILTER('Data Master'!$B$2:$B2880,'Data Master'!$J$2:$J2880=A1200)))"),"petani")</f>
        <v>petani</v>
      </c>
    </row>
    <row r="1201" hidden="1">
      <c r="C1201" s="40" t="str">
        <f>IFERROR(__xludf.DUMMYFUNCTION("TEXTJOIN("", "",TRUE,UNIQUE(FILTER('Data Master'!$B$2:$B2880,'Data Master'!$J$2:$J2880=A1201)))"),"petani")</f>
        <v>petani</v>
      </c>
    </row>
    <row r="1202" hidden="1">
      <c r="C1202" s="40" t="str">
        <f>IFERROR(__xludf.DUMMYFUNCTION("TEXTJOIN("", "",TRUE,UNIQUE(FILTER('Data Master'!$B$2:$B2880,'Data Master'!$J$2:$J2880=A1202)))"),"petani")</f>
        <v>petani</v>
      </c>
    </row>
    <row r="1203" hidden="1">
      <c r="C1203" s="40" t="str">
        <f>IFERROR(__xludf.DUMMYFUNCTION("TEXTJOIN("", "",TRUE,UNIQUE(FILTER('Data Master'!$B$2:$B2880,'Data Master'!$J$2:$J2880=A1203)))"),"petani")</f>
        <v>petani</v>
      </c>
    </row>
    <row r="1204" hidden="1">
      <c r="C1204" s="40" t="str">
        <f>IFERROR(__xludf.DUMMYFUNCTION("TEXTJOIN("", "",TRUE,UNIQUE(FILTER('Data Master'!$B$2:$B2880,'Data Master'!$J$2:$J2880=A1204)))"),"petani")</f>
        <v>petani</v>
      </c>
    </row>
    <row r="1205" hidden="1">
      <c r="C1205" s="40" t="str">
        <f>IFERROR(__xludf.DUMMYFUNCTION("TEXTJOIN("", "",TRUE,UNIQUE(FILTER('Data Master'!$B$2:$B2880,'Data Master'!$J$2:$J2880=A1205)))"),"petani")</f>
        <v>petani</v>
      </c>
    </row>
    <row r="1206" hidden="1">
      <c r="C1206" s="40" t="str">
        <f>IFERROR(__xludf.DUMMYFUNCTION("TEXTJOIN("", "",TRUE,UNIQUE(FILTER('Data Master'!$B$2:$B2880,'Data Master'!$J$2:$J2880=A1206)))"),"petani")</f>
        <v>petani</v>
      </c>
    </row>
    <row r="1207" hidden="1">
      <c r="C1207" s="40" t="str">
        <f>IFERROR(__xludf.DUMMYFUNCTION("TEXTJOIN("", "",TRUE,UNIQUE(FILTER('Data Master'!$B$2:$B2880,'Data Master'!$J$2:$J2880=A1207)))"),"petani")</f>
        <v>petani</v>
      </c>
    </row>
    <row r="1208" hidden="1">
      <c r="C1208" s="40" t="str">
        <f>IFERROR(__xludf.DUMMYFUNCTION("TEXTJOIN("", "",TRUE,UNIQUE(FILTER('Data Master'!$B$2:$B2880,'Data Master'!$J$2:$J2880=A1208)))"),"petani")</f>
        <v>petani</v>
      </c>
    </row>
    <row r="1209" hidden="1">
      <c r="C1209" s="40" t="str">
        <f>IFERROR(__xludf.DUMMYFUNCTION("TEXTJOIN("", "",TRUE,UNIQUE(FILTER('Data Master'!$B$2:$B2880,'Data Master'!$J$2:$J2880=A1209)))"),"petani")</f>
        <v>petani</v>
      </c>
    </row>
    <row r="1210" hidden="1">
      <c r="C1210" s="40" t="str">
        <f>IFERROR(__xludf.DUMMYFUNCTION("TEXTJOIN("", "",TRUE,UNIQUE(FILTER('Data Master'!$B$2:$B2880,'Data Master'!$J$2:$J2880=A1210)))"),"petani")</f>
        <v>petani</v>
      </c>
    </row>
    <row r="1211" hidden="1">
      <c r="C1211" s="40" t="str">
        <f>IFERROR(__xludf.DUMMYFUNCTION("TEXTJOIN("", "",TRUE,UNIQUE(FILTER('Data Master'!$B$2:$B2880,'Data Master'!$J$2:$J2880=A1211)))"),"petani")</f>
        <v>petani</v>
      </c>
    </row>
    <row r="1212" hidden="1">
      <c r="C1212" s="40" t="str">
        <f>IFERROR(__xludf.DUMMYFUNCTION("TEXTJOIN("", "",TRUE,UNIQUE(FILTER('Data Master'!$B$2:$B2880,'Data Master'!$J$2:$J2880=A1212)))"),"petani")</f>
        <v>petani</v>
      </c>
    </row>
    <row r="1213" hidden="1">
      <c r="C1213" s="40" t="str">
        <f>IFERROR(__xludf.DUMMYFUNCTION("TEXTJOIN("", "",TRUE,UNIQUE(FILTER('Data Master'!$B$2:$B2880,'Data Master'!$J$2:$J2880=A1213)))"),"petani")</f>
        <v>petani</v>
      </c>
    </row>
    <row r="1214" hidden="1">
      <c r="C1214" s="40" t="str">
        <f>IFERROR(__xludf.DUMMYFUNCTION("TEXTJOIN("", "",TRUE,UNIQUE(FILTER('Data Master'!$B$2:$B2880,'Data Master'!$J$2:$J2880=A1214)))"),"petani")</f>
        <v>petani</v>
      </c>
    </row>
    <row r="1215" hidden="1">
      <c r="C1215" s="40" t="str">
        <f>IFERROR(__xludf.DUMMYFUNCTION("TEXTJOIN("", "",TRUE,UNIQUE(FILTER('Data Master'!$B$2:$B2880,'Data Master'!$J$2:$J2880=A1215)))"),"petani")</f>
        <v>petani</v>
      </c>
    </row>
    <row r="1216" hidden="1">
      <c r="C1216" s="40" t="str">
        <f>IFERROR(__xludf.DUMMYFUNCTION("TEXTJOIN("", "",TRUE,UNIQUE(FILTER('Data Master'!$B$2:$B2880,'Data Master'!$J$2:$J2880=A1216)))"),"petani")</f>
        <v>petani</v>
      </c>
    </row>
    <row r="1217" hidden="1">
      <c r="C1217" s="40" t="str">
        <f>IFERROR(__xludf.DUMMYFUNCTION("TEXTJOIN("", "",TRUE,UNIQUE(FILTER('Data Master'!$B$2:$B2880,'Data Master'!$J$2:$J2880=A1217)))"),"petani")</f>
        <v>petani</v>
      </c>
    </row>
    <row r="1218" hidden="1">
      <c r="C1218" s="40" t="str">
        <f>IFERROR(__xludf.DUMMYFUNCTION("TEXTJOIN("", "",TRUE,UNIQUE(FILTER('Data Master'!$B$2:$B2880,'Data Master'!$J$2:$J2880=A1218)))"),"petani")</f>
        <v>petani</v>
      </c>
    </row>
    <row r="1219" hidden="1">
      <c r="C1219" s="40" t="str">
        <f>IFERROR(__xludf.DUMMYFUNCTION("TEXTJOIN("", "",TRUE,UNIQUE(FILTER('Data Master'!$B$2:$B2880,'Data Master'!$J$2:$J2880=A1219)))"),"petani")</f>
        <v>petani</v>
      </c>
    </row>
    <row r="1220" hidden="1">
      <c r="C1220" s="40" t="str">
        <f>IFERROR(__xludf.DUMMYFUNCTION("TEXTJOIN("", "",TRUE,UNIQUE(FILTER('Data Master'!$B$2:$B2880,'Data Master'!$J$2:$J2880=A1220)))"),"petani")</f>
        <v>petani</v>
      </c>
    </row>
    <row r="1221" hidden="1">
      <c r="C1221" s="40" t="str">
        <f>IFERROR(__xludf.DUMMYFUNCTION("TEXTJOIN("", "",TRUE,UNIQUE(FILTER('Data Master'!$B$2:$B2880,'Data Master'!$J$2:$J2880=A1221)))"),"petani")</f>
        <v>petani</v>
      </c>
    </row>
    <row r="1222" hidden="1">
      <c r="C1222" s="40" t="str">
        <f>IFERROR(__xludf.DUMMYFUNCTION("TEXTJOIN("", "",TRUE,UNIQUE(FILTER('Data Master'!$B$2:$B2880,'Data Master'!$J$2:$J2880=A1222)))"),"petani")</f>
        <v>petani</v>
      </c>
    </row>
    <row r="1223" hidden="1">
      <c r="C1223" s="40" t="str">
        <f>IFERROR(__xludf.DUMMYFUNCTION("TEXTJOIN("", "",TRUE,UNIQUE(FILTER('Data Master'!$B$2:$B2880,'Data Master'!$J$2:$J2880=A1223)))"),"petani")</f>
        <v>petani</v>
      </c>
    </row>
    <row r="1224" hidden="1">
      <c r="C1224" s="40" t="str">
        <f>IFERROR(__xludf.DUMMYFUNCTION("TEXTJOIN("", "",TRUE,UNIQUE(FILTER('Data Master'!$B$2:$B2880,'Data Master'!$J$2:$J2880=A1224)))"),"petani")</f>
        <v>petani</v>
      </c>
    </row>
    <row r="1225" hidden="1">
      <c r="C1225" s="40" t="str">
        <f>IFERROR(__xludf.DUMMYFUNCTION("TEXTJOIN("", "",TRUE,UNIQUE(FILTER('Data Master'!$B$2:$B2880,'Data Master'!$J$2:$J2880=A1225)))"),"petani")</f>
        <v>petani</v>
      </c>
    </row>
    <row r="1226" hidden="1">
      <c r="C1226" s="40" t="str">
        <f>IFERROR(__xludf.DUMMYFUNCTION("TEXTJOIN("", "",TRUE,UNIQUE(FILTER('Data Master'!$B$2:$B2880,'Data Master'!$J$2:$J2880=A1226)))"),"petani")</f>
        <v>petani</v>
      </c>
    </row>
    <row r="1227" hidden="1">
      <c r="C1227" s="40" t="str">
        <f>IFERROR(__xludf.DUMMYFUNCTION("TEXTJOIN("", "",TRUE,UNIQUE(FILTER('Data Master'!$B$2:$B2880,'Data Master'!$J$2:$J2880=A1227)))"),"petani")</f>
        <v>petani</v>
      </c>
    </row>
    <row r="1228" hidden="1">
      <c r="C1228" s="40" t="str">
        <f>IFERROR(__xludf.DUMMYFUNCTION("TEXTJOIN("", "",TRUE,UNIQUE(FILTER('Data Master'!$B$2:$B2880,'Data Master'!$J$2:$J2880=A1228)))"),"petani")</f>
        <v>petani</v>
      </c>
    </row>
    <row r="1229" hidden="1">
      <c r="C1229" s="40" t="str">
        <f>IFERROR(__xludf.DUMMYFUNCTION("TEXTJOIN("", "",TRUE,UNIQUE(FILTER('Data Master'!$B$2:$B2880,'Data Master'!$J$2:$J2880=A1229)))"),"petani")</f>
        <v>petani</v>
      </c>
    </row>
    <row r="1230" hidden="1">
      <c r="C1230" s="40" t="str">
        <f>IFERROR(__xludf.DUMMYFUNCTION("TEXTJOIN("", "",TRUE,UNIQUE(FILTER('Data Master'!$B$2:$B2880,'Data Master'!$J$2:$J2880=A1230)))"),"petani")</f>
        <v>petani</v>
      </c>
    </row>
    <row r="1231" hidden="1">
      <c r="C1231" s="40" t="str">
        <f>IFERROR(__xludf.DUMMYFUNCTION("TEXTJOIN("", "",TRUE,UNIQUE(FILTER('Data Master'!$B$2:$B2880,'Data Master'!$J$2:$J2880=A1231)))"),"petani")</f>
        <v>petani</v>
      </c>
    </row>
    <row r="1232" hidden="1">
      <c r="C1232" s="40" t="str">
        <f>IFERROR(__xludf.DUMMYFUNCTION("TEXTJOIN("", "",TRUE,UNIQUE(FILTER('Data Master'!$B$2:$B2880,'Data Master'!$J$2:$J2880=A1232)))"),"petani")</f>
        <v>petani</v>
      </c>
    </row>
    <row r="1233" hidden="1">
      <c r="C1233" s="40" t="str">
        <f>IFERROR(__xludf.DUMMYFUNCTION("TEXTJOIN("", "",TRUE,UNIQUE(FILTER('Data Master'!$B$2:$B2880,'Data Master'!$J$2:$J2880=A1233)))"),"petani")</f>
        <v>petani</v>
      </c>
    </row>
    <row r="1234" hidden="1">
      <c r="C1234" s="40" t="str">
        <f>IFERROR(__xludf.DUMMYFUNCTION("TEXTJOIN("", "",TRUE,UNIQUE(FILTER('Data Master'!$B$2:$B2880,'Data Master'!$J$2:$J2880=A1234)))"),"petani")</f>
        <v>petani</v>
      </c>
    </row>
    <row r="1235" hidden="1">
      <c r="C1235" s="40" t="str">
        <f>IFERROR(__xludf.DUMMYFUNCTION("TEXTJOIN("", "",TRUE,UNIQUE(FILTER('Data Master'!$B$2:$B2880,'Data Master'!$J$2:$J2880=A1235)))"),"petani")</f>
        <v>petani</v>
      </c>
    </row>
    <row r="1236" hidden="1">
      <c r="C1236" s="40" t="str">
        <f>IFERROR(__xludf.DUMMYFUNCTION("TEXTJOIN("", "",TRUE,UNIQUE(FILTER('Data Master'!$B$2:$B2880,'Data Master'!$J$2:$J2880=A1236)))"),"petani")</f>
        <v>petani</v>
      </c>
    </row>
    <row r="1237" hidden="1">
      <c r="C1237" s="40" t="str">
        <f>IFERROR(__xludf.DUMMYFUNCTION("TEXTJOIN("", "",TRUE,UNIQUE(FILTER('Data Master'!$B$2:$B2880,'Data Master'!$J$2:$J2880=A1237)))"),"petani")</f>
        <v>petani</v>
      </c>
    </row>
    <row r="1238" hidden="1">
      <c r="C1238" s="40" t="str">
        <f>IFERROR(__xludf.DUMMYFUNCTION("TEXTJOIN("", "",TRUE,UNIQUE(FILTER('Data Master'!$B$2:$B2880,'Data Master'!$J$2:$J2880=A1238)))"),"petani")</f>
        <v>petani</v>
      </c>
    </row>
    <row r="1239" hidden="1">
      <c r="C1239" s="40" t="str">
        <f>IFERROR(__xludf.DUMMYFUNCTION("TEXTJOIN("", "",TRUE,UNIQUE(FILTER('Data Master'!$B$2:$B2880,'Data Master'!$J$2:$J2880=A1239)))"),"petani")</f>
        <v>petani</v>
      </c>
    </row>
    <row r="1240" hidden="1">
      <c r="C1240" s="40" t="str">
        <f>IFERROR(__xludf.DUMMYFUNCTION("TEXTJOIN("", "",TRUE,UNIQUE(FILTER('Data Master'!$B$2:$B2880,'Data Master'!$J$2:$J2880=A1240)))"),"petani")</f>
        <v>petani</v>
      </c>
    </row>
    <row r="1241" hidden="1">
      <c r="C1241" s="40" t="str">
        <f>IFERROR(__xludf.DUMMYFUNCTION("TEXTJOIN("", "",TRUE,UNIQUE(FILTER('Data Master'!$B$2:$B2880,'Data Master'!$J$2:$J2880=A1241)))"),"petani")</f>
        <v>petani</v>
      </c>
    </row>
    <row r="1242" hidden="1">
      <c r="C1242" s="40" t="str">
        <f>IFERROR(__xludf.DUMMYFUNCTION("TEXTJOIN("", "",TRUE,UNIQUE(FILTER('Data Master'!$B$2:$B2880,'Data Master'!$J$2:$J2880=A1242)))"),"petani")</f>
        <v>petani</v>
      </c>
    </row>
    <row r="1243" hidden="1">
      <c r="C1243" s="40" t="str">
        <f>IFERROR(__xludf.DUMMYFUNCTION("TEXTJOIN("", "",TRUE,UNIQUE(FILTER('Data Master'!$B$2:$B2880,'Data Master'!$J$2:$J2880=A1243)))"),"petani")</f>
        <v>petani</v>
      </c>
    </row>
    <row r="1244" hidden="1">
      <c r="C1244" s="40" t="str">
        <f>IFERROR(__xludf.DUMMYFUNCTION("TEXTJOIN("", "",TRUE,UNIQUE(FILTER('Data Master'!$B$2:$B2880,'Data Master'!$J$2:$J2880=A1244)))"),"petani")</f>
        <v>petani</v>
      </c>
    </row>
    <row r="1245" hidden="1">
      <c r="C1245" s="40" t="str">
        <f>IFERROR(__xludf.DUMMYFUNCTION("TEXTJOIN("", "",TRUE,UNIQUE(FILTER('Data Master'!$B$2:$B2880,'Data Master'!$J$2:$J2880=A1245)))"),"petani")</f>
        <v>petani</v>
      </c>
    </row>
    <row r="1246" hidden="1">
      <c r="C1246" s="40" t="str">
        <f>IFERROR(__xludf.DUMMYFUNCTION("TEXTJOIN("", "",TRUE,UNIQUE(FILTER('Data Master'!$B$2:$B2880,'Data Master'!$J$2:$J2880=A1246)))"),"petani")</f>
        <v>petani</v>
      </c>
    </row>
    <row r="1247" hidden="1">
      <c r="C1247" s="40" t="str">
        <f>IFERROR(__xludf.DUMMYFUNCTION("TEXTJOIN("", "",TRUE,UNIQUE(FILTER('Data Master'!$B$2:$B2880,'Data Master'!$J$2:$J2880=A1247)))"),"petani")</f>
        <v>petani</v>
      </c>
    </row>
    <row r="1248" hidden="1">
      <c r="C1248" s="40" t="str">
        <f>IFERROR(__xludf.DUMMYFUNCTION("TEXTJOIN("", "",TRUE,UNIQUE(FILTER('Data Master'!$B$2:$B2880,'Data Master'!$J$2:$J2880=A1248)))"),"petani")</f>
        <v>petani</v>
      </c>
    </row>
    <row r="1249" hidden="1">
      <c r="C1249" s="40" t="str">
        <f>IFERROR(__xludf.DUMMYFUNCTION("TEXTJOIN("", "",TRUE,UNIQUE(FILTER('Data Master'!$B$2:$B2880,'Data Master'!$J$2:$J2880=A1249)))"),"petani")</f>
        <v>petani</v>
      </c>
    </row>
    <row r="1250" hidden="1">
      <c r="C1250" s="40" t="str">
        <f>IFERROR(__xludf.DUMMYFUNCTION("TEXTJOIN("", "",TRUE,UNIQUE(FILTER('Data Master'!$B$2:$B2880,'Data Master'!$J$2:$J2880=A1250)))"),"petani")</f>
        <v>petani</v>
      </c>
    </row>
    <row r="1251" hidden="1">
      <c r="C1251" s="40" t="str">
        <f>IFERROR(__xludf.DUMMYFUNCTION("TEXTJOIN("", "",TRUE,UNIQUE(FILTER('Data Master'!$B$2:$B2880,'Data Master'!$J$2:$J2880=A1251)))"),"petani")</f>
        <v>petani</v>
      </c>
    </row>
    <row r="1252" hidden="1">
      <c r="C1252" s="40" t="str">
        <f>IFERROR(__xludf.DUMMYFUNCTION("TEXTJOIN("", "",TRUE,UNIQUE(FILTER('Data Master'!$B$2:$B2880,'Data Master'!$J$2:$J2880=A1252)))"),"petani")</f>
        <v>petani</v>
      </c>
    </row>
    <row r="1253" hidden="1">
      <c r="C1253" s="40" t="str">
        <f>IFERROR(__xludf.DUMMYFUNCTION("TEXTJOIN("", "",TRUE,UNIQUE(FILTER('Data Master'!$B$2:$B2880,'Data Master'!$J$2:$J2880=A1253)))"),"petani")</f>
        <v>petani</v>
      </c>
    </row>
    <row r="1254" hidden="1">
      <c r="C1254" s="40" t="str">
        <f>IFERROR(__xludf.DUMMYFUNCTION("TEXTJOIN("", "",TRUE,UNIQUE(FILTER('Data Master'!$B$2:$B2880,'Data Master'!$J$2:$J2880=A1254)))"),"petani")</f>
        <v>petani</v>
      </c>
    </row>
    <row r="1255" hidden="1">
      <c r="C1255" s="40" t="str">
        <f>IFERROR(__xludf.DUMMYFUNCTION("TEXTJOIN("", "",TRUE,UNIQUE(FILTER('Data Master'!$B$2:$B2880,'Data Master'!$J$2:$J2880=A1255)))"),"petani")</f>
        <v>petani</v>
      </c>
    </row>
    <row r="1256" hidden="1">
      <c r="C1256" s="40" t="str">
        <f>IFERROR(__xludf.DUMMYFUNCTION("TEXTJOIN("", "",TRUE,UNIQUE(FILTER('Data Master'!$B$2:$B2880,'Data Master'!$J$2:$J2880=A1256)))"),"petani")</f>
        <v>petani</v>
      </c>
    </row>
    <row r="1257" hidden="1">
      <c r="C1257" s="40" t="str">
        <f>IFERROR(__xludf.DUMMYFUNCTION("TEXTJOIN("", "",TRUE,UNIQUE(FILTER('Data Master'!$B$2:$B2880,'Data Master'!$J$2:$J2880=A1257)))"),"petani")</f>
        <v>petani</v>
      </c>
    </row>
    <row r="1258" hidden="1">
      <c r="C1258" s="40" t="str">
        <f>IFERROR(__xludf.DUMMYFUNCTION("TEXTJOIN("", "",TRUE,UNIQUE(FILTER('Data Master'!$B$2:$B2880,'Data Master'!$J$2:$J2880=A1258)))"),"petani")</f>
        <v>petani</v>
      </c>
    </row>
    <row r="1259" hidden="1">
      <c r="C1259" s="40" t="str">
        <f>IFERROR(__xludf.DUMMYFUNCTION("TEXTJOIN("", "",TRUE,UNIQUE(FILTER('Data Master'!$B$2:$B2880,'Data Master'!$J$2:$J2880=A1259)))"),"petani")</f>
        <v>petani</v>
      </c>
    </row>
    <row r="1260" hidden="1">
      <c r="C1260" s="40" t="str">
        <f>IFERROR(__xludf.DUMMYFUNCTION("TEXTJOIN("", "",TRUE,UNIQUE(FILTER('Data Master'!$B$2:$B2880,'Data Master'!$J$2:$J2880=A1260)))"),"petani")</f>
        <v>petani</v>
      </c>
    </row>
    <row r="1261" hidden="1">
      <c r="C1261" s="40" t="str">
        <f>IFERROR(__xludf.DUMMYFUNCTION("TEXTJOIN("", "",TRUE,UNIQUE(FILTER('Data Master'!$B$2:$B2880,'Data Master'!$J$2:$J2880=A1261)))"),"petani")</f>
        <v>petani</v>
      </c>
    </row>
    <row r="1262" hidden="1">
      <c r="C1262" s="40" t="str">
        <f>IFERROR(__xludf.DUMMYFUNCTION("TEXTJOIN("", "",TRUE,UNIQUE(FILTER('Data Master'!$B$2:$B2880,'Data Master'!$J$2:$J2880=A1262)))"),"petani")</f>
        <v>petani</v>
      </c>
    </row>
    <row r="1263" hidden="1">
      <c r="C1263" s="40" t="str">
        <f>IFERROR(__xludf.DUMMYFUNCTION("TEXTJOIN("", "",TRUE,UNIQUE(FILTER('Data Master'!$B$2:$B2880,'Data Master'!$J$2:$J2880=A1263)))"),"petani")</f>
        <v>petani</v>
      </c>
    </row>
    <row r="1264" hidden="1">
      <c r="C1264" s="40" t="str">
        <f>IFERROR(__xludf.DUMMYFUNCTION("TEXTJOIN("", "",TRUE,UNIQUE(FILTER('Data Master'!$B$2:$B2880,'Data Master'!$J$2:$J2880=A1264)))"),"petani")</f>
        <v>petani</v>
      </c>
    </row>
    <row r="1265" hidden="1">
      <c r="C1265" s="40" t="str">
        <f>IFERROR(__xludf.DUMMYFUNCTION("TEXTJOIN("", "",TRUE,UNIQUE(FILTER('Data Master'!$B$2:$B2880,'Data Master'!$J$2:$J2880=A1265)))"),"petani")</f>
        <v>petani</v>
      </c>
    </row>
    <row r="1266" hidden="1">
      <c r="C1266" s="40" t="str">
        <f>IFERROR(__xludf.DUMMYFUNCTION("TEXTJOIN("", "",TRUE,UNIQUE(FILTER('Data Master'!$B$2:$B2880,'Data Master'!$J$2:$J2880=A1266)))"),"petani")</f>
        <v>petani</v>
      </c>
    </row>
    <row r="1267" hidden="1">
      <c r="C1267" s="40" t="str">
        <f>IFERROR(__xludf.DUMMYFUNCTION("TEXTJOIN("", "",TRUE,UNIQUE(FILTER('Data Master'!$B$2:$B2880,'Data Master'!$J$2:$J2880=A1267)))"),"petani")</f>
        <v>petani</v>
      </c>
    </row>
    <row r="1268" hidden="1">
      <c r="C1268" s="40" t="str">
        <f>IFERROR(__xludf.DUMMYFUNCTION("TEXTJOIN("", "",TRUE,UNIQUE(FILTER('Data Master'!$B$2:$B2880,'Data Master'!$J$2:$J2880=A1268)))"),"petani")</f>
        <v>petani</v>
      </c>
    </row>
    <row r="1269" hidden="1">
      <c r="C1269" s="40" t="str">
        <f>IFERROR(__xludf.DUMMYFUNCTION("TEXTJOIN("", "",TRUE,UNIQUE(FILTER('Data Master'!$B$2:$B2880,'Data Master'!$J$2:$J2880=A1269)))"),"petani")</f>
        <v>petani</v>
      </c>
    </row>
    <row r="1270" hidden="1">
      <c r="C1270" s="40" t="str">
        <f>IFERROR(__xludf.DUMMYFUNCTION("TEXTJOIN("", "",TRUE,UNIQUE(FILTER('Data Master'!$B$2:$B2880,'Data Master'!$J$2:$J2880=A1270)))"),"petani")</f>
        <v>petani</v>
      </c>
    </row>
    <row r="1271" hidden="1">
      <c r="C1271" s="40" t="str">
        <f>IFERROR(__xludf.DUMMYFUNCTION("TEXTJOIN("", "",TRUE,UNIQUE(FILTER('Data Master'!$B$2:$B2880,'Data Master'!$J$2:$J2880=A1271)))"),"petani")</f>
        <v>petani</v>
      </c>
    </row>
    <row r="1272" hidden="1">
      <c r="C1272" s="40" t="str">
        <f>IFERROR(__xludf.DUMMYFUNCTION("TEXTJOIN("", "",TRUE,UNIQUE(FILTER('Data Master'!$B$2:$B2880,'Data Master'!$J$2:$J2880=A1272)))"),"petani")</f>
        <v>petani</v>
      </c>
    </row>
    <row r="1273" hidden="1">
      <c r="C1273" s="40" t="str">
        <f>IFERROR(__xludf.DUMMYFUNCTION("TEXTJOIN("", "",TRUE,UNIQUE(FILTER('Data Master'!$B$2:$B2880,'Data Master'!$J$2:$J2880=A1273)))"),"petani")</f>
        <v>petani</v>
      </c>
    </row>
    <row r="1274" hidden="1">
      <c r="C1274" s="40" t="str">
        <f>IFERROR(__xludf.DUMMYFUNCTION("TEXTJOIN("", "",TRUE,UNIQUE(FILTER('Data Master'!$B$2:$B2880,'Data Master'!$J$2:$J2880=A1274)))"),"petani")</f>
        <v>petani</v>
      </c>
    </row>
    <row r="1275" hidden="1">
      <c r="C1275" s="40" t="str">
        <f>IFERROR(__xludf.DUMMYFUNCTION("TEXTJOIN("", "",TRUE,UNIQUE(FILTER('Data Master'!$B$2:$B2880,'Data Master'!$J$2:$J2880=A1275)))"),"petani")</f>
        <v>petani</v>
      </c>
    </row>
    <row r="1276" hidden="1">
      <c r="C1276" s="40" t="str">
        <f>IFERROR(__xludf.DUMMYFUNCTION("TEXTJOIN("", "",TRUE,UNIQUE(FILTER('Data Master'!$B$2:$B2880,'Data Master'!$J$2:$J2880=A1276)))"),"petani")</f>
        <v>petani</v>
      </c>
    </row>
    <row r="1277" hidden="1">
      <c r="C1277" s="40" t="str">
        <f>IFERROR(__xludf.DUMMYFUNCTION("TEXTJOIN("", "",TRUE,UNIQUE(FILTER('Data Master'!$B$2:$B2880,'Data Master'!$J$2:$J2880=A1277)))"),"petani")</f>
        <v>petani</v>
      </c>
    </row>
    <row r="1278" hidden="1">
      <c r="C1278" s="40" t="str">
        <f>IFERROR(__xludf.DUMMYFUNCTION("TEXTJOIN("", "",TRUE,UNIQUE(FILTER('Data Master'!$B$2:$B2880,'Data Master'!$J$2:$J2880=A1278)))"),"petani")</f>
        <v>petani</v>
      </c>
    </row>
    <row r="1279" hidden="1">
      <c r="C1279" s="40" t="str">
        <f>IFERROR(__xludf.DUMMYFUNCTION("TEXTJOIN("", "",TRUE,UNIQUE(FILTER('Data Master'!$B$2:$B2880,'Data Master'!$J$2:$J2880=A1279)))"),"petani")</f>
        <v>petani</v>
      </c>
    </row>
    <row r="1280" hidden="1">
      <c r="C1280" s="40" t="str">
        <f>IFERROR(__xludf.DUMMYFUNCTION("TEXTJOIN("", "",TRUE,UNIQUE(FILTER('Data Master'!$B$2:$B2880,'Data Master'!$J$2:$J2880=A1280)))"),"petani")</f>
        <v>petani</v>
      </c>
    </row>
    <row r="1281" hidden="1">
      <c r="C1281" s="40" t="str">
        <f>IFERROR(__xludf.DUMMYFUNCTION("TEXTJOIN("", "",TRUE,UNIQUE(FILTER('Data Master'!$B$2:$B2880,'Data Master'!$J$2:$J2880=A1281)))"),"petani")</f>
        <v>petani</v>
      </c>
    </row>
    <row r="1282" hidden="1">
      <c r="C1282" s="40" t="str">
        <f>IFERROR(__xludf.DUMMYFUNCTION("TEXTJOIN("", "",TRUE,UNIQUE(FILTER('Data Master'!$B$2:$B2880,'Data Master'!$J$2:$J2880=A1282)))"),"petani")</f>
        <v>petani</v>
      </c>
    </row>
    <row r="1283" hidden="1">
      <c r="C1283" s="40" t="str">
        <f>IFERROR(__xludf.DUMMYFUNCTION("TEXTJOIN("", "",TRUE,UNIQUE(FILTER('Data Master'!$B$2:$B2880,'Data Master'!$J$2:$J2880=A1283)))"),"petani")</f>
        <v>petani</v>
      </c>
    </row>
    <row r="1284" hidden="1">
      <c r="C1284" s="40" t="str">
        <f>IFERROR(__xludf.DUMMYFUNCTION("TEXTJOIN("", "",TRUE,UNIQUE(FILTER('Data Master'!$B$2:$B2880,'Data Master'!$J$2:$J2880=A1284)))"),"petani")</f>
        <v>petani</v>
      </c>
    </row>
    <row r="1285" hidden="1">
      <c r="C1285" s="40" t="str">
        <f>IFERROR(__xludf.DUMMYFUNCTION("TEXTJOIN("", "",TRUE,UNIQUE(FILTER('Data Master'!$B$2:$B2880,'Data Master'!$J$2:$J2880=A1285)))"),"petani")</f>
        <v>petani</v>
      </c>
    </row>
    <row r="1286" hidden="1">
      <c r="C1286" s="40" t="str">
        <f>IFERROR(__xludf.DUMMYFUNCTION("TEXTJOIN("", "",TRUE,UNIQUE(FILTER('Data Master'!$B$2:$B2880,'Data Master'!$J$2:$J2880=A1286)))"),"petani")</f>
        <v>petani</v>
      </c>
    </row>
    <row r="1287" hidden="1">
      <c r="C1287" s="40" t="str">
        <f>IFERROR(__xludf.DUMMYFUNCTION("TEXTJOIN("", "",TRUE,UNIQUE(FILTER('Data Master'!$B$2:$B2880,'Data Master'!$J$2:$J2880=A1287)))"),"petani")</f>
        <v>petani</v>
      </c>
    </row>
    <row r="1288" hidden="1">
      <c r="C1288" s="40" t="str">
        <f>IFERROR(__xludf.DUMMYFUNCTION("TEXTJOIN("", "",TRUE,UNIQUE(FILTER('Data Master'!$B$2:$B2880,'Data Master'!$J$2:$J2880=A1288)))"),"petani")</f>
        <v>petani</v>
      </c>
    </row>
    <row r="1289" hidden="1">
      <c r="C1289" s="40" t="str">
        <f>IFERROR(__xludf.DUMMYFUNCTION("TEXTJOIN("", "",TRUE,UNIQUE(FILTER('Data Master'!$B$2:$B2880,'Data Master'!$J$2:$J2880=A1289)))"),"petani")</f>
        <v>petani</v>
      </c>
    </row>
    <row r="1290" hidden="1">
      <c r="C1290" s="40" t="str">
        <f>IFERROR(__xludf.DUMMYFUNCTION("TEXTJOIN("", "",TRUE,UNIQUE(FILTER('Data Master'!$B$2:$B2880,'Data Master'!$J$2:$J2880=A1290)))"),"petani")</f>
        <v>petani</v>
      </c>
    </row>
    <row r="1291" hidden="1">
      <c r="C1291" s="40" t="str">
        <f>IFERROR(__xludf.DUMMYFUNCTION("TEXTJOIN("", "",TRUE,UNIQUE(FILTER('Data Master'!$B$2:$B2880,'Data Master'!$J$2:$J2880=A1291)))"),"petani")</f>
        <v>petani</v>
      </c>
    </row>
    <row r="1292" hidden="1">
      <c r="C1292" s="40" t="str">
        <f>IFERROR(__xludf.DUMMYFUNCTION("TEXTJOIN("", "",TRUE,UNIQUE(FILTER('Data Master'!$B$2:$B2880,'Data Master'!$J$2:$J2880=A1292)))"),"petani")</f>
        <v>petani</v>
      </c>
    </row>
    <row r="1293" hidden="1">
      <c r="C1293" s="40" t="str">
        <f>IFERROR(__xludf.DUMMYFUNCTION("TEXTJOIN("", "",TRUE,UNIQUE(FILTER('Data Master'!$B$2:$B2880,'Data Master'!$J$2:$J2880=A1293)))"),"petani")</f>
        <v>petani</v>
      </c>
    </row>
    <row r="1294" hidden="1">
      <c r="C1294" s="40" t="str">
        <f>IFERROR(__xludf.DUMMYFUNCTION("TEXTJOIN("", "",TRUE,UNIQUE(FILTER('Data Master'!$B$2:$B2880,'Data Master'!$J$2:$J2880=A1294)))"),"petani")</f>
        <v>petani</v>
      </c>
    </row>
    <row r="1295" hidden="1">
      <c r="C1295" s="40" t="str">
        <f>IFERROR(__xludf.DUMMYFUNCTION("TEXTJOIN("", "",TRUE,UNIQUE(FILTER('Data Master'!$B$2:$B2880,'Data Master'!$J$2:$J2880=A1295)))"),"petani")</f>
        <v>petani</v>
      </c>
    </row>
    <row r="1296" hidden="1">
      <c r="C1296" s="40" t="str">
        <f>IFERROR(__xludf.DUMMYFUNCTION("TEXTJOIN("", "",TRUE,UNIQUE(FILTER('Data Master'!$B$2:$B2880,'Data Master'!$J$2:$J2880=A1296)))"),"operator admin")</f>
        <v>operator admin</v>
      </c>
    </row>
    <row r="1297" hidden="1">
      <c r="C1297" s="40" t="str">
        <f>IFERROR(__xludf.DUMMYFUNCTION("TEXTJOIN("", "",TRUE,UNIQUE(FILTER('Data Master'!$B$2:$B2880,'Data Master'!$J$2:$J2880=A1297)))"),"petani")</f>
        <v>petani</v>
      </c>
    </row>
    <row r="1298" hidden="1">
      <c r="C1298" s="40" t="str">
        <f>IFERROR(__xludf.DUMMYFUNCTION("TEXTJOIN("", "",TRUE,UNIQUE(FILTER('Data Master'!$B$2:$B2880,'Data Master'!$J$2:$J2880=A1298)))"),"petani")</f>
        <v>petani</v>
      </c>
    </row>
    <row r="1299" hidden="1">
      <c r="C1299" s="40" t="str">
        <f>IFERROR(__xludf.DUMMYFUNCTION("TEXTJOIN("", "",TRUE,UNIQUE(FILTER('Data Master'!$B$2:$B2880,'Data Master'!$J$2:$J2880=A1299)))"),"petani")</f>
        <v>petani</v>
      </c>
    </row>
    <row r="1300" hidden="1">
      <c r="C1300" s="40" t="str">
        <f>IFERROR(__xludf.DUMMYFUNCTION("TEXTJOIN("", "",TRUE,UNIQUE(FILTER('Data Master'!$B$2:$B2880,'Data Master'!$J$2:$J2880=A1300)))"),"petani")</f>
        <v>petani</v>
      </c>
    </row>
    <row r="1301" hidden="1">
      <c r="C1301" s="40" t="str">
        <f>IFERROR(__xludf.DUMMYFUNCTION("TEXTJOIN("", "",TRUE,UNIQUE(FILTER('Data Master'!$B$2:$B2880,'Data Master'!$J$2:$J2880=A1301)))"),"petani")</f>
        <v>petani</v>
      </c>
    </row>
    <row r="1302" hidden="1">
      <c r="C1302" s="40" t="str">
        <f>IFERROR(__xludf.DUMMYFUNCTION("TEXTJOIN("", "",TRUE,UNIQUE(FILTER('Data Master'!$B$2:$B2880,'Data Master'!$J$2:$J2880=A1302)))"),"petani")</f>
        <v>petani</v>
      </c>
    </row>
    <row r="1303" hidden="1">
      <c r="C1303" s="40" t="str">
        <f>IFERROR(__xludf.DUMMYFUNCTION("TEXTJOIN("", "",TRUE,UNIQUE(FILTER('Data Master'!$B$2:$B2880,'Data Master'!$J$2:$J2880=A1303)))"),"petani")</f>
        <v>petani</v>
      </c>
    </row>
    <row r="1304" hidden="1">
      <c r="C1304" s="40" t="str">
        <f>IFERROR(__xludf.DUMMYFUNCTION("TEXTJOIN("", "",TRUE,UNIQUE(FILTER('Data Master'!$B$2:$B2880,'Data Master'!$J$2:$J2880=A1304)))"),"petani")</f>
        <v>petani</v>
      </c>
    </row>
    <row r="1305" hidden="1">
      <c r="C1305" s="40" t="str">
        <f>IFERROR(__xludf.DUMMYFUNCTION("TEXTJOIN("", "",TRUE,UNIQUE(FILTER('Data Master'!$B$2:$B2880,'Data Master'!$J$2:$J2880=A1305)))"),"petani")</f>
        <v>petani</v>
      </c>
    </row>
    <row r="1306" hidden="1">
      <c r="C1306" s="40" t="str">
        <f>IFERROR(__xludf.DUMMYFUNCTION("TEXTJOIN("", "",TRUE,UNIQUE(FILTER('Data Master'!$B$2:$B2880,'Data Master'!$J$2:$J2880=A1306)))"),"petani")</f>
        <v>petani</v>
      </c>
    </row>
    <row r="1307" hidden="1">
      <c r="C1307" s="40" t="str">
        <f>IFERROR(__xludf.DUMMYFUNCTION("TEXTJOIN("", "",TRUE,UNIQUE(FILTER('Data Master'!$B$2:$B2880,'Data Master'!$J$2:$J2880=A1307)))"),"petani")</f>
        <v>petani</v>
      </c>
    </row>
    <row r="1308" hidden="1">
      <c r="C1308" s="40" t="str">
        <f>IFERROR(__xludf.DUMMYFUNCTION("TEXTJOIN("", "",TRUE,UNIQUE(FILTER('Data Master'!$B$2:$B2880,'Data Master'!$J$2:$J2880=A1308)))"),"petani")</f>
        <v>petani</v>
      </c>
    </row>
    <row r="1309" hidden="1">
      <c r="C1309" s="40" t="str">
        <f>IFERROR(__xludf.DUMMYFUNCTION("TEXTJOIN("", "",TRUE,UNIQUE(FILTER('Data Master'!$B$2:$B2880,'Data Master'!$J$2:$J2880=A1309)))"),"petani")</f>
        <v>petani</v>
      </c>
    </row>
    <row r="1310" hidden="1">
      <c r="C1310" s="40" t="str">
        <f>IFERROR(__xludf.DUMMYFUNCTION("TEXTJOIN("", "",TRUE,UNIQUE(FILTER('Data Master'!$B$2:$B2880,'Data Master'!$J$2:$J2880=A1310)))"),"petani")</f>
        <v>petani</v>
      </c>
    </row>
    <row r="1311" hidden="1">
      <c r="C1311" s="40" t="str">
        <f>IFERROR(__xludf.DUMMYFUNCTION("TEXTJOIN("", "",TRUE,UNIQUE(FILTER('Data Master'!$B$2:$B2880,'Data Master'!$J$2:$J2880=A1311)))"),"petani")</f>
        <v>petani</v>
      </c>
    </row>
    <row r="1312" hidden="1">
      <c r="C1312" s="40" t="str">
        <f>IFERROR(__xludf.DUMMYFUNCTION("TEXTJOIN("", "",TRUE,UNIQUE(FILTER('Data Master'!$B$2:$B2880,'Data Master'!$J$2:$J2880=A1312)))"),"petani")</f>
        <v>petani</v>
      </c>
    </row>
    <row r="1313" hidden="1">
      <c r="C1313" s="40" t="str">
        <f>IFERROR(__xludf.DUMMYFUNCTION("TEXTJOIN("", "",TRUE,UNIQUE(FILTER('Data Master'!$B$2:$B2880,'Data Master'!$J$2:$J2880=A1313)))"),"petani")</f>
        <v>petani</v>
      </c>
    </row>
    <row r="1314" hidden="1">
      <c r="C1314" s="40" t="str">
        <f>IFERROR(__xludf.DUMMYFUNCTION("TEXTJOIN("", "",TRUE,UNIQUE(FILTER('Data Master'!$B$2:$B2880,'Data Master'!$J$2:$J2880=A1314)))"),"petani")</f>
        <v>petani</v>
      </c>
    </row>
    <row r="1315" hidden="1">
      <c r="C1315" s="40" t="str">
        <f>IFERROR(__xludf.DUMMYFUNCTION("TEXTJOIN("", "",TRUE,UNIQUE(FILTER('Data Master'!$B$2:$B2880,'Data Master'!$J$2:$J2880=A1315)))"),"petani")</f>
        <v>petani</v>
      </c>
    </row>
    <row r="1316" hidden="1">
      <c r="C1316" s="40" t="str">
        <f>IFERROR(__xludf.DUMMYFUNCTION("TEXTJOIN("", "",TRUE,UNIQUE(FILTER('Data Master'!$B$2:$B2880,'Data Master'!$J$2:$J2880=A1316)))"),"petani")</f>
        <v>petani</v>
      </c>
    </row>
    <row r="1317" hidden="1">
      <c r="C1317" s="40" t="str">
        <f>IFERROR(__xludf.DUMMYFUNCTION("TEXTJOIN("", "",TRUE,UNIQUE(FILTER('Data Master'!$B$2:$B2880,'Data Master'!$J$2:$J2880=A1317)))"),"petani")</f>
        <v>petani</v>
      </c>
    </row>
    <row r="1318" hidden="1">
      <c r="C1318" s="40" t="str">
        <f>IFERROR(__xludf.DUMMYFUNCTION("TEXTJOIN("", "",TRUE,UNIQUE(FILTER('Data Master'!$B$2:$B2880,'Data Master'!$J$2:$J2880=A1318)))"),"petani")</f>
        <v>petani</v>
      </c>
    </row>
    <row r="1319" hidden="1">
      <c r="C1319" s="40" t="str">
        <f>IFERROR(__xludf.DUMMYFUNCTION("TEXTJOIN("", "",TRUE,UNIQUE(FILTER('Data Master'!$B$2:$B2880,'Data Master'!$J$2:$J2880=A1319)))"),"petani")</f>
        <v>petani</v>
      </c>
    </row>
    <row r="1320" hidden="1">
      <c r="C1320" s="40" t="str">
        <f>IFERROR(__xludf.DUMMYFUNCTION("TEXTJOIN("", "",TRUE,UNIQUE(FILTER('Data Master'!$B$2:$B2880,'Data Master'!$J$2:$J2880=A1320)))"),"petani")</f>
        <v>petani</v>
      </c>
    </row>
    <row r="1321" hidden="1">
      <c r="C1321" s="40" t="str">
        <f>IFERROR(__xludf.DUMMYFUNCTION("TEXTJOIN("", "",TRUE,UNIQUE(FILTER('Data Master'!$B$2:$B2880,'Data Master'!$J$2:$J2880=A1321)))"),"petani")</f>
        <v>petani</v>
      </c>
    </row>
    <row r="1322" hidden="1">
      <c r="C1322" s="40" t="str">
        <f>IFERROR(__xludf.DUMMYFUNCTION("TEXTJOIN("", "",TRUE,UNIQUE(FILTER('Data Master'!$B$2:$B2880,'Data Master'!$J$2:$J2880=A1322)))"),"petani")</f>
        <v>petani</v>
      </c>
    </row>
    <row r="1323" hidden="1">
      <c r="C1323" s="40" t="str">
        <f>IFERROR(__xludf.DUMMYFUNCTION("TEXTJOIN("", "",TRUE,UNIQUE(FILTER('Data Master'!$B$2:$B2880,'Data Master'!$J$2:$J2880=A1323)))"),"petani")</f>
        <v>petani</v>
      </c>
    </row>
    <row r="1324" hidden="1">
      <c r="C1324" s="40" t="str">
        <f>IFERROR(__xludf.DUMMYFUNCTION("TEXTJOIN("", "",TRUE,UNIQUE(FILTER('Data Master'!$B$2:$B2880,'Data Master'!$J$2:$J2880=A1324)))"),"petani")</f>
        <v>petani</v>
      </c>
    </row>
    <row r="1325" hidden="1">
      <c r="C1325" s="40" t="str">
        <f>IFERROR(__xludf.DUMMYFUNCTION("TEXTJOIN("", "",TRUE,UNIQUE(FILTER('Data Master'!$B$2:$B2880,'Data Master'!$J$2:$J2880=A1325)))"),"petani")</f>
        <v>petani</v>
      </c>
    </row>
    <row r="1326" hidden="1">
      <c r="C1326" s="40" t="str">
        <f>IFERROR(__xludf.DUMMYFUNCTION("TEXTJOIN("", "",TRUE,UNIQUE(FILTER('Data Master'!$B$2:$B2880,'Data Master'!$J$2:$J2880=A1326)))"),"petani")</f>
        <v>petani</v>
      </c>
    </row>
    <row r="1327" hidden="1">
      <c r="C1327" s="40" t="str">
        <f>IFERROR(__xludf.DUMMYFUNCTION("TEXTJOIN("", "",TRUE,UNIQUE(FILTER('Data Master'!$B$2:$B2880,'Data Master'!$J$2:$J2880=A1327)))"),"petani")</f>
        <v>petani</v>
      </c>
    </row>
    <row r="1328" hidden="1">
      <c r="C1328" s="40" t="str">
        <f>IFERROR(__xludf.DUMMYFUNCTION("TEXTJOIN("", "",TRUE,UNIQUE(FILTER('Data Master'!$B$2:$B2880,'Data Master'!$J$2:$J2880=A1328)))"),"petani")</f>
        <v>petani</v>
      </c>
    </row>
    <row r="1329" hidden="1">
      <c r="C1329" s="40" t="str">
        <f>IFERROR(__xludf.DUMMYFUNCTION("TEXTJOIN("", "",TRUE,UNIQUE(FILTER('Data Master'!$B$2:$B2880,'Data Master'!$J$2:$J2880=A1329)))"),"petani")</f>
        <v>petani</v>
      </c>
    </row>
    <row r="1330" hidden="1">
      <c r="C1330" s="40" t="str">
        <f>IFERROR(__xludf.DUMMYFUNCTION("TEXTJOIN("", "",TRUE,UNIQUE(FILTER('Data Master'!$B$2:$B2880,'Data Master'!$J$2:$J2880=A1330)))"),"petani")</f>
        <v>petani</v>
      </c>
    </row>
    <row r="1331" hidden="1">
      <c r="C1331" s="40" t="str">
        <f>IFERROR(__xludf.DUMMYFUNCTION("TEXTJOIN("", "",TRUE,UNIQUE(FILTER('Data Master'!$B$2:$B2880,'Data Master'!$J$2:$J2880=A1331)))"),"petani")</f>
        <v>petani</v>
      </c>
    </row>
    <row r="1332" hidden="1">
      <c r="C1332" s="40" t="str">
        <f>IFERROR(__xludf.DUMMYFUNCTION("TEXTJOIN("", "",TRUE,UNIQUE(FILTER('Data Master'!$B$2:$B2880,'Data Master'!$J$2:$J2880=A1332)))"),"petani")</f>
        <v>petani</v>
      </c>
    </row>
    <row r="1333" hidden="1">
      <c r="C1333" s="40" t="str">
        <f>IFERROR(__xludf.DUMMYFUNCTION("TEXTJOIN("", "",TRUE,UNIQUE(FILTER('Data Master'!$B$2:$B2880,'Data Master'!$J$2:$J2880=A1333)))"),"petani")</f>
        <v>petani</v>
      </c>
    </row>
    <row r="1334" hidden="1">
      <c r="C1334" s="40" t="str">
        <f>IFERROR(__xludf.DUMMYFUNCTION("TEXTJOIN("", "",TRUE,UNIQUE(FILTER('Data Master'!$B$2:$B2880,'Data Master'!$J$2:$J2880=A1334)))"),"petani")</f>
        <v>petani</v>
      </c>
    </row>
    <row r="1335" hidden="1">
      <c r="C1335" s="40" t="str">
        <f>IFERROR(__xludf.DUMMYFUNCTION("TEXTJOIN("", "",TRUE,UNIQUE(FILTER('Data Master'!$B$2:$B2880,'Data Master'!$J$2:$J2880=A1335)))"),"petani")</f>
        <v>petani</v>
      </c>
    </row>
    <row r="1336" hidden="1">
      <c r="C1336" s="40" t="str">
        <f>IFERROR(__xludf.DUMMYFUNCTION("TEXTJOIN("", "",TRUE,UNIQUE(FILTER('Data Master'!$B$2:$B2880,'Data Master'!$J$2:$J2880=A1336)))"),"petani")</f>
        <v>petani</v>
      </c>
    </row>
    <row r="1337" hidden="1">
      <c r="C1337" s="40" t="str">
        <f>IFERROR(__xludf.DUMMYFUNCTION("TEXTJOIN("", "",TRUE,UNIQUE(FILTER('Data Master'!$B$2:$B2880,'Data Master'!$J$2:$J2880=A1337)))"),"petani")</f>
        <v>petani</v>
      </c>
    </row>
    <row r="1338" hidden="1">
      <c r="C1338" s="40" t="str">
        <f>IFERROR(__xludf.DUMMYFUNCTION("TEXTJOIN("", "",TRUE,UNIQUE(FILTER('Data Master'!$B$2:$B2880,'Data Master'!$J$2:$J2880=A1338)))"),"petani")</f>
        <v>petani</v>
      </c>
    </row>
    <row r="1339" hidden="1">
      <c r="C1339" s="40" t="str">
        <f>IFERROR(__xludf.DUMMYFUNCTION("TEXTJOIN("", "",TRUE,UNIQUE(FILTER('Data Master'!$B$2:$B2880,'Data Master'!$J$2:$J2880=A1339)))"),"petani")</f>
        <v>petani</v>
      </c>
    </row>
    <row r="1340" hidden="1">
      <c r="C1340" s="40" t="str">
        <f>IFERROR(__xludf.DUMMYFUNCTION("TEXTJOIN("", "",TRUE,UNIQUE(FILTER('Data Master'!$B$2:$B2880,'Data Master'!$J$2:$J2880=A1340)))"),"petani")</f>
        <v>petani</v>
      </c>
    </row>
    <row r="1341" hidden="1">
      <c r="C1341" s="40" t="str">
        <f>IFERROR(__xludf.DUMMYFUNCTION("TEXTJOIN("", "",TRUE,UNIQUE(FILTER('Data Master'!$B$2:$B2880,'Data Master'!$J$2:$J2880=A1341)))"),"petani")</f>
        <v>petani</v>
      </c>
    </row>
    <row r="1342" hidden="1">
      <c r="C1342" s="40" t="str">
        <f>IFERROR(__xludf.DUMMYFUNCTION("TEXTJOIN("", "",TRUE,UNIQUE(FILTER('Data Master'!$B$2:$B2880,'Data Master'!$J$2:$J2880=A1342)))"),"petani")</f>
        <v>petani</v>
      </c>
    </row>
    <row r="1343" hidden="1">
      <c r="C1343" s="40" t="str">
        <f>IFERROR(__xludf.DUMMYFUNCTION("TEXTJOIN("", "",TRUE,UNIQUE(FILTER('Data Master'!$B$2:$B2880,'Data Master'!$J$2:$J2880=A1343)))"),"petani")</f>
        <v>petani</v>
      </c>
    </row>
    <row r="1344" hidden="1">
      <c r="C1344" s="40" t="str">
        <f>IFERROR(__xludf.DUMMYFUNCTION("TEXTJOIN("", "",TRUE,UNIQUE(FILTER('Data Master'!$B$2:$B2880,'Data Master'!$J$2:$J2880=A1344)))"),"petani")</f>
        <v>petani</v>
      </c>
    </row>
    <row r="1345" hidden="1">
      <c r="C1345" s="40" t="str">
        <f>IFERROR(__xludf.DUMMYFUNCTION("TEXTJOIN("", "",TRUE,UNIQUE(FILTER('Data Master'!$B$2:$B2880,'Data Master'!$J$2:$J2880=A1345)))"),"petani")</f>
        <v>petani</v>
      </c>
    </row>
    <row r="1346" hidden="1">
      <c r="C1346" s="40" t="str">
        <f>IFERROR(__xludf.DUMMYFUNCTION("TEXTJOIN("", "",TRUE,UNIQUE(FILTER('Data Master'!$B$2:$B2880,'Data Master'!$J$2:$J2880=A1346)))"),"petani")</f>
        <v>petani</v>
      </c>
    </row>
    <row r="1347" hidden="1">
      <c r="C1347" s="40" t="str">
        <f>IFERROR(__xludf.DUMMYFUNCTION("TEXTJOIN("", "",TRUE,UNIQUE(FILTER('Data Master'!$B$2:$B2880,'Data Master'!$J$2:$J2880=A1347)))"),"petani")</f>
        <v>petani</v>
      </c>
    </row>
    <row r="1348" hidden="1">
      <c r="C1348" s="40" t="str">
        <f>IFERROR(__xludf.DUMMYFUNCTION("TEXTJOIN("", "",TRUE,UNIQUE(FILTER('Data Master'!$B$2:$B2880,'Data Master'!$J$2:$J2880=A1348)))"),"petani")</f>
        <v>petani</v>
      </c>
    </row>
    <row r="1349" hidden="1">
      <c r="C1349" s="40" t="str">
        <f>IFERROR(__xludf.DUMMYFUNCTION("TEXTJOIN("", "",TRUE,UNIQUE(FILTER('Data Master'!$B$2:$B2880,'Data Master'!$J$2:$J2880=A1349)))"),"petani")</f>
        <v>petani</v>
      </c>
    </row>
    <row r="1350" hidden="1">
      <c r="C1350" s="40" t="str">
        <f>IFERROR(__xludf.DUMMYFUNCTION("TEXTJOIN("", "",TRUE,UNIQUE(FILTER('Data Master'!$B$2:$B2880,'Data Master'!$J$2:$J2880=A1350)))"),"petani")</f>
        <v>petani</v>
      </c>
    </row>
    <row r="1351" hidden="1">
      <c r="C1351" s="40" t="str">
        <f>IFERROR(__xludf.DUMMYFUNCTION("TEXTJOIN("", "",TRUE,UNIQUE(FILTER('Data Master'!$B$2:$B2880,'Data Master'!$J$2:$J2880=A1351)))"),"petani")</f>
        <v>petani</v>
      </c>
    </row>
    <row r="1352" hidden="1">
      <c r="C1352" s="40" t="str">
        <f>IFERROR(__xludf.DUMMYFUNCTION("TEXTJOIN("", "",TRUE,UNIQUE(FILTER('Data Master'!$B$2:$B2880,'Data Master'!$J$2:$J2880=A1352)))"),"petani")</f>
        <v>petani</v>
      </c>
    </row>
    <row r="1353" hidden="1">
      <c r="C1353" s="40" t="str">
        <f>IFERROR(__xludf.DUMMYFUNCTION("TEXTJOIN("", "",TRUE,UNIQUE(FILTER('Data Master'!$B$2:$B2880,'Data Master'!$J$2:$J2880=A1353)))"),"petani")</f>
        <v>petani</v>
      </c>
    </row>
    <row r="1354" hidden="1">
      <c r="C1354" s="40" t="str">
        <f>IFERROR(__xludf.DUMMYFUNCTION("TEXTJOIN("", "",TRUE,UNIQUE(FILTER('Data Master'!$B$2:$B2880,'Data Master'!$J$2:$J2880=A1354)))"),"petani")</f>
        <v>petani</v>
      </c>
    </row>
    <row r="1355" hidden="1">
      <c r="C1355" s="40" t="str">
        <f>IFERROR(__xludf.DUMMYFUNCTION("TEXTJOIN("", "",TRUE,UNIQUE(FILTER('Data Master'!$B$2:$B2880,'Data Master'!$J$2:$J2880=A1355)))"),"petani")</f>
        <v>petani</v>
      </c>
    </row>
    <row r="1356" hidden="1">
      <c r="C1356" s="40" t="str">
        <f>IFERROR(__xludf.DUMMYFUNCTION("TEXTJOIN("", "",TRUE,UNIQUE(FILTER('Data Master'!$B$2:$B2880,'Data Master'!$J$2:$J2880=A1356)))"),"petani")</f>
        <v>petani</v>
      </c>
    </row>
    <row r="1357" hidden="1">
      <c r="C1357" s="40" t="str">
        <f>IFERROR(__xludf.DUMMYFUNCTION("TEXTJOIN("", "",TRUE,UNIQUE(FILTER('Data Master'!$B$2:$B2880,'Data Master'!$J$2:$J2880=A1357)))"),"petani")</f>
        <v>petani</v>
      </c>
    </row>
    <row r="1358" hidden="1">
      <c r="C1358" s="40" t="str">
        <f>IFERROR(__xludf.DUMMYFUNCTION("TEXTJOIN("", "",TRUE,UNIQUE(FILTER('Data Master'!$B$2:$B2880,'Data Master'!$J$2:$J2880=A1358)))"),"petani")</f>
        <v>petani</v>
      </c>
    </row>
    <row r="1359" hidden="1">
      <c r="C1359" s="40" t="str">
        <f>IFERROR(__xludf.DUMMYFUNCTION("TEXTJOIN("", "",TRUE,UNIQUE(FILTER('Data Master'!$B$2:$B2880,'Data Master'!$J$2:$J2880=A1359)))"),"petani")</f>
        <v>petani</v>
      </c>
    </row>
    <row r="1360" hidden="1">
      <c r="C1360" s="40" t="str">
        <f>IFERROR(__xludf.DUMMYFUNCTION("TEXTJOIN("", "",TRUE,UNIQUE(FILTER('Data Master'!$B$2:$B2880,'Data Master'!$J$2:$J2880=A1360)))"),"petani")</f>
        <v>petani</v>
      </c>
    </row>
    <row r="1361" hidden="1">
      <c r="C1361" s="40" t="str">
        <f>IFERROR(__xludf.DUMMYFUNCTION("TEXTJOIN("", "",TRUE,UNIQUE(FILTER('Data Master'!$B$2:$B2880,'Data Master'!$J$2:$J2880=A1361)))"),"petani")</f>
        <v>petani</v>
      </c>
    </row>
    <row r="1362" hidden="1">
      <c r="C1362" s="40" t="str">
        <f>IFERROR(__xludf.DUMMYFUNCTION("TEXTJOIN("", "",TRUE,UNIQUE(FILTER('Data Master'!$B$2:$B2880,'Data Master'!$J$2:$J2880=A1362)))"),"petani")</f>
        <v>petani</v>
      </c>
    </row>
    <row r="1363" hidden="1">
      <c r="C1363" s="40" t="str">
        <f>IFERROR(__xludf.DUMMYFUNCTION("TEXTJOIN("", "",TRUE,UNIQUE(FILTER('Data Master'!$B$2:$B2880,'Data Master'!$J$2:$J2880=A1363)))"),"petani")</f>
        <v>petani</v>
      </c>
    </row>
    <row r="1364" hidden="1">
      <c r="C1364" s="40" t="str">
        <f>IFERROR(__xludf.DUMMYFUNCTION("TEXTJOIN("", "",TRUE,UNIQUE(FILTER('Data Master'!$B$2:$B2880,'Data Master'!$J$2:$J2880=A1364)))"),"petani")</f>
        <v>petani</v>
      </c>
    </row>
    <row r="1365" hidden="1">
      <c r="C1365" s="40" t="str">
        <f>IFERROR(__xludf.DUMMYFUNCTION("TEXTJOIN("", "",TRUE,UNIQUE(FILTER('Data Master'!$B$2:$B2880,'Data Master'!$J$2:$J2880=A1365)))"),"petani")</f>
        <v>petani</v>
      </c>
    </row>
    <row r="1366" hidden="1">
      <c r="C1366" s="40" t="str">
        <f>IFERROR(__xludf.DUMMYFUNCTION("TEXTJOIN("", "",TRUE,UNIQUE(FILTER('Data Master'!$B$2:$B2880,'Data Master'!$J$2:$J2880=A1366)))"),"petani")</f>
        <v>petani</v>
      </c>
    </row>
    <row r="1367" hidden="1">
      <c r="C1367" s="40" t="str">
        <f>IFERROR(__xludf.DUMMYFUNCTION("TEXTJOIN("", "",TRUE,UNIQUE(FILTER('Data Master'!$B$2:$B2880,'Data Master'!$J$2:$J2880=A1367)))"),"petani")</f>
        <v>petani</v>
      </c>
    </row>
    <row r="1368" hidden="1">
      <c r="C1368" s="40" t="str">
        <f>IFERROR(__xludf.DUMMYFUNCTION("TEXTJOIN("", "",TRUE,UNIQUE(FILTER('Data Master'!$B$2:$B2880,'Data Master'!$J$2:$J2880=A1368)))"),"petani")</f>
        <v>petani</v>
      </c>
    </row>
    <row r="1369" hidden="1">
      <c r="C1369" s="40" t="str">
        <f>IFERROR(__xludf.DUMMYFUNCTION("TEXTJOIN("", "",TRUE,UNIQUE(FILTER('Data Master'!$B$2:$B2880,'Data Master'!$J$2:$J2880=A1369)))"),"petani")</f>
        <v>petani</v>
      </c>
    </row>
    <row r="1370" hidden="1">
      <c r="C1370" s="40" t="str">
        <f>IFERROR(__xludf.DUMMYFUNCTION("TEXTJOIN("", "",TRUE,UNIQUE(FILTER('Data Master'!$B$2:$B2880,'Data Master'!$J$2:$J2880=A1370)))"),"petani")</f>
        <v>petani</v>
      </c>
    </row>
    <row r="1371" hidden="1">
      <c r="C1371" s="40" t="str">
        <f>IFERROR(__xludf.DUMMYFUNCTION("TEXTJOIN("", "",TRUE,UNIQUE(FILTER('Data Master'!$B$2:$B2880,'Data Master'!$J$2:$J2880=A1371)))"),"petani")</f>
        <v>petani</v>
      </c>
    </row>
    <row r="1372" hidden="1">
      <c r="C1372" s="40" t="str">
        <f>IFERROR(__xludf.DUMMYFUNCTION("TEXTJOIN("", "",TRUE,UNIQUE(FILTER('Data Master'!$B$2:$B2880,'Data Master'!$J$2:$J2880=A1372)))"),"petani")</f>
        <v>petani</v>
      </c>
    </row>
    <row r="1373" hidden="1">
      <c r="C1373" s="40" t="str">
        <f>IFERROR(__xludf.DUMMYFUNCTION("TEXTJOIN("", "",TRUE,UNIQUE(FILTER('Data Master'!$B$2:$B2880,'Data Master'!$J$2:$J2880=A1373)))"),"petani")</f>
        <v>petani</v>
      </c>
    </row>
    <row r="1374" hidden="1">
      <c r="C1374" s="40" t="str">
        <f>IFERROR(__xludf.DUMMYFUNCTION("TEXTJOIN("", "",TRUE,UNIQUE(FILTER('Data Master'!$B$2:$B2880,'Data Master'!$J$2:$J2880=A1374)))"),"petani")</f>
        <v>petani</v>
      </c>
    </row>
    <row r="1375" hidden="1">
      <c r="C1375" s="40" t="str">
        <f>IFERROR(__xludf.DUMMYFUNCTION("TEXTJOIN("", "",TRUE,UNIQUE(FILTER('Data Master'!$B$2:$B2880,'Data Master'!$J$2:$J2880=A1375)))"),"petani")</f>
        <v>petani</v>
      </c>
    </row>
    <row r="1376" hidden="1">
      <c r="C1376" s="40" t="str">
        <f>IFERROR(__xludf.DUMMYFUNCTION("TEXTJOIN("", "",TRUE,UNIQUE(FILTER('Data Master'!$B$2:$B2880,'Data Master'!$J$2:$J2880=A1376)))"),"petani")</f>
        <v>petani</v>
      </c>
    </row>
    <row r="1377" hidden="1">
      <c r="C1377" s="40" t="str">
        <f>IFERROR(__xludf.DUMMYFUNCTION("TEXTJOIN("", "",TRUE,UNIQUE(FILTER('Data Master'!$B$2:$B2880,'Data Master'!$J$2:$J2880=A1377)))"),"petani")</f>
        <v>petani</v>
      </c>
    </row>
    <row r="1378">
      <c r="C1378" s="43" t="str">
        <f>IFERROR(__xludf.DUMMYFUNCTION("TEXTJOIN("", "",TRUE,UNIQUE(FILTER('Data Master'!$B$2:$B2880,'Data Master'!$J$2:$J2880=A1378)))"),"operator admin")</f>
        <v>operator admin</v>
      </c>
    </row>
    <row r="1379" hidden="1">
      <c r="C1379" s="40" t="str">
        <f>IFERROR(__xludf.DUMMYFUNCTION("TEXTJOIN("", "",TRUE,UNIQUE(FILTER('Data Master'!$B$2:$B2880,'Data Master'!$J$2:$J2880=A1379)))"),"petani")</f>
        <v>petani</v>
      </c>
    </row>
    <row r="1380" hidden="1">
      <c r="C1380" s="40" t="str">
        <f>IFERROR(__xludf.DUMMYFUNCTION("TEXTJOIN("", "",TRUE,UNIQUE(FILTER('Data Master'!$B$2:$B2880,'Data Master'!$J$2:$J2880=A1380)))"),"petani")</f>
        <v>petani</v>
      </c>
    </row>
    <row r="1381" hidden="1">
      <c r="C1381" s="40" t="str">
        <f>IFERROR(__xludf.DUMMYFUNCTION("TEXTJOIN("", "",TRUE,UNIQUE(FILTER('Data Master'!$B$2:$B2880,'Data Master'!$J$2:$J2880=A1381)))"),"petani")</f>
        <v>petani</v>
      </c>
    </row>
    <row r="1382">
      <c r="C1382" s="43" t="str">
        <f>IFERROR(__xludf.DUMMYFUNCTION("TEXTJOIN("", "",TRUE,UNIQUE(FILTER('Data Master'!$B$2:$B2880,'Data Master'!$J$2:$J2880=A1382)))"),"operator admin, penyuluh, petani")</f>
        <v>operator admin, penyuluh, petani</v>
      </c>
    </row>
    <row r="1383" hidden="1">
      <c r="C1383" s="40" t="str">
        <f>IFERROR(__xludf.DUMMYFUNCTION("TEXTJOIN("", "",TRUE,UNIQUE(FILTER('Data Master'!$B$2:$B2880,'Data Master'!$J$2:$J2880=A1383)))"),"petani")</f>
        <v>petani</v>
      </c>
    </row>
    <row r="1384" hidden="1">
      <c r="C1384" s="40" t="str">
        <f>IFERROR(__xludf.DUMMYFUNCTION("TEXTJOIN("", "",TRUE,UNIQUE(FILTER('Data Master'!$B$2:$B2880,'Data Master'!$J$2:$J2880=A1384)))"),"petani")</f>
        <v>petani</v>
      </c>
    </row>
    <row r="1385" hidden="1">
      <c r="C1385" s="40" t="str">
        <f>IFERROR(__xludf.DUMMYFUNCTION("TEXTJOIN("", "",TRUE,UNIQUE(FILTER('Data Master'!$B$2:$B2880,'Data Master'!$J$2:$J2880=A1385)))"),"petani")</f>
        <v>petani</v>
      </c>
    </row>
    <row r="1386" hidden="1">
      <c r="C1386" s="40" t="str">
        <f>IFERROR(__xludf.DUMMYFUNCTION("TEXTJOIN("", "",TRUE,UNIQUE(FILTER('Data Master'!$B$2:$B2880,'Data Master'!$J$2:$J2880=A1386)))"),"petani")</f>
        <v>petani</v>
      </c>
    </row>
    <row r="1387" hidden="1">
      <c r="C1387" s="40" t="str">
        <f>IFERROR(__xludf.DUMMYFUNCTION("TEXTJOIN("", "",TRUE,UNIQUE(FILTER('Data Master'!$B$2:$B2880,'Data Master'!$J$2:$J2880=A1387)))"),"petani")</f>
        <v>petani</v>
      </c>
    </row>
    <row r="1388" hidden="1">
      <c r="C1388" s="40" t="str">
        <f>IFERROR(__xludf.DUMMYFUNCTION("TEXTJOIN("", "",TRUE,UNIQUE(FILTER('Data Master'!$B$2:$B2880,'Data Master'!$J$2:$J2880=A1388)))"),"petani")</f>
        <v>petani</v>
      </c>
    </row>
    <row r="1389" hidden="1">
      <c r="C1389" s="40" t="str">
        <f>IFERROR(__xludf.DUMMYFUNCTION("TEXTJOIN("", "",TRUE,UNIQUE(FILTER('Data Master'!$B$2:$B2880,'Data Master'!$J$2:$J2880=A1389)))"),"petani")</f>
        <v>petani</v>
      </c>
    </row>
    <row r="1390" hidden="1">
      <c r="C1390" s="40" t="str">
        <f>IFERROR(__xludf.DUMMYFUNCTION("TEXTJOIN("", "",TRUE,UNIQUE(FILTER('Data Master'!$B$2:$B2880,'Data Master'!$J$2:$J2880=A1390)))"),"petani")</f>
        <v>petani</v>
      </c>
    </row>
    <row r="1391" hidden="1">
      <c r="C1391" s="40" t="str">
        <f>IFERROR(__xludf.DUMMYFUNCTION("TEXTJOIN("", "",TRUE,UNIQUE(FILTER('Data Master'!$B$2:$B2880,'Data Master'!$J$2:$J2880=A1391)))"),"petani")</f>
        <v>petani</v>
      </c>
    </row>
    <row r="1392" hidden="1">
      <c r="C1392" s="40" t="str">
        <f>IFERROR(__xludf.DUMMYFUNCTION("TEXTJOIN("", "",TRUE,UNIQUE(FILTER('Data Master'!$B$2:$B2880,'Data Master'!$J$2:$J2880=A1392)))"),"petani")</f>
        <v>petani</v>
      </c>
    </row>
    <row r="1393" hidden="1">
      <c r="C1393" s="40" t="str">
        <f>IFERROR(__xludf.DUMMYFUNCTION("TEXTJOIN("", "",TRUE,UNIQUE(FILTER('Data Master'!$B$2:$B2880,'Data Master'!$J$2:$J2880=A1393)))"),"petani")</f>
        <v>petani</v>
      </c>
    </row>
    <row r="1394" hidden="1">
      <c r="C1394" s="40" t="str">
        <f>IFERROR(__xludf.DUMMYFUNCTION("TEXTJOIN("", "",TRUE,UNIQUE(FILTER('Data Master'!$B$2:$B2880,'Data Master'!$J$2:$J2880=A1394)))"),"petani")</f>
        <v>petani</v>
      </c>
    </row>
    <row r="1395" hidden="1">
      <c r="C1395" s="40" t="str">
        <f>IFERROR(__xludf.DUMMYFUNCTION("TEXTJOIN("", "",TRUE,UNIQUE(FILTER('Data Master'!$B$2:$B2880,'Data Master'!$J$2:$J2880=A1395)))"),"petani")</f>
        <v>petani</v>
      </c>
    </row>
    <row r="1396" hidden="1">
      <c r="C1396" s="40" t="str">
        <f>IFERROR(__xludf.DUMMYFUNCTION("TEXTJOIN("", "",TRUE,UNIQUE(FILTER('Data Master'!$B$2:$B2880,'Data Master'!$J$2:$J2880=A1396)))"),"petani")</f>
        <v>petani</v>
      </c>
    </row>
    <row r="1397" hidden="1">
      <c r="C1397" s="40" t="str">
        <f>IFERROR(__xludf.DUMMYFUNCTION("TEXTJOIN("", "",TRUE,UNIQUE(FILTER('Data Master'!$B$2:$B2880,'Data Master'!$J$2:$J2880=A1397)))"),"petani")</f>
        <v>petani</v>
      </c>
    </row>
    <row r="1398" hidden="1">
      <c r="C1398" s="40" t="str">
        <f>IFERROR(__xludf.DUMMYFUNCTION("TEXTJOIN("", "",TRUE,UNIQUE(FILTER('Data Master'!$B$2:$B2880,'Data Master'!$J$2:$J2880=A1398)))"),"petani")</f>
        <v>petani</v>
      </c>
    </row>
    <row r="1399" hidden="1">
      <c r="C1399" s="40" t="str">
        <f>IFERROR(__xludf.DUMMYFUNCTION("TEXTJOIN("", "",TRUE,UNIQUE(FILTER('Data Master'!$B$2:$B2880,'Data Master'!$J$2:$J2880=A1399)))"),"petani")</f>
        <v>petani</v>
      </c>
    </row>
    <row r="1400" hidden="1">
      <c r="C1400" s="40" t="str">
        <f>IFERROR(__xludf.DUMMYFUNCTION("TEXTJOIN("", "",TRUE,UNIQUE(FILTER('Data Master'!$B$2:$B2880,'Data Master'!$J$2:$J2880=A1400)))"),"petani")</f>
        <v>petani</v>
      </c>
    </row>
    <row r="1401" hidden="1">
      <c r="C1401" s="40" t="str">
        <f>IFERROR(__xludf.DUMMYFUNCTION("TEXTJOIN("", "",TRUE,UNIQUE(FILTER('Data Master'!$B$2:$B2880,'Data Master'!$J$2:$J2880=A1401)))"),"petani")</f>
        <v>petani</v>
      </c>
    </row>
    <row r="1402" hidden="1">
      <c r="C1402" s="40" t="str">
        <f>IFERROR(__xludf.DUMMYFUNCTION("TEXTJOIN("", "",TRUE,UNIQUE(FILTER('Data Master'!$B$2:$B2880,'Data Master'!$J$2:$J2880=A1402)))"),"petani")</f>
        <v>petani</v>
      </c>
    </row>
    <row r="1403" hidden="1">
      <c r="C1403" s="40" t="str">
        <f>IFERROR(__xludf.DUMMYFUNCTION("TEXTJOIN("", "",TRUE,UNIQUE(FILTER('Data Master'!$B$2:$B2880,'Data Master'!$J$2:$J2880=A1403)))"),"petani")</f>
        <v>petani</v>
      </c>
    </row>
    <row r="1404" hidden="1">
      <c r="C1404" s="40" t="str">
        <f>IFERROR(__xludf.DUMMYFUNCTION("TEXTJOIN("", "",TRUE,UNIQUE(FILTER('Data Master'!$B$2:$B2880,'Data Master'!$J$2:$J2880=A1404)))"),"petani")</f>
        <v>petani</v>
      </c>
    </row>
    <row r="1405" hidden="1">
      <c r="C1405" s="40" t="str">
        <f>IFERROR(__xludf.DUMMYFUNCTION("TEXTJOIN("", "",TRUE,UNIQUE(FILTER('Data Master'!$B$2:$B2880,'Data Master'!$J$2:$J2880=A1405)))"),"petani")</f>
        <v>petani</v>
      </c>
    </row>
    <row r="1406" hidden="1">
      <c r="C1406" s="40" t="str">
        <f>IFERROR(__xludf.DUMMYFUNCTION("TEXTJOIN("", "",TRUE,UNIQUE(FILTER('Data Master'!$B$2:$B2880,'Data Master'!$J$2:$J2880=A1406)))"),"petani")</f>
        <v>petani</v>
      </c>
    </row>
    <row r="1407" hidden="1">
      <c r="C1407" s="40" t="str">
        <f>IFERROR(__xludf.DUMMYFUNCTION("TEXTJOIN("", "",TRUE,UNIQUE(FILTER('Data Master'!$B$2:$B2880,'Data Master'!$J$2:$J2880=A1407)))"),"petani")</f>
        <v>petani</v>
      </c>
    </row>
    <row r="1408" hidden="1">
      <c r="C1408" s="40" t="str">
        <f>IFERROR(__xludf.DUMMYFUNCTION("TEXTJOIN("", "",TRUE,UNIQUE(FILTER('Data Master'!$B$2:$B2880,'Data Master'!$J$2:$J2880=A1408)))"),"petani")</f>
        <v>petani</v>
      </c>
    </row>
    <row r="1409" hidden="1">
      <c r="C1409" s="40" t="str">
        <f>IFERROR(__xludf.DUMMYFUNCTION("TEXTJOIN("", "",TRUE,UNIQUE(FILTER('Data Master'!$B$2:$B2880,'Data Master'!$J$2:$J2880=A1409)))"),"petani")</f>
        <v>petani</v>
      </c>
    </row>
    <row r="1410" hidden="1">
      <c r="C1410" s="40" t="str">
        <f>IFERROR(__xludf.DUMMYFUNCTION("TEXTJOIN("", "",TRUE,UNIQUE(FILTER('Data Master'!$B$2:$B2880,'Data Master'!$J$2:$J2880=A1410)))"),"petani")</f>
        <v>petani</v>
      </c>
    </row>
    <row r="1411" hidden="1">
      <c r="C1411" s="40" t="str">
        <f>IFERROR(__xludf.DUMMYFUNCTION("TEXTJOIN("", "",TRUE,UNIQUE(FILTER('Data Master'!$B$2:$B2880,'Data Master'!$J$2:$J2880=A1411)))"),"petani")</f>
        <v>petani</v>
      </c>
    </row>
    <row r="1412" hidden="1">
      <c r="C1412" s="40" t="str">
        <f>IFERROR(__xludf.DUMMYFUNCTION("TEXTJOIN("", "",TRUE,UNIQUE(FILTER('Data Master'!$B$2:$B2880,'Data Master'!$J$2:$J2880=A1412)))"),"petani")</f>
        <v>petani</v>
      </c>
    </row>
    <row r="1413" hidden="1">
      <c r="C1413" s="40" t="str">
        <f>IFERROR(__xludf.DUMMYFUNCTION("TEXTJOIN("", "",TRUE,UNIQUE(FILTER('Data Master'!$B$2:$B2880,'Data Master'!$J$2:$J2880=A1413)))"),"petani")</f>
        <v>petani</v>
      </c>
    </row>
    <row r="1414" hidden="1">
      <c r="C1414" s="40" t="str">
        <f>IFERROR(__xludf.DUMMYFUNCTION("TEXTJOIN("", "",TRUE,UNIQUE(FILTER('Data Master'!$B$2:$B2880,'Data Master'!$J$2:$J2880=A1414)))"),"petani")</f>
        <v>petani</v>
      </c>
    </row>
    <row r="1415" hidden="1">
      <c r="C1415" s="40" t="str">
        <f>IFERROR(__xludf.DUMMYFUNCTION("TEXTJOIN("", "",TRUE,UNIQUE(FILTER('Data Master'!$B$2:$B2880,'Data Master'!$J$2:$J2880=A1415)))"),"petani")</f>
        <v>petani</v>
      </c>
    </row>
    <row r="1416" hidden="1">
      <c r="C1416" s="40" t="str">
        <f>IFERROR(__xludf.DUMMYFUNCTION("TEXTJOIN("", "",TRUE,UNIQUE(FILTER('Data Master'!$B$2:$B2880,'Data Master'!$J$2:$J2880=A1416)))"),"petani")</f>
        <v>petani</v>
      </c>
    </row>
    <row r="1417" hidden="1">
      <c r="C1417" s="40" t="str">
        <f>IFERROR(__xludf.DUMMYFUNCTION("TEXTJOIN("", "",TRUE,UNIQUE(FILTER('Data Master'!$B$2:$B2880,'Data Master'!$J$2:$J2880=A1417)))"),"petani")</f>
        <v>petani</v>
      </c>
    </row>
    <row r="1418" hidden="1">
      <c r="C1418" s="40" t="str">
        <f>IFERROR(__xludf.DUMMYFUNCTION("TEXTJOIN("", "",TRUE,UNIQUE(FILTER('Data Master'!$B$2:$B2880,'Data Master'!$J$2:$J2880=A1418)))"),"petani")</f>
        <v>petani</v>
      </c>
    </row>
    <row r="1419" hidden="1">
      <c r="C1419" s="40" t="str">
        <f>IFERROR(__xludf.DUMMYFUNCTION("TEXTJOIN("", "",TRUE,UNIQUE(FILTER('Data Master'!$B$2:$B2880,'Data Master'!$J$2:$J2880=A1419)))"),"petani")</f>
        <v>petani</v>
      </c>
    </row>
    <row r="1420" hidden="1">
      <c r="C1420" s="40" t="str">
        <f>IFERROR(__xludf.DUMMYFUNCTION("TEXTJOIN("", "",TRUE,UNIQUE(FILTER('Data Master'!$B$2:$B2880,'Data Master'!$J$2:$J2880=A1420)))"),"petani")</f>
        <v>petani</v>
      </c>
    </row>
    <row r="1421" hidden="1">
      <c r="C1421" s="40" t="str">
        <f>IFERROR(__xludf.DUMMYFUNCTION("TEXTJOIN("", "",TRUE,UNIQUE(FILTER('Data Master'!$B$2:$B2880,'Data Master'!$J$2:$J2880=A1421)))"),"petani")</f>
        <v>petani</v>
      </c>
    </row>
    <row r="1422" hidden="1">
      <c r="C1422" s="40" t="str">
        <f>IFERROR(__xludf.DUMMYFUNCTION("TEXTJOIN("", "",TRUE,UNIQUE(FILTER('Data Master'!$B$2:$B2880,'Data Master'!$J$2:$J2880=A1422)))"),"petani")</f>
        <v>petani</v>
      </c>
    </row>
    <row r="1423" hidden="1">
      <c r="C1423" s="40" t="str">
        <f>IFERROR(__xludf.DUMMYFUNCTION("TEXTJOIN("", "",TRUE,UNIQUE(FILTER('Data Master'!$B$2:$B2880,'Data Master'!$J$2:$J2880=A1423)))"),"petani")</f>
        <v>petani</v>
      </c>
    </row>
    <row r="1424" hidden="1">
      <c r="C1424" s="40" t="str">
        <f>IFERROR(__xludf.DUMMYFUNCTION("TEXTJOIN("", "",TRUE,UNIQUE(FILTER('Data Master'!$B$2:$B2880,'Data Master'!$J$2:$J2880=A1424)))"),"petani")</f>
        <v>petani</v>
      </c>
    </row>
    <row r="1425" hidden="1">
      <c r="C1425" s="40" t="str">
        <f>IFERROR(__xludf.DUMMYFUNCTION("TEXTJOIN("", "",TRUE,UNIQUE(FILTER('Data Master'!$B$2:$B2880,'Data Master'!$J$2:$J2880=A1425)))"),"petani")</f>
        <v>petani</v>
      </c>
    </row>
    <row r="1426" hidden="1">
      <c r="C1426" s="40" t="str">
        <f>IFERROR(__xludf.DUMMYFUNCTION("TEXTJOIN("", "",TRUE,UNIQUE(FILTER('Data Master'!$B$2:$B2880,'Data Master'!$J$2:$J2880=A1426)))"),"petani")</f>
        <v>petani</v>
      </c>
    </row>
    <row r="1427" hidden="1">
      <c r="C1427" s="40" t="str">
        <f>IFERROR(__xludf.DUMMYFUNCTION("TEXTJOIN("", "",TRUE,UNIQUE(FILTER('Data Master'!$B$2:$B2880,'Data Master'!$J$2:$J2880=A1427)))"),"petani")</f>
        <v>petani</v>
      </c>
    </row>
    <row r="1428" hidden="1">
      <c r="C1428" s="40" t="str">
        <f>IFERROR(__xludf.DUMMYFUNCTION("TEXTJOIN("", "",TRUE,UNIQUE(FILTER('Data Master'!$B$2:$B2880,'Data Master'!$J$2:$J2880=A1428)))"),"petani")</f>
        <v>petani</v>
      </c>
    </row>
    <row r="1429" hidden="1">
      <c r="C1429" s="40" t="str">
        <f>IFERROR(__xludf.DUMMYFUNCTION("TEXTJOIN("", "",TRUE,UNIQUE(FILTER('Data Master'!$B$2:$B2880,'Data Master'!$J$2:$J2880=A1429)))"),"petani")</f>
        <v>petani</v>
      </c>
    </row>
    <row r="1430" hidden="1">
      <c r="C1430" s="40" t="str">
        <f>IFERROR(__xludf.DUMMYFUNCTION("TEXTJOIN("", "",TRUE,UNIQUE(FILTER('Data Master'!$B$2:$B2880,'Data Master'!$J$2:$J2880=A1430)))"),"petani")</f>
        <v>petani</v>
      </c>
    </row>
    <row r="1431" hidden="1">
      <c r="C1431" s="40" t="str">
        <f>IFERROR(__xludf.DUMMYFUNCTION("TEXTJOIN("", "",TRUE,UNIQUE(FILTER('Data Master'!$B$2:$B2880,'Data Master'!$J$2:$J2880=A1431)))"),"petani")</f>
        <v>petani</v>
      </c>
    </row>
    <row r="1432" hidden="1">
      <c r="C1432" s="40" t="str">
        <f>IFERROR(__xludf.DUMMYFUNCTION("TEXTJOIN("", "",TRUE,UNIQUE(FILTER('Data Master'!$B$2:$B2880,'Data Master'!$J$2:$J2880=A1432)))"),"petani")</f>
        <v>petani</v>
      </c>
    </row>
    <row r="1433" hidden="1">
      <c r="C1433" s="40" t="str">
        <f>IFERROR(__xludf.DUMMYFUNCTION("TEXTJOIN("", "",TRUE,UNIQUE(FILTER('Data Master'!$B$2:$B2880,'Data Master'!$J$2:$J2880=A1433)))"),"petani")</f>
        <v>petani</v>
      </c>
    </row>
    <row r="1434" hidden="1">
      <c r="C1434" s="40" t="str">
        <f>IFERROR(__xludf.DUMMYFUNCTION("TEXTJOIN("", "",TRUE,UNIQUE(FILTER('Data Master'!$B$2:$B2880,'Data Master'!$J$2:$J2880=A1434)))"),"petani")</f>
        <v>petani</v>
      </c>
    </row>
    <row r="1435" hidden="1">
      <c r="C1435" s="40" t="str">
        <f>IFERROR(__xludf.DUMMYFUNCTION("TEXTJOIN("", "",TRUE,UNIQUE(FILTER('Data Master'!$B$2:$B2880,'Data Master'!$J$2:$J2880=A1435)))"),"petani")</f>
        <v>petani</v>
      </c>
    </row>
    <row r="1436" hidden="1">
      <c r="C1436" s="40" t="str">
        <f>IFERROR(__xludf.DUMMYFUNCTION("TEXTJOIN("", "",TRUE,UNIQUE(FILTER('Data Master'!$B$2:$B2880,'Data Master'!$J$2:$J2880=A1436)))"),"petani")</f>
        <v>petani</v>
      </c>
    </row>
    <row r="1437" hidden="1">
      <c r="C1437" s="40" t="str">
        <f>IFERROR(__xludf.DUMMYFUNCTION("TEXTJOIN("", "",TRUE,UNIQUE(FILTER('Data Master'!$B$2:$B2880,'Data Master'!$J$2:$J2880=A1437)))"),"petani")</f>
        <v>petani</v>
      </c>
    </row>
    <row r="1438" hidden="1">
      <c r="C1438" s="40" t="str">
        <f>IFERROR(__xludf.DUMMYFUNCTION("TEXTJOIN("", "",TRUE,UNIQUE(FILTER('Data Master'!$B$2:$B2880,'Data Master'!$J$2:$J2880=A1438)))"),"petani")</f>
        <v>petani</v>
      </c>
    </row>
    <row r="1439" hidden="1">
      <c r="C1439" s="40" t="str">
        <f>IFERROR(__xludf.DUMMYFUNCTION("TEXTJOIN("", "",TRUE,UNIQUE(FILTER('Data Master'!$B$2:$B2880,'Data Master'!$J$2:$J2880=A1439)))"),"petani")</f>
        <v>petani</v>
      </c>
    </row>
    <row r="1440" hidden="1">
      <c r="C1440" s="40" t="str">
        <f>IFERROR(__xludf.DUMMYFUNCTION("TEXTJOIN("", "",TRUE,UNIQUE(FILTER('Data Master'!$B$2:$B2880,'Data Master'!$J$2:$J2880=A1440)))"),"petani")</f>
        <v>petani</v>
      </c>
    </row>
    <row r="1441" hidden="1">
      <c r="C1441" s="40" t="str">
        <f>IFERROR(__xludf.DUMMYFUNCTION("TEXTJOIN("", "",TRUE,UNIQUE(FILTER('Data Master'!$B$2:$B2880,'Data Master'!$J$2:$J2880=A1441)))"),"petani")</f>
        <v>petani</v>
      </c>
    </row>
    <row r="1442" hidden="1">
      <c r="C1442" s="40" t="str">
        <f>IFERROR(__xludf.DUMMYFUNCTION("TEXTJOIN("", "",TRUE,UNIQUE(FILTER('Data Master'!$B$2:$B2880,'Data Master'!$J$2:$J2880=A1442)))"),"petani")</f>
        <v>petani</v>
      </c>
    </row>
    <row r="1443" hidden="1">
      <c r="C1443" s="40" t="str">
        <f>IFERROR(__xludf.DUMMYFUNCTION("TEXTJOIN("", "",TRUE,UNIQUE(FILTER('Data Master'!$B$2:$B2880,'Data Master'!$J$2:$J2880=A1443)))"),"petani")</f>
        <v>petani</v>
      </c>
    </row>
    <row r="1444" hidden="1">
      <c r="C1444" s="40" t="str">
        <f>IFERROR(__xludf.DUMMYFUNCTION("TEXTJOIN("", "",TRUE,UNIQUE(FILTER('Data Master'!$B$2:$B2880,'Data Master'!$J$2:$J2880=A1444)))"),"petani")</f>
        <v>petani</v>
      </c>
    </row>
    <row r="1445" hidden="1">
      <c r="C1445" s="40" t="str">
        <f>IFERROR(__xludf.DUMMYFUNCTION("TEXTJOIN("", "",TRUE,UNIQUE(FILTER('Data Master'!$B$2:$B2880,'Data Master'!$J$2:$J2880=A1445)))"),"petani")</f>
        <v>petani</v>
      </c>
    </row>
    <row r="1446" hidden="1">
      <c r="C1446" s="40" t="str">
        <f>IFERROR(__xludf.DUMMYFUNCTION("TEXTJOIN("", "",TRUE,UNIQUE(FILTER('Data Master'!$B$2:$B2880,'Data Master'!$J$2:$J2880=A1446)))"),"petani")</f>
        <v>petani</v>
      </c>
    </row>
    <row r="1447" hidden="1">
      <c r="C1447" s="40" t="str">
        <f>IFERROR(__xludf.DUMMYFUNCTION("TEXTJOIN("", "",TRUE,UNIQUE(FILTER('Data Master'!$B$2:$B2880,'Data Master'!$J$2:$J2880=A1447)))"),"petani")</f>
        <v>petani</v>
      </c>
    </row>
    <row r="1448" hidden="1">
      <c r="C1448" s="40" t="str">
        <f>IFERROR(__xludf.DUMMYFUNCTION("TEXTJOIN("", "",TRUE,UNIQUE(FILTER('Data Master'!$B$2:$B2880,'Data Master'!$J$2:$J2880=A1448)))"),"petani")</f>
        <v>petani</v>
      </c>
    </row>
    <row r="1449" hidden="1">
      <c r="C1449" s="40" t="str">
        <f>IFERROR(__xludf.DUMMYFUNCTION("TEXTJOIN("", "",TRUE,UNIQUE(FILTER('Data Master'!$B$2:$B2880,'Data Master'!$J$2:$J2880=A1449)))"),"petani")</f>
        <v>petani</v>
      </c>
    </row>
    <row r="1450" hidden="1">
      <c r="C1450" s="40" t="str">
        <f>IFERROR(__xludf.DUMMYFUNCTION("TEXTJOIN("", "",TRUE,UNIQUE(FILTER('Data Master'!$B$2:$B2880,'Data Master'!$J$2:$J2880=A1450)))"),"petani")</f>
        <v>petani</v>
      </c>
    </row>
    <row r="1451" hidden="1">
      <c r="C1451" s="40" t="str">
        <f>IFERROR(__xludf.DUMMYFUNCTION("TEXTJOIN("", "",TRUE,UNIQUE(FILTER('Data Master'!$B$2:$B2880,'Data Master'!$J$2:$J2880=A1451)))"),"petani")</f>
        <v>petani</v>
      </c>
    </row>
    <row r="1452" hidden="1">
      <c r="C1452" s="40" t="str">
        <f>IFERROR(__xludf.DUMMYFUNCTION("TEXTJOIN("", "",TRUE,UNIQUE(FILTER('Data Master'!$B$2:$B2880,'Data Master'!$J$2:$J2880=A1452)))"),"petani")</f>
        <v>petani</v>
      </c>
    </row>
    <row r="1453" hidden="1">
      <c r="C1453" s="40" t="str">
        <f>IFERROR(__xludf.DUMMYFUNCTION("TEXTJOIN("", "",TRUE,UNIQUE(FILTER('Data Master'!$B$2:$B2880,'Data Master'!$J$2:$J2880=A1453)))"),"petani")</f>
        <v>petani</v>
      </c>
    </row>
    <row r="1454" hidden="1">
      <c r="C1454" s="40" t="str">
        <f>IFERROR(__xludf.DUMMYFUNCTION("TEXTJOIN("", "",TRUE,UNIQUE(FILTER('Data Master'!$B$2:$B2880,'Data Master'!$J$2:$J2880=A1454)))"),"petani")</f>
        <v>petani</v>
      </c>
    </row>
    <row r="1455" hidden="1">
      <c r="C1455" s="40" t="str">
        <f>IFERROR(__xludf.DUMMYFUNCTION("TEXTJOIN("", "",TRUE,UNIQUE(FILTER('Data Master'!$B$2:$B2880,'Data Master'!$J$2:$J2880=A1455)))"),"petani")</f>
        <v>petani</v>
      </c>
    </row>
    <row r="1456" hidden="1">
      <c r="C1456" s="40" t="str">
        <f>IFERROR(__xludf.DUMMYFUNCTION("TEXTJOIN("", "",TRUE,UNIQUE(FILTER('Data Master'!$B$2:$B2880,'Data Master'!$J$2:$J2880=A1456)))"),"petani")</f>
        <v>petani</v>
      </c>
    </row>
    <row r="1457" hidden="1">
      <c r="C1457" s="40" t="str">
        <f>IFERROR(__xludf.DUMMYFUNCTION("TEXTJOIN("", "",TRUE,UNIQUE(FILTER('Data Master'!$B$2:$B2880,'Data Master'!$J$2:$J2880=A1457)))"),"petani")</f>
        <v>petani</v>
      </c>
    </row>
    <row r="1458" hidden="1">
      <c r="C1458" s="40" t="str">
        <f>IFERROR(__xludf.DUMMYFUNCTION("TEXTJOIN("", "",TRUE,UNIQUE(FILTER('Data Master'!$B$2:$B2880,'Data Master'!$J$2:$J2880=A1458)))"),"petani")</f>
        <v>petani</v>
      </c>
    </row>
    <row r="1459" hidden="1">
      <c r="C1459" s="40" t="str">
        <f>IFERROR(__xludf.DUMMYFUNCTION("TEXTJOIN("", "",TRUE,UNIQUE(FILTER('Data Master'!$B$2:$B2880,'Data Master'!$J$2:$J2880=A1459)))"),"petani")</f>
        <v>petani</v>
      </c>
    </row>
    <row r="1460" hidden="1">
      <c r="C1460" s="40" t="str">
        <f>IFERROR(__xludf.DUMMYFUNCTION("TEXTJOIN("", "",TRUE,UNIQUE(FILTER('Data Master'!$B$2:$B2880,'Data Master'!$J$2:$J2880=A1460)))"),"petani")</f>
        <v>petani</v>
      </c>
    </row>
    <row r="1461" hidden="1">
      <c r="C1461" s="40" t="str">
        <f>IFERROR(__xludf.DUMMYFUNCTION("TEXTJOIN("", "",TRUE,UNIQUE(FILTER('Data Master'!$B$2:$B2880,'Data Master'!$J$2:$J2880=A1461)))"),"petani")</f>
        <v>petani</v>
      </c>
    </row>
    <row r="1462" hidden="1">
      <c r="C1462" s="40" t="str">
        <f>IFERROR(__xludf.DUMMYFUNCTION("TEXTJOIN("", "",TRUE,UNIQUE(FILTER('Data Master'!$B$2:$B2880,'Data Master'!$J$2:$J2880=A1462)))"),"petani")</f>
        <v>petani</v>
      </c>
    </row>
    <row r="1463" hidden="1">
      <c r="C1463" s="40" t="str">
        <f>IFERROR(__xludf.DUMMYFUNCTION("TEXTJOIN("", "",TRUE,UNIQUE(FILTER('Data Master'!$B$2:$B2880,'Data Master'!$J$2:$J2880=A1463)))"),"petani")</f>
        <v>petani</v>
      </c>
    </row>
    <row r="1464" hidden="1">
      <c r="C1464" s="40" t="str">
        <f>IFERROR(__xludf.DUMMYFUNCTION("TEXTJOIN("", "",TRUE,UNIQUE(FILTER('Data Master'!$B$2:$B2880,'Data Master'!$J$2:$J2880=A1464)))"),"petani")</f>
        <v>petani</v>
      </c>
    </row>
    <row r="1465" hidden="1">
      <c r="C1465" s="40" t="str">
        <f>IFERROR(__xludf.DUMMYFUNCTION("TEXTJOIN("", "",TRUE,UNIQUE(FILTER('Data Master'!$B$2:$B2880,'Data Master'!$J$2:$J2880=A1465)))"),"petani")</f>
        <v>petani</v>
      </c>
    </row>
    <row r="1466" hidden="1">
      <c r="C1466" s="40" t="str">
        <f>IFERROR(__xludf.DUMMYFUNCTION("TEXTJOIN("", "",TRUE,UNIQUE(FILTER('Data Master'!$B$2:$B2880,'Data Master'!$J$2:$J2880=A1466)))"),"petani")</f>
        <v>petani</v>
      </c>
    </row>
    <row r="1467" hidden="1">
      <c r="C1467" s="40" t="str">
        <f>IFERROR(__xludf.DUMMYFUNCTION("TEXTJOIN("", "",TRUE,UNIQUE(FILTER('Data Master'!$B$2:$B2880,'Data Master'!$J$2:$J2880=A1467)))"),"petani")</f>
        <v>petani</v>
      </c>
    </row>
    <row r="1468" hidden="1">
      <c r="C1468" s="40" t="str">
        <f>IFERROR(__xludf.DUMMYFUNCTION("TEXTJOIN("", "",TRUE,UNIQUE(FILTER('Data Master'!$B$2:$B2880,'Data Master'!$J$2:$J2880=A1468)))"),"petani")</f>
        <v>petani</v>
      </c>
    </row>
    <row r="1469" hidden="1">
      <c r="C1469" s="40" t="str">
        <f>IFERROR(__xludf.DUMMYFUNCTION("TEXTJOIN("", "",TRUE,UNIQUE(FILTER('Data Master'!$B$2:$B2880,'Data Master'!$J$2:$J2880=A1469)))"),"petani")</f>
        <v>petani</v>
      </c>
    </row>
    <row r="1470" hidden="1">
      <c r="C1470" s="40" t="str">
        <f>IFERROR(__xludf.DUMMYFUNCTION("TEXTJOIN("", "",TRUE,UNIQUE(FILTER('Data Master'!$B$2:$B2880,'Data Master'!$J$2:$J2880=A1470)))"),"operator admin")</f>
        <v>operator admin</v>
      </c>
    </row>
    <row r="1471" hidden="1">
      <c r="C1471" s="40" t="str">
        <f>IFERROR(__xludf.DUMMYFUNCTION("TEXTJOIN("", "",TRUE,UNIQUE(FILTER('Data Master'!$B$2:$B2880,'Data Master'!$J$2:$J2880=A1471)))"),"petani")</f>
        <v>petani</v>
      </c>
    </row>
    <row r="1472" hidden="1">
      <c r="C1472" s="40" t="str">
        <f>IFERROR(__xludf.DUMMYFUNCTION("TEXTJOIN("", "",TRUE,UNIQUE(FILTER('Data Master'!$B$2:$B2880,'Data Master'!$J$2:$J2880=A1472)))"),"petani")</f>
        <v>petani</v>
      </c>
    </row>
    <row r="1473" hidden="1">
      <c r="C1473" s="40" t="str">
        <f>IFERROR(__xludf.DUMMYFUNCTION("TEXTJOIN("", "",TRUE,UNIQUE(FILTER('Data Master'!$B$2:$B2880,'Data Master'!$J$2:$J2880=A1473)))"),"petani")</f>
        <v>petani</v>
      </c>
    </row>
    <row r="1474" hidden="1">
      <c r="C1474" s="40" t="str">
        <f>IFERROR(__xludf.DUMMYFUNCTION("TEXTJOIN("", "",TRUE,UNIQUE(FILTER('Data Master'!$B$2:$B2880,'Data Master'!$J$2:$J2880=A1474)))"),"petani")</f>
        <v>petani</v>
      </c>
    </row>
    <row r="1475" hidden="1">
      <c r="C1475" s="40" t="str">
        <f>IFERROR(__xludf.DUMMYFUNCTION("TEXTJOIN("", "",TRUE,UNIQUE(FILTER('Data Master'!$B$2:$B2880,'Data Master'!$J$2:$J2880=A1475)))"),"petani")</f>
        <v>petani</v>
      </c>
    </row>
    <row r="1476" hidden="1">
      <c r="C1476" s="40" t="str">
        <f>IFERROR(__xludf.DUMMYFUNCTION("TEXTJOIN("", "",TRUE,UNIQUE(FILTER('Data Master'!$B$2:$B2880,'Data Master'!$J$2:$J2880=A1476)))"),"petani")</f>
        <v>petani</v>
      </c>
    </row>
    <row r="1477" hidden="1">
      <c r="C1477" s="40" t="str">
        <f>IFERROR(__xludf.DUMMYFUNCTION("TEXTJOIN("", "",TRUE,UNIQUE(FILTER('Data Master'!$B$2:$B2880,'Data Master'!$J$2:$J2880=A1477)))"),"petani")</f>
        <v>petani</v>
      </c>
    </row>
    <row r="1478" hidden="1">
      <c r="C1478" s="40" t="str">
        <f>IFERROR(__xludf.DUMMYFUNCTION("TEXTJOIN("", "",TRUE,UNIQUE(FILTER('Data Master'!$B$2:$B2880,'Data Master'!$J$2:$J2880=A1478)))"),"petani")</f>
        <v>petani</v>
      </c>
    </row>
    <row r="1479" hidden="1">
      <c r="C1479" s="40" t="str">
        <f>IFERROR(__xludf.DUMMYFUNCTION("TEXTJOIN("", "",TRUE,UNIQUE(FILTER('Data Master'!$B$2:$B2880,'Data Master'!$J$2:$J2880=A1479)))"),"petani")</f>
        <v>petani</v>
      </c>
    </row>
    <row r="1480" hidden="1">
      <c r="C1480" s="40" t="str">
        <f>IFERROR(__xludf.DUMMYFUNCTION("TEXTJOIN("", "",TRUE,UNIQUE(FILTER('Data Master'!$B$2:$B2880,'Data Master'!$J$2:$J2880=A1480)))"),"petani")</f>
        <v>petani</v>
      </c>
    </row>
    <row r="1481" hidden="1">
      <c r="C1481" s="40" t="str">
        <f>IFERROR(__xludf.DUMMYFUNCTION("TEXTJOIN("", "",TRUE,UNIQUE(FILTER('Data Master'!$B$2:$B2880,'Data Master'!$J$2:$J2880=A1481)))"),"petani")</f>
        <v>petani</v>
      </c>
    </row>
    <row r="1482" hidden="1">
      <c r="C1482" s="40" t="str">
        <f>IFERROR(__xludf.DUMMYFUNCTION("TEXTJOIN("", "",TRUE,UNIQUE(FILTER('Data Master'!$B$2:$B2880,'Data Master'!$J$2:$J2880=A1482)))"),"petani")</f>
        <v>petani</v>
      </c>
    </row>
    <row r="1483" hidden="1">
      <c r="C1483" s="40" t="str">
        <f>IFERROR(__xludf.DUMMYFUNCTION("TEXTJOIN("", "",TRUE,UNIQUE(FILTER('Data Master'!$B$2:$B2880,'Data Master'!$J$2:$J2880=A1483)))"),"petani")</f>
        <v>petani</v>
      </c>
    </row>
    <row r="1484" hidden="1">
      <c r="C1484" s="40" t="str">
        <f>IFERROR(__xludf.DUMMYFUNCTION("TEXTJOIN("", "",TRUE,UNIQUE(FILTER('Data Master'!$B$2:$B2880,'Data Master'!$J$2:$J2880=A1484)))"),"petani")</f>
        <v>petani</v>
      </c>
    </row>
    <row r="1485" hidden="1">
      <c r="C1485" s="40" t="str">
        <f>IFERROR(__xludf.DUMMYFUNCTION("TEXTJOIN("", "",TRUE,UNIQUE(FILTER('Data Master'!$B$2:$B2880,'Data Master'!$J$2:$J2880=A1485)))"),"petani")</f>
        <v>petani</v>
      </c>
    </row>
    <row r="1486" hidden="1">
      <c r="C1486" s="40" t="str">
        <f>IFERROR(__xludf.DUMMYFUNCTION("TEXTJOIN("", "",TRUE,UNIQUE(FILTER('Data Master'!$B$2:$B2880,'Data Master'!$J$2:$J2880=A1486)))"),"petani")</f>
        <v>petani</v>
      </c>
    </row>
    <row r="1487" hidden="1">
      <c r="C1487" s="40" t="str">
        <f>IFERROR(__xludf.DUMMYFUNCTION("TEXTJOIN("", "",TRUE,UNIQUE(FILTER('Data Master'!$B$2:$B2880,'Data Master'!$J$2:$J2880=A1487)))"),"petani")</f>
        <v>petani</v>
      </c>
    </row>
    <row r="1488" hidden="1">
      <c r="C1488" s="40" t="str">
        <f>IFERROR(__xludf.DUMMYFUNCTION("TEXTJOIN("", "",TRUE,UNIQUE(FILTER('Data Master'!$B$2:$B2880,'Data Master'!$J$2:$J2880=A1488)))"),"petani")</f>
        <v>petani</v>
      </c>
    </row>
    <row r="1489" hidden="1">
      <c r="C1489" s="40" t="str">
        <f>IFERROR(__xludf.DUMMYFUNCTION("TEXTJOIN("", "",TRUE,UNIQUE(FILTER('Data Master'!$B$2:$B2880,'Data Master'!$J$2:$J2880=A1489)))"),"petani")</f>
        <v>petani</v>
      </c>
    </row>
    <row r="1490" hidden="1">
      <c r="C1490" s="40" t="str">
        <f>IFERROR(__xludf.DUMMYFUNCTION("TEXTJOIN("", "",TRUE,UNIQUE(FILTER('Data Master'!$B$2:$B2880,'Data Master'!$J$2:$J2880=A1490)))"),"petani")</f>
        <v>petani</v>
      </c>
    </row>
    <row r="1491" hidden="1">
      <c r="C1491" s="40" t="str">
        <f>IFERROR(__xludf.DUMMYFUNCTION("TEXTJOIN("", "",TRUE,UNIQUE(FILTER('Data Master'!$B$2:$B2880,'Data Master'!$J$2:$J2880=A1491)))"),"petani")</f>
        <v>petani</v>
      </c>
    </row>
    <row r="1492" hidden="1">
      <c r="C1492" s="40" t="str">
        <f>IFERROR(__xludf.DUMMYFUNCTION("TEXTJOIN("", "",TRUE,UNIQUE(FILTER('Data Master'!$B$2:$B2880,'Data Master'!$J$2:$J2880=A1492)))"),"petani")</f>
        <v>petani</v>
      </c>
    </row>
    <row r="1493" hidden="1">
      <c r="C1493" s="40" t="str">
        <f>IFERROR(__xludf.DUMMYFUNCTION("TEXTJOIN("", "",TRUE,UNIQUE(FILTER('Data Master'!$B$2:$B2880,'Data Master'!$J$2:$J2880=A1493)))"),"petani")</f>
        <v>petani</v>
      </c>
    </row>
    <row r="1494" hidden="1">
      <c r="C1494" s="40" t="str">
        <f>IFERROR(__xludf.DUMMYFUNCTION("TEXTJOIN("", "",TRUE,UNIQUE(FILTER('Data Master'!$B$2:$B2880,'Data Master'!$J$2:$J2880=A1494)))"),"petani")</f>
        <v>petani</v>
      </c>
    </row>
    <row r="1495" hidden="1">
      <c r="C1495" s="40" t="str">
        <f>IFERROR(__xludf.DUMMYFUNCTION("TEXTJOIN("", "",TRUE,UNIQUE(FILTER('Data Master'!$B$2:$B2880,'Data Master'!$J$2:$J2880=A1495)))"),"petani")</f>
        <v>petani</v>
      </c>
    </row>
    <row r="1496" hidden="1">
      <c r="C1496" s="40" t="str">
        <f>IFERROR(__xludf.DUMMYFUNCTION("TEXTJOIN("", "",TRUE,UNIQUE(FILTER('Data Master'!$B$2:$B2880,'Data Master'!$J$2:$J2880=A1496)))"),"petani")</f>
        <v>petani</v>
      </c>
    </row>
    <row r="1497" hidden="1">
      <c r="C1497" s="40" t="str">
        <f>IFERROR(__xludf.DUMMYFUNCTION("TEXTJOIN("", "",TRUE,UNIQUE(FILTER('Data Master'!$B$2:$B2880,'Data Master'!$J$2:$J2880=A1497)))"),"petani")</f>
        <v>petani</v>
      </c>
    </row>
    <row r="1498" hidden="1">
      <c r="C1498" s="40" t="str">
        <f>IFERROR(__xludf.DUMMYFUNCTION("TEXTJOIN("", "",TRUE,UNIQUE(FILTER('Data Master'!$B$2:$B2880,'Data Master'!$J$2:$J2880=A1498)))"),"petani")</f>
        <v>petani</v>
      </c>
    </row>
    <row r="1499" hidden="1">
      <c r="C1499" s="40" t="str">
        <f>IFERROR(__xludf.DUMMYFUNCTION("TEXTJOIN("", "",TRUE,UNIQUE(FILTER('Data Master'!$B$2:$B2880,'Data Master'!$J$2:$J2880=A1499)))"),"petani")</f>
        <v>petani</v>
      </c>
    </row>
    <row r="1500" hidden="1">
      <c r="C1500" s="40" t="str">
        <f>IFERROR(__xludf.DUMMYFUNCTION("TEXTJOIN("", "",TRUE,UNIQUE(FILTER('Data Master'!$B$2:$B2880,'Data Master'!$J$2:$J2880=A1500)))"),"penyuluh")</f>
        <v>penyuluh</v>
      </c>
    </row>
    <row r="1501" hidden="1">
      <c r="C1501" s="40" t="str">
        <f>IFERROR(__xludf.DUMMYFUNCTION("TEXTJOIN("", "",TRUE,UNIQUE(FILTER('Data Master'!$B$2:$B2880,'Data Master'!$J$2:$J2880=A1501)))"),"petani")</f>
        <v>petani</v>
      </c>
    </row>
    <row r="1502" hidden="1">
      <c r="C1502" s="40" t="str">
        <f>IFERROR(__xludf.DUMMYFUNCTION("TEXTJOIN("", "",TRUE,UNIQUE(FILTER('Data Master'!$B$2:$B2880,'Data Master'!$J$2:$J2880=A1502)))"),"petani")</f>
        <v>petani</v>
      </c>
    </row>
    <row r="1503" hidden="1">
      <c r="C1503" s="40" t="str">
        <f>IFERROR(__xludf.DUMMYFUNCTION("TEXTJOIN("", "",TRUE,UNIQUE(FILTER('Data Master'!$B$2:$B2880,'Data Master'!$J$2:$J2880=A1503)))"),"petani")</f>
        <v>petani</v>
      </c>
    </row>
    <row r="1504" hidden="1">
      <c r="C1504" s="40" t="str">
        <f>IFERROR(__xludf.DUMMYFUNCTION("TEXTJOIN("", "",TRUE,UNIQUE(FILTER('Data Master'!$B$2:$B2880,'Data Master'!$J$2:$J2880=A1504)))"),"petani")</f>
        <v>petani</v>
      </c>
    </row>
    <row r="1505" hidden="1">
      <c r="C1505" s="40" t="str">
        <f>IFERROR(__xludf.DUMMYFUNCTION("TEXTJOIN("", "",TRUE,UNIQUE(FILTER('Data Master'!$B$2:$B2880,'Data Master'!$J$2:$J2880=A1505)))"),"petani")</f>
        <v>petani</v>
      </c>
    </row>
    <row r="1506" hidden="1">
      <c r="C1506" s="40" t="str">
        <f>IFERROR(__xludf.DUMMYFUNCTION("TEXTJOIN("", "",TRUE,UNIQUE(FILTER('Data Master'!$B$2:$B2880,'Data Master'!$J$2:$J2880=A1506)))"),"petani")</f>
        <v>petani</v>
      </c>
    </row>
    <row r="1507" hidden="1">
      <c r="C1507" s="40" t="str">
        <f>IFERROR(__xludf.DUMMYFUNCTION("TEXTJOIN("", "",TRUE,UNIQUE(FILTER('Data Master'!$B$2:$B2880,'Data Master'!$J$2:$J2880=A1507)))"),"petani")</f>
        <v>petani</v>
      </c>
    </row>
    <row r="1508" hidden="1">
      <c r="C1508" s="40" t="str">
        <f>IFERROR(__xludf.DUMMYFUNCTION("TEXTJOIN("", "",TRUE,UNIQUE(FILTER('Data Master'!$B$2:$B2880,'Data Master'!$J$2:$J2880=A1508)))"),"petani")</f>
        <v>petani</v>
      </c>
    </row>
    <row r="1509" hidden="1">
      <c r="C1509" s="40" t="str">
        <f>IFERROR(__xludf.DUMMYFUNCTION("TEXTJOIN("", "",TRUE,UNIQUE(FILTER('Data Master'!$B$2:$B2880,'Data Master'!$J$2:$J2880=A1509)))"),"penyuluh")</f>
        <v>penyuluh</v>
      </c>
    </row>
    <row r="1510" hidden="1">
      <c r="C1510" s="40" t="str">
        <f>IFERROR(__xludf.DUMMYFUNCTION("TEXTJOIN("", "",TRUE,UNIQUE(FILTER('Data Master'!$B$2:$B2880,'Data Master'!$J$2:$J2880=A1510)))"),"petani")</f>
        <v>petani</v>
      </c>
    </row>
    <row r="1511" hidden="1">
      <c r="C1511" s="40" t="str">
        <f>IFERROR(__xludf.DUMMYFUNCTION("TEXTJOIN("", "",TRUE,UNIQUE(FILTER('Data Master'!$B$2:$B2880,'Data Master'!$J$2:$J2880=A1511)))"),"penyuluh")</f>
        <v>penyuluh</v>
      </c>
    </row>
    <row r="1512" hidden="1">
      <c r="C1512" s="40" t="str">
        <f>IFERROR(__xludf.DUMMYFUNCTION("TEXTJOIN("", "",TRUE,UNIQUE(FILTER('Data Master'!$B$2:$B2880,'Data Master'!$J$2:$J2880=A1512)))"),"petani")</f>
        <v>petani</v>
      </c>
    </row>
    <row r="1513" hidden="1">
      <c r="C1513" s="40" t="str">
        <f>IFERROR(__xludf.DUMMYFUNCTION("TEXTJOIN("", "",TRUE,UNIQUE(FILTER('Data Master'!$B$2:$B2880,'Data Master'!$J$2:$J2880=A1513)))"),"petani")</f>
        <v>petani</v>
      </c>
    </row>
    <row r="1514" hidden="1">
      <c r="C1514" s="40" t="str">
        <f>IFERROR(__xludf.DUMMYFUNCTION("TEXTJOIN("", "",TRUE,UNIQUE(FILTER('Data Master'!$B$2:$B2880,'Data Master'!$J$2:$J2880=A1514)))"),"penyuluh")</f>
        <v>penyuluh</v>
      </c>
    </row>
    <row r="1515" hidden="1">
      <c r="C1515" s="40" t="str">
        <f>IFERROR(__xludf.DUMMYFUNCTION("TEXTJOIN("", "",TRUE,UNIQUE(FILTER('Data Master'!$B$2:$B2880,'Data Master'!$J$2:$J2880=A1515)))"),"petani")</f>
        <v>petani</v>
      </c>
    </row>
    <row r="1516" hidden="1">
      <c r="C1516" s="40" t="str">
        <f>IFERROR(__xludf.DUMMYFUNCTION("TEXTJOIN("", "",TRUE,UNIQUE(FILTER('Data Master'!$B$2:$B2880,'Data Master'!$J$2:$J2880=A1516)))"),"petani")</f>
        <v>petani</v>
      </c>
    </row>
    <row r="1517" hidden="1">
      <c r="C1517" s="40" t="str">
        <f>IFERROR(__xludf.DUMMYFUNCTION("TEXTJOIN("", "",TRUE,UNIQUE(FILTER('Data Master'!$B$2:$B2880,'Data Master'!$J$2:$J2880=A1517)))"),"petani")</f>
        <v>petani</v>
      </c>
    </row>
    <row r="1518" hidden="1">
      <c r="C1518" s="40" t="str">
        <f>IFERROR(__xludf.DUMMYFUNCTION("TEXTJOIN("", "",TRUE,UNIQUE(FILTER('Data Master'!$B$2:$B2880,'Data Master'!$J$2:$J2880=A1518)))"),"petani")</f>
        <v>petani</v>
      </c>
    </row>
    <row r="1519" hidden="1">
      <c r="C1519" s="40" t="str">
        <f>IFERROR(__xludf.DUMMYFUNCTION("TEXTJOIN("", "",TRUE,UNIQUE(FILTER('Data Master'!$B$2:$B2880,'Data Master'!$J$2:$J2880=A1519)))"),"petani")</f>
        <v>petani</v>
      </c>
    </row>
    <row r="1520" hidden="1">
      <c r="C1520" s="40" t="str">
        <f>IFERROR(__xludf.DUMMYFUNCTION("TEXTJOIN("", "",TRUE,UNIQUE(FILTER('Data Master'!$B$2:$B2880,'Data Master'!$J$2:$J2880=A1520)))"),"petani")</f>
        <v>petani</v>
      </c>
    </row>
    <row r="1521" hidden="1">
      <c r="C1521" s="40" t="str">
        <f>IFERROR(__xludf.DUMMYFUNCTION("TEXTJOIN("", "",TRUE,UNIQUE(FILTER('Data Master'!$B$2:$B2880,'Data Master'!$J$2:$J2880=A1521)))"),"petani")</f>
        <v>petani</v>
      </c>
    </row>
    <row r="1522" hidden="1">
      <c r="C1522" s="40" t="str">
        <f>IFERROR(__xludf.DUMMYFUNCTION("TEXTJOIN("", "",TRUE,UNIQUE(FILTER('Data Master'!$B$2:$B2880,'Data Master'!$J$2:$J2880=A1522)))"),"petani")</f>
        <v>petani</v>
      </c>
    </row>
    <row r="1523" hidden="1">
      <c r="C1523" s="40" t="str">
        <f>IFERROR(__xludf.DUMMYFUNCTION("TEXTJOIN("", "",TRUE,UNIQUE(FILTER('Data Master'!$B$2:$B2880,'Data Master'!$J$2:$J2880=A1523)))"),"petani")</f>
        <v>petani</v>
      </c>
    </row>
    <row r="1524" hidden="1">
      <c r="C1524" s="40" t="str">
        <f>IFERROR(__xludf.DUMMYFUNCTION("TEXTJOIN("", "",TRUE,UNIQUE(FILTER('Data Master'!$B$2:$B2880,'Data Master'!$J$2:$J2880=A1524)))"),"petani")</f>
        <v>petani</v>
      </c>
    </row>
    <row r="1525" hidden="1">
      <c r="C1525" s="40" t="str">
        <f>IFERROR(__xludf.DUMMYFUNCTION("TEXTJOIN("", "",TRUE,UNIQUE(FILTER('Data Master'!$B$2:$B2880,'Data Master'!$J$2:$J2880=A1525)))"),"petani")</f>
        <v>petani</v>
      </c>
    </row>
    <row r="1526" hidden="1">
      <c r="C1526" s="40" t="str">
        <f>IFERROR(__xludf.DUMMYFUNCTION("TEXTJOIN("", "",TRUE,UNIQUE(FILTER('Data Master'!$B$2:$B2880,'Data Master'!$J$2:$J2880=A1526)))"),"petani")</f>
        <v>petani</v>
      </c>
    </row>
    <row r="1527" hidden="1">
      <c r="C1527" s="40" t="str">
        <f>IFERROR(__xludf.DUMMYFUNCTION("TEXTJOIN("", "",TRUE,UNIQUE(FILTER('Data Master'!$B$2:$B2880,'Data Master'!$J$2:$J2880=A1527)))"),"petani")</f>
        <v>petani</v>
      </c>
    </row>
    <row r="1528" hidden="1">
      <c r="C1528" s="40" t="str">
        <f>IFERROR(__xludf.DUMMYFUNCTION("TEXTJOIN("", "",TRUE,UNIQUE(FILTER('Data Master'!$B$2:$B2880,'Data Master'!$J$2:$J2880=A1528)))"),"penyuluh")</f>
        <v>penyuluh</v>
      </c>
    </row>
    <row r="1529" hidden="1">
      <c r="C1529" s="40" t="str">
        <f>IFERROR(__xludf.DUMMYFUNCTION("TEXTJOIN("", "",TRUE,UNIQUE(FILTER('Data Master'!$B$2:$B2880,'Data Master'!$J$2:$J2880=A1529)))"),"operator admin")</f>
        <v>operator admin</v>
      </c>
    </row>
    <row r="1530" hidden="1">
      <c r="C1530" s="40" t="str">
        <f>IFERROR(__xludf.DUMMYFUNCTION("TEXTJOIN("", "",TRUE,UNIQUE(FILTER('Data Master'!$B$2:$B2880,'Data Master'!$J$2:$J2880=A1530)))"),"petani")</f>
        <v>petani</v>
      </c>
    </row>
    <row r="1531" hidden="1">
      <c r="C1531" s="40" t="str">
        <f>IFERROR(__xludf.DUMMYFUNCTION("TEXTJOIN("", "",TRUE,UNIQUE(FILTER('Data Master'!$B$2:$B2880,'Data Master'!$J$2:$J2880=A1531)))"),"petani")</f>
        <v>petani</v>
      </c>
    </row>
    <row r="1532" hidden="1">
      <c r="C1532" s="40" t="str">
        <f>IFERROR(__xludf.DUMMYFUNCTION("TEXTJOIN("", "",TRUE,UNIQUE(FILTER('Data Master'!$B$2:$B2880,'Data Master'!$J$2:$J2880=A1532)))"),"petani")</f>
        <v>petani</v>
      </c>
    </row>
    <row r="1533" hidden="1">
      <c r="C1533" s="40" t="str">
        <f>IFERROR(__xludf.DUMMYFUNCTION("TEXTJOIN("", "",TRUE,UNIQUE(FILTER('Data Master'!$B$2:$B2880,'Data Master'!$J$2:$J2880=A1533)))"),"petani")</f>
        <v>petani</v>
      </c>
    </row>
    <row r="1534" hidden="1">
      <c r="C1534" s="40" t="str">
        <f>IFERROR(__xludf.DUMMYFUNCTION("TEXTJOIN("", "",TRUE,UNIQUE(FILTER('Data Master'!$B$2:$B2880,'Data Master'!$J$2:$J2880=A1534)))"),"petani")</f>
        <v>petani</v>
      </c>
    </row>
    <row r="1535" hidden="1">
      <c r="C1535" s="40" t="str">
        <f>IFERROR(__xludf.DUMMYFUNCTION("TEXTJOIN("", "",TRUE,UNIQUE(FILTER('Data Master'!$B$2:$B2880,'Data Master'!$J$2:$J2880=A1535)))"),"operator admin")</f>
        <v>operator admin</v>
      </c>
    </row>
    <row r="1536" hidden="1">
      <c r="C1536" s="40" t="str">
        <f>IFERROR(__xludf.DUMMYFUNCTION("TEXTJOIN("", "",TRUE,UNIQUE(FILTER('Data Master'!$B$2:$B2880,'Data Master'!$J$2:$J2880=A1536)))"),"petani")</f>
        <v>petani</v>
      </c>
    </row>
    <row r="1537" hidden="1">
      <c r="C1537" s="40" t="str">
        <f>IFERROR(__xludf.DUMMYFUNCTION("TEXTJOIN("", "",TRUE,UNIQUE(FILTER('Data Master'!$B$2:$B2880,'Data Master'!$J$2:$J2880=A1537)))"),"petani")</f>
        <v>petani</v>
      </c>
    </row>
    <row r="1538" hidden="1">
      <c r="C1538" s="40" t="str">
        <f>IFERROR(__xludf.DUMMYFUNCTION("TEXTJOIN("", "",TRUE,UNIQUE(FILTER('Data Master'!$B$2:$B2880,'Data Master'!$J$2:$J2880=A1538)))"),"operator admin")</f>
        <v>operator admin</v>
      </c>
    </row>
    <row r="1539" hidden="1">
      <c r="C1539" s="40" t="str">
        <f>IFERROR(__xludf.DUMMYFUNCTION("TEXTJOIN("", "",TRUE,UNIQUE(FILTER('Data Master'!$B$2:$B2880,'Data Master'!$J$2:$J2880=A1539)))"),"petani")</f>
        <v>petani</v>
      </c>
    </row>
    <row r="1540" hidden="1">
      <c r="C1540" s="40" t="str">
        <f>IFERROR(__xludf.DUMMYFUNCTION("TEXTJOIN("", "",TRUE,UNIQUE(FILTER('Data Master'!$B$2:$B2880,'Data Master'!$J$2:$J2880=A1540)))"),"petani")</f>
        <v>petani</v>
      </c>
    </row>
    <row r="1541" hidden="1">
      <c r="C1541" s="40" t="str">
        <f>IFERROR(__xludf.DUMMYFUNCTION("TEXTJOIN("", "",TRUE,UNIQUE(FILTER('Data Master'!$B$2:$B2880,'Data Master'!$J$2:$J2880=A1541)))"),"petani")</f>
        <v>petani</v>
      </c>
    </row>
    <row r="1542" hidden="1">
      <c r="C1542" s="40" t="str">
        <f>IFERROR(__xludf.DUMMYFUNCTION("TEXTJOIN("", "",TRUE,UNIQUE(FILTER('Data Master'!$B$2:$B2880,'Data Master'!$J$2:$J2880=A1542)))"),"petani")</f>
        <v>petani</v>
      </c>
    </row>
    <row r="1543" hidden="1">
      <c r="C1543" s="40" t="str">
        <f>IFERROR(__xludf.DUMMYFUNCTION("TEXTJOIN("", "",TRUE,UNIQUE(FILTER('Data Master'!$B$2:$B2880,'Data Master'!$J$2:$J2880=A1543)))"),"petani")</f>
        <v>petani</v>
      </c>
    </row>
    <row r="1544" hidden="1">
      <c r="C1544" s="40" t="str">
        <f>IFERROR(__xludf.DUMMYFUNCTION("TEXTJOIN("", "",TRUE,UNIQUE(FILTER('Data Master'!$B$2:$B2880,'Data Master'!$J$2:$J2880=A1544)))"),"petani")</f>
        <v>petani</v>
      </c>
    </row>
    <row r="1545" hidden="1">
      <c r="C1545" s="40" t="str">
        <f>IFERROR(__xludf.DUMMYFUNCTION("TEXTJOIN("", "",TRUE,UNIQUE(FILTER('Data Master'!$B$2:$B2880,'Data Master'!$J$2:$J2880=A1545)))"),"petani")</f>
        <v>petani</v>
      </c>
    </row>
    <row r="1546" hidden="1">
      <c r="C1546" s="40" t="str">
        <f>IFERROR(__xludf.DUMMYFUNCTION("TEXTJOIN("", "",TRUE,UNIQUE(FILTER('Data Master'!$B$2:$B2880,'Data Master'!$J$2:$J2880=A1546)))"),"petani")</f>
        <v>petani</v>
      </c>
    </row>
    <row r="1547" hidden="1">
      <c r="C1547" s="40" t="str">
        <f>IFERROR(__xludf.DUMMYFUNCTION("TEXTJOIN("", "",TRUE,UNIQUE(FILTER('Data Master'!$B$2:$B2880,'Data Master'!$J$2:$J2880=A1547)))"),"petani")</f>
        <v>petani</v>
      </c>
    </row>
    <row r="1548" hidden="1">
      <c r="C1548" s="40" t="str">
        <f>IFERROR(__xludf.DUMMYFUNCTION("TEXTJOIN("", "",TRUE,UNIQUE(FILTER('Data Master'!$B$2:$B2880,'Data Master'!$J$2:$J2880=A1548)))"),"petani")</f>
        <v>petani</v>
      </c>
    </row>
    <row r="1549" hidden="1">
      <c r="C1549" s="40" t="str">
        <f>IFERROR(__xludf.DUMMYFUNCTION("TEXTJOIN("", "",TRUE,UNIQUE(FILTER('Data Master'!$B$2:$B2880,'Data Master'!$J$2:$J2880=A1549)))"),"petani")</f>
        <v>petani</v>
      </c>
    </row>
    <row r="1550" hidden="1">
      <c r="C1550" s="40" t="str">
        <f>IFERROR(__xludf.DUMMYFUNCTION("TEXTJOIN("", "",TRUE,UNIQUE(FILTER('Data Master'!$B$2:$B2880,'Data Master'!$J$2:$J2880=A1550)))"),"petani")</f>
        <v>petani</v>
      </c>
    </row>
    <row r="1551" hidden="1">
      <c r="C1551" s="40" t="str">
        <f>IFERROR(__xludf.DUMMYFUNCTION("TEXTJOIN("", "",TRUE,UNIQUE(FILTER('Data Master'!$B$2:$B2880,'Data Master'!$J$2:$J2880=A1551)))"),"petani")</f>
        <v>petani</v>
      </c>
    </row>
    <row r="1552" hidden="1">
      <c r="C1552" s="40" t="str">
        <f>IFERROR(__xludf.DUMMYFUNCTION("TEXTJOIN("", "",TRUE,UNIQUE(FILTER('Data Master'!$B$2:$B2880,'Data Master'!$J$2:$J2880=A1552)))"),"petani")</f>
        <v>petani</v>
      </c>
    </row>
    <row r="1553" hidden="1">
      <c r="C1553" s="40" t="str">
        <f>IFERROR(__xludf.DUMMYFUNCTION("TEXTJOIN("", "",TRUE,UNIQUE(FILTER('Data Master'!$B$2:$B2880,'Data Master'!$J$2:$J2880=A1553)))"),"petani")</f>
        <v>petani</v>
      </c>
    </row>
    <row r="1554" hidden="1">
      <c r="C1554" s="40" t="str">
        <f>IFERROR(__xludf.DUMMYFUNCTION("TEXTJOIN("", "",TRUE,UNIQUE(FILTER('Data Master'!$B$2:$B2880,'Data Master'!$J$2:$J2880=A1554)))"),"petani")</f>
        <v>petani</v>
      </c>
    </row>
    <row r="1555" hidden="1">
      <c r="C1555" s="40" t="str">
        <f>IFERROR(__xludf.DUMMYFUNCTION("TEXTJOIN("", "",TRUE,UNIQUE(FILTER('Data Master'!$B$2:$B2880,'Data Master'!$J$2:$J2880=A1555)))"),"petani")</f>
        <v>petani</v>
      </c>
    </row>
    <row r="1556" hidden="1">
      <c r="C1556" s="40" t="str">
        <f>IFERROR(__xludf.DUMMYFUNCTION("TEXTJOIN("", "",TRUE,UNIQUE(FILTER('Data Master'!$B$2:$B2880,'Data Master'!$J$2:$J2880=A1556)))"),"petani")</f>
        <v>petani</v>
      </c>
    </row>
    <row r="1557" hidden="1">
      <c r="C1557" s="40" t="str">
        <f>IFERROR(__xludf.DUMMYFUNCTION("TEXTJOIN("", "",TRUE,UNIQUE(FILTER('Data Master'!$B$2:$B2880,'Data Master'!$J$2:$J2880=A1557)))"),"petani")</f>
        <v>petani</v>
      </c>
    </row>
    <row r="1558" hidden="1">
      <c r="C1558" s="40" t="str">
        <f>IFERROR(__xludf.DUMMYFUNCTION("TEXTJOIN("", "",TRUE,UNIQUE(FILTER('Data Master'!$B$2:$B2880,'Data Master'!$J$2:$J2880=A1558)))"),"petani")</f>
        <v>petani</v>
      </c>
    </row>
    <row r="1559" hidden="1">
      <c r="C1559" s="40" t="str">
        <f>IFERROR(__xludf.DUMMYFUNCTION("TEXTJOIN("", "",TRUE,UNIQUE(FILTER('Data Master'!$B$2:$B2880,'Data Master'!$J$2:$J2880=A1559)))"),"petani")</f>
        <v>petani</v>
      </c>
    </row>
    <row r="1560" hidden="1">
      <c r="C1560" s="40" t="str">
        <f>IFERROR(__xludf.DUMMYFUNCTION("TEXTJOIN("", "",TRUE,UNIQUE(FILTER('Data Master'!$B$2:$B2880,'Data Master'!$J$2:$J2880=A1560)))"),"petani")</f>
        <v>petani</v>
      </c>
    </row>
    <row r="1561" hidden="1">
      <c r="C1561" s="40" t="str">
        <f>IFERROR(__xludf.DUMMYFUNCTION("TEXTJOIN("", "",TRUE,UNIQUE(FILTER('Data Master'!$B$2:$B2880,'Data Master'!$J$2:$J2880=A1561)))"),"petani")</f>
        <v>petani</v>
      </c>
    </row>
    <row r="1562" hidden="1">
      <c r="C1562" s="40" t="str">
        <f>IFERROR(__xludf.DUMMYFUNCTION("TEXTJOIN("", "",TRUE,UNIQUE(FILTER('Data Master'!$B$2:$B2880,'Data Master'!$J$2:$J2880=A1562)))"),"petani")</f>
        <v>petani</v>
      </c>
    </row>
    <row r="1563" hidden="1">
      <c r="C1563" s="40" t="str">
        <f>IFERROR(__xludf.DUMMYFUNCTION("TEXTJOIN("", "",TRUE,UNIQUE(FILTER('Data Master'!$B$2:$B2880,'Data Master'!$J$2:$J2880=A1563)))"),"petani")</f>
        <v>petani</v>
      </c>
    </row>
    <row r="1564" hidden="1">
      <c r="C1564" s="40" t="str">
        <f>IFERROR(__xludf.DUMMYFUNCTION("TEXTJOIN("", "",TRUE,UNIQUE(FILTER('Data Master'!$B$2:$B2880,'Data Master'!$J$2:$J2880=A1564)))"),"petani")</f>
        <v>petani</v>
      </c>
    </row>
    <row r="1565" hidden="1">
      <c r="C1565" s="40" t="str">
        <f>IFERROR(__xludf.DUMMYFUNCTION("TEXTJOIN("", "",TRUE,UNIQUE(FILTER('Data Master'!$B$2:$B2880,'Data Master'!$J$2:$J2880=A1565)))"),"petani")</f>
        <v>petani</v>
      </c>
    </row>
    <row r="1566" hidden="1">
      <c r="C1566" s="40" t="str">
        <f>IFERROR(__xludf.DUMMYFUNCTION("TEXTJOIN("", "",TRUE,UNIQUE(FILTER('Data Master'!$B$2:$B2880,'Data Master'!$J$2:$J2880=A1566)))"),"petani")</f>
        <v>petani</v>
      </c>
    </row>
    <row r="1567" hidden="1">
      <c r="C1567" s="40" t="str">
        <f>IFERROR(__xludf.DUMMYFUNCTION("TEXTJOIN("", "",TRUE,UNIQUE(FILTER('Data Master'!$B$2:$B2880,'Data Master'!$J$2:$J2880=A1567)))"),"petani")</f>
        <v>petani</v>
      </c>
    </row>
    <row r="1568" hidden="1">
      <c r="C1568" s="40" t="str">
        <f>IFERROR(__xludf.DUMMYFUNCTION("TEXTJOIN("", "",TRUE,UNIQUE(FILTER('Data Master'!$B$2:$B2880,'Data Master'!$J$2:$J2880=A1568)))"),"petani")</f>
        <v>petani</v>
      </c>
    </row>
    <row r="1569" hidden="1">
      <c r="C1569" s="40" t="str">
        <f>IFERROR(__xludf.DUMMYFUNCTION("TEXTJOIN("", "",TRUE,UNIQUE(FILTER('Data Master'!$B$2:$B2880,'Data Master'!$J$2:$J2880=A1569)))"),"operator admin")</f>
        <v>operator admin</v>
      </c>
    </row>
    <row r="1570" hidden="1">
      <c r="C1570" s="40" t="str">
        <f>IFERROR(__xludf.DUMMYFUNCTION("TEXTJOIN("", "",TRUE,UNIQUE(FILTER('Data Master'!$B$2:$B2880,'Data Master'!$J$2:$J2880=A1570)))"),"petani")</f>
        <v>petani</v>
      </c>
    </row>
    <row r="1571" hidden="1">
      <c r="C1571" s="40" t="str">
        <f>IFERROR(__xludf.DUMMYFUNCTION("TEXTJOIN("", "",TRUE,UNIQUE(FILTER('Data Master'!$B$2:$B2880,'Data Master'!$J$2:$J2880=A1571)))"),"petani")</f>
        <v>petani</v>
      </c>
    </row>
    <row r="1572" hidden="1">
      <c r="C1572" s="40" t="str">
        <f>IFERROR(__xludf.DUMMYFUNCTION("TEXTJOIN("", "",TRUE,UNIQUE(FILTER('Data Master'!$B$2:$B2880,'Data Master'!$J$2:$J2880=A1572)))"),"petani")</f>
        <v>petani</v>
      </c>
    </row>
    <row r="1573" hidden="1">
      <c r="C1573" s="40" t="str">
        <f>IFERROR(__xludf.DUMMYFUNCTION("TEXTJOIN("", "",TRUE,UNIQUE(FILTER('Data Master'!$B$2:$B2880,'Data Master'!$J$2:$J2880=A1573)))"),"petani")</f>
        <v>petani</v>
      </c>
    </row>
    <row r="1574" hidden="1">
      <c r="C1574" s="40" t="str">
        <f>IFERROR(__xludf.DUMMYFUNCTION("TEXTJOIN("", "",TRUE,UNIQUE(FILTER('Data Master'!$B$2:$B2880,'Data Master'!$J$2:$J2880=A1574)))"),"petani")</f>
        <v>petani</v>
      </c>
    </row>
    <row r="1575" hidden="1">
      <c r="C1575" s="40" t="str">
        <f>IFERROR(__xludf.DUMMYFUNCTION("TEXTJOIN("", "",TRUE,UNIQUE(FILTER('Data Master'!$B$2:$B2880,'Data Master'!$J$2:$J2880=A1575)))"),"petani")</f>
        <v>petani</v>
      </c>
    </row>
    <row r="1576" hidden="1">
      <c r="C1576" s="40" t="str">
        <f>IFERROR(__xludf.DUMMYFUNCTION("TEXTJOIN("", "",TRUE,UNIQUE(FILTER('Data Master'!$B$2:$B2880,'Data Master'!$J$2:$J2880=A1576)))"),"petani")</f>
        <v>petani</v>
      </c>
    </row>
    <row r="1577" hidden="1">
      <c r="C1577" s="40" t="str">
        <f>IFERROR(__xludf.DUMMYFUNCTION("TEXTJOIN("", "",TRUE,UNIQUE(FILTER('Data Master'!$B$2:$B2880,'Data Master'!$J$2:$J2880=A1577)))"),"petani")</f>
        <v>petani</v>
      </c>
    </row>
    <row r="1578" hidden="1">
      <c r="C1578" s="40" t="str">
        <f>IFERROR(__xludf.DUMMYFUNCTION("TEXTJOIN("", "",TRUE,UNIQUE(FILTER('Data Master'!$B$2:$B2880,'Data Master'!$J$2:$J2880=A1578)))"),"petani")</f>
        <v>petani</v>
      </c>
    </row>
    <row r="1579" hidden="1">
      <c r="C1579" s="40" t="str">
        <f>IFERROR(__xludf.DUMMYFUNCTION("TEXTJOIN("", "",TRUE,UNIQUE(FILTER('Data Master'!$B$2:$B2880,'Data Master'!$J$2:$J2880=A1579)))"),"petani")</f>
        <v>petani</v>
      </c>
    </row>
    <row r="1580" hidden="1">
      <c r="C1580" s="40" t="str">
        <f>IFERROR(__xludf.DUMMYFUNCTION("TEXTJOIN("", "",TRUE,UNIQUE(FILTER('Data Master'!$B$2:$B2880,'Data Master'!$J$2:$J2880=A1580)))"),"petani")</f>
        <v>petani</v>
      </c>
    </row>
    <row r="1581" hidden="1">
      <c r="C1581" s="40" t="str">
        <f>IFERROR(__xludf.DUMMYFUNCTION("TEXTJOIN("", "",TRUE,UNIQUE(FILTER('Data Master'!$B$2:$B2880,'Data Master'!$J$2:$J2880=A1581)))"),"petani")</f>
        <v>petani</v>
      </c>
    </row>
    <row r="1582" hidden="1">
      <c r="C1582" s="40" t="str">
        <f>IFERROR(__xludf.DUMMYFUNCTION("TEXTJOIN("", "",TRUE,UNIQUE(FILTER('Data Master'!$B$2:$B2880,'Data Master'!$J$2:$J2880=A1582)))"),"petani")</f>
        <v>petani</v>
      </c>
    </row>
    <row r="1583" hidden="1">
      <c r="C1583" s="40" t="str">
        <f>IFERROR(__xludf.DUMMYFUNCTION("TEXTJOIN("", "",TRUE,UNIQUE(FILTER('Data Master'!$B$2:$B2880,'Data Master'!$J$2:$J2880=A1583)))"),"petani")</f>
        <v>petani</v>
      </c>
    </row>
    <row r="1584" hidden="1">
      <c r="C1584" s="40" t="str">
        <f>IFERROR(__xludf.DUMMYFUNCTION("TEXTJOIN("", "",TRUE,UNIQUE(FILTER('Data Master'!$B$2:$B2880,'Data Master'!$J$2:$J2880=A1584)))"),"petani")</f>
        <v>petani</v>
      </c>
    </row>
    <row r="1585" hidden="1">
      <c r="C1585" s="40" t="str">
        <f>IFERROR(__xludf.DUMMYFUNCTION("TEXTJOIN("", "",TRUE,UNIQUE(FILTER('Data Master'!$B$2:$B2880,'Data Master'!$J$2:$J2880=A1585)))"),"petani")</f>
        <v>petani</v>
      </c>
    </row>
    <row r="1586" hidden="1">
      <c r="C1586" s="40" t="str">
        <f>IFERROR(__xludf.DUMMYFUNCTION("TEXTJOIN("", "",TRUE,UNIQUE(FILTER('Data Master'!$B$2:$B2880,'Data Master'!$J$2:$J2880=A1586)))"),"petani")</f>
        <v>petani</v>
      </c>
    </row>
    <row r="1587" hidden="1">
      <c r="C1587" s="40" t="str">
        <f>IFERROR(__xludf.DUMMYFUNCTION("TEXTJOIN("", "",TRUE,UNIQUE(FILTER('Data Master'!$B$2:$B2880,'Data Master'!$J$2:$J2880=A1587)))"),"petani")</f>
        <v>petani</v>
      </c>
    </row>
    <row r="1588" hidden="1">
      <c r="C1588" s="40" t="str">
        <f>IFERROR(__xludf.DUMMYFUNCTION("TEXTJOIN("", "",TRUE,UNIQUE(FILTER('Data Master'!$B$2:$B2880,'Data Master'!$J$2:$J2880=A1588)))"),"petani")</f>
        <v>petani</v>
      </c>
    </row>
    <row r="1589" hidden="1">
      <c r="C1589" s="40" t="str">
        <f>IFERROR(__xludf.DUMMYFUNCTION("TEXTJOIN("", "",TRUE,UNIQUE(FILTER('Data Master'!$B$2:$B2880,'Data Master'!$J$2:$J2880=A1589)))"),"penyuluh")</f>
        <v>penyuluh</v>
      </c>
    </row>
    <row r="1590" hidden="1">
      <c r="C1590" s="40" t="str">
        <f>IFERROR(__xludf.DUMMYFUNCTION("TEXTJOIN("", "",TRUE,UNIQUE(FILTER('Data Master'!$B$2:$B2880,'Data Master'!$J$2:$J2880=A1590)))"),"petani")</f>
        <v>petani</v>
      </c>
    </row>
    <row r="1591" hidden="1">
      <c r="C1591" s="40" t="str">
        <f>IFERROR(__xludf.DUMMYFUNCTION("TEXTJOIN("", "",TRUE,UNIQUE(FILTER('Data Master'!$B$2:$B2880,'Data Master'!$J$2:$J2880=A1591)))"),"petani")</f>
        <v>petani</v>
      </c>
    </row>
    <row r="1592" hidden="1">
      <c r="C1592" s="40" t="str">
        <f>IFERROR(__xludf.DUMMYFUNCTION("TEXTJOIN("", "",TRUE,UNIQUE(FILTER('Data Master'!$B$2:$B2880,'Data Master'!$J$2:$J2880=A1592)))"),"petani")</f>
        <v>petani</v>
      </c>
    </row>
    <row r="1593" hidden="1">
      <c r="C1593" s="40" t="str">
        <f>IFERROR(__xludf.DUMMYFUNCTION("TEXTJOIN("", "",TRUE,UNIQUE(FILTER('Data Master'!$B$2:$B2880,'Data Master'!$J$2:$J2880=A1593)))"),"petani")</f>
        <v>petani</v>
      </c>
    </row>
    <row r="1594" hidden="1">
      <c r="C1594" s="40" t="str">
        <f>IFERROR(__xludf.DUMMYFUNCTION("TEXTJOIN("", "",TRUE,UNIQUE(FILTER('Data Master'!$B$2:$B2880,'Data Master'!$J$2:$J2880=A1594)))"),"petani")</f>
        <v>petani</v>
      </c>
    </row>
    <row r="1595" hidden="1">
      <c r="C1595" s="40" t="str">
        <f>IFERROR(__xludf.DUMMYFUNCTION("TEXTJOIN("", "",TRUE,UNIQUE(FILTER('Data Master'!$B$2:$B2880,'Data Master'!$J$2:$J2880=A1595)))"),"operator admin")</f>
        <v>operator admin</v>
      </c>
    </row>
    <row r="1596" hidden="1">
      <c r="C1596" s="40" t="str">
        <f>IFERROR(__xludf.DUMMYFUNCTION("TEXTJOIN("", "",TRUE,UNIQUE(FILTER('Data Master'!$B$2:$B2880,'Data Master'!$J$2:$J2880=A1596)))"),"petani")</f>
        <v>petani</v>
      </c>
    </row>
    <row r="1597" hidden="1">
      <c r="C1597" s="40" t="str">
        <f>IFERROR(__xludf.DUMMYFUNCTION("TEXTJOIN("", "",TRUE,UNIQUE(FILTER('Data Master'!$B$2:$B2880,'Data Master'!$J$2:$J2880=A1597)))"),"petani")</f>
        <v>petani</v>
      </c>
    </row>
    <row r="1598" hidden="1">
      <c r="C1598" s="40" t="str">
        <f>IFERROR(__xludf.DUMMYFUNCTION("TEXTJOIN("", "",TRUE,UNIQUE(FILTER('Data Master'!$B$2:$B2880,'Data Master'!$J$2:$J2880=A1598)))"),"petani")</f>
        <v>petani</v>
      </c>
    </row>
    <row r="1599" hidden="1">
      <c r="C1599" s="40" t="str">
        <f>IFERROR(__xludf.DUMMYFUNCTION("TEXTJOIN("", "",TRUE,UNIQUE(FILTER('Data Master'!$B$2:$B2880,'Data Master'!$J$2:$J2880=A1599)))"),"petani")</f>
        <v>petani</v>
      </c>
    </row>
    <row r="1600" hidden="1">
      <c r="C1600" s="40" t="str">
        <f>IFERROR(__xludf.DUMMYFUNCTION("TEXTJOIN("", "",TRUE,UNIQUE(FILTER('Data Master'!$B$2:$B2880,'Data Master'!$J$2:$J2880=A1600)))"),"petani")</f>
        <v>petani</v>
      </c>
    </row>
    <row r="1601" hidden="1">
      <c r="C1601" s="40" t="str">
        <f>IFERROR(__xludf.DUMMYFUNCTION("TEXTJOIN("", "",TRUE,UNIQUE(FILTER('Data Master'!$B$2:$B2880,'Data Master'!$J$2:$J2880=A1601)))"),"petani")</f>
        <v>petani</v>
      </c>
    </row>
    <row r="1602" hidden="1">
      <c r="C1602" s="40" t="str">
        <f>IFERROR(__xludf.DUMMYFUNCTION("TEXTJOIN("", "",TRUE,UNIQUE(FILTER('Data Master'!$B$2:$B2880,'Data Master'!$J$2:$J2880=A1602)))"),"petani")</f>
        <v>petani</v>
      </c>
    </row>
    <row r="1603" hidden="1">
      <c r="C1603" s="40" t="str">
        <f>IFERROR(__xludf.DUMMYFUNCTION("TEXTJOIN("", "",TRUE,UNIQUE(FILTER('Data Master'!$B$2:$B2880,'Data Master'!$J$2:$J2880=A1603)))"),"petani")</f>
        <v>petani</v>
      </c>
    </row>
    <row r="1604" hidden="1">
      <c r="C1604" s="40" t="str">
        <f>IFERROR(__xludf.DUMMYFUNCTION("TEXTJOIN("", "",TRUE,UNIQUE(FILTER('Data Master'!$B$2:$B2880,'Data Master'!$J$2:$J2880=A1604)))"),"petani")</f>
        <v>petani</v>
      </c>
    </row>
    <row r="1605" hidden="1">
      <c r="C1605" s="40" t="str">
        <f>IFERROR(__xludf.DUMMYFUNCTION("TEXTJOIN("", "",TRUE,UNIQUE(FILTER('Data Master'!$B$2:$B2880,'Data Master'!$J$2:$J2880=A1605)))"),"petani")</f>
        <v>petani</v>
      </c>
    </row>
    <row r="1606" hidden="1">
      <c r="C1606" s="40" t="str">
        <f>IFERROR(__xludf.DUMMYFUNCTION("TEXTJOIN("", "",TRUE,UNIQUE(FILTER('Data Master'!$B$2:$B2880,'Data Master'!$J$2:$J2880=A1606)))"),"petani")</f>
        <v>petani</v>
      </c>
    </row>
    <row r="1607" hidden="1">
      <c r="C1607" s="40" t="str">
        <f>IFERROR(__xludf.DUMMYFUNCTION("TEXTJOIN("", "",TRUE,UNIQUE(FILTER('Data Master'!$B$2:$B2880,'Data Master'!$J$2:$J2880=A1607)))"),"petani")</f>
        <v>petani</v>
      </c>
    </row>
    <row r="1608" hidden="1">
      <c r="C1608" s="40" t="str">
        <f>IFERROR(__xludf.DUMMYFUNCTION("TEXTJOIN("", "",TRUE,UNIQUE(FILTER('Data Master'!$B$2:$B2880,'Data Master'!$J$2:$J2880=A1608)))"),"petani")</f>
        <v>petani</v>
      </c>
    </row>
    <row r="1609" hidden="1">
      <c r="C1609" s="40" t="str">
        <f>IFERROR(__xludf.DUMMYFUNCTION("TEXTJOIN("", "",TRUE,UNIQUE(FILTER('Data Master'!$B$2:$B2880,'Data Master'!$J$2:$J2880=A1609)))"),"petani")</f>
        <v>petani</v>
      </c>
    </row>
    <row r="1610" hidden="1">
      <c r="C1610" s="40" t="str">
        <f>IFERROR(__xludf.DUMMYFUNCTION("TEXTJOIN("", "",TRUE,UNIQUE(FILTER('Data Master'!$B$2:$B2880,'Data Master'!$J$2:$J2880=A1610)))"),"petani")</f>
        <v>petani</v>
      </c>
    </row>
    <row r="1611" hidden="1">
      <c r="C1611" s="40" t="str">
        <f>IFERROR(__xludf.DUMMYFUNCTION("TEXTJOIN("", "",TRUE,UNIQUE(FILTER('Data Master'!$B$2:$B2880,'Data Master'!$J$2:$J2880=A1611)))"),"petani")</f>
        <v>petani</v>
      </c>
    </row>
    <row r="1612" hidden="1">
      <c r="C1612" s="40" t="str">
        <f>IFERROR(__xludf.DUMMYFUNCTION("TEXTJOIN("", "",TRUE,UNIQUE(FILTER('Data Master'!$B$2:$B2880,'Data Master'!$J$2:$J2880=A1612)))"),"petani")</f>
        <v>petani</v>
      </c>
    </row>
    <row r="1613" hidden="1">
      <c r="C1613" s="40" t="str">
        <f>IFERROR(__xludf.DUMMYFUNCTION("TEXTJOIN("", "",TRUE,UNIQUE(FILTER('Data Master'!$B$2:$B2880,'Data Master'!$J$2:$J2880=A1613)))"),"petani")</f>
        <v>petani</v>
      </c>
    </row>
    <row r="1614" hidden="1">
      <c r="C1614" s="40" t="str">
        <f>IFERROR(__xludf.DUMMYFUNCTION("TEXTJOIN("", "",TRUE,UNIQUE(FILTER('Data Master'!$B$2:$B2880,'Data Master'!$J$2:$J2880=A1614)))"),"petani")</f>
        <v>petani</v>
      </c>
    </row>
    <row r="1615" hidden="1">
      <c r="C1615" s="40" t="str">
        <f>IFERROR(__xludf.DUMMYFUNCTION("TEXTJOIN("", "",TRUE,UNIQUE(FILTER('Data Master'!$B$2:$B2880,'Data Master'!$J$2:$J2880=A1615)))"),"petani")</f>
        <v>petani</v>
      </c>
    </row>
    <row r="1616" hidden="1">
      <c r="C1616" s="40" t="str">
        <f>IFERROR(__xludf.DUMMYFUNCTION("TEXTJOIN("", "",TRUE,UNIQUE(FILTER('Data Master'!$B$2:$B2880,'Data Master'!$J$2:$J2880=A1616)))"),"operator poktan")</f>
        <v>operator poktan</v>
      </c>
    </row>
    <row r="1617" hidden="1">
      <c r="C1617" s="40" t="str">
        <f>IFERROR(__xludf.DUMMYFUNCTION("TEXTJOIN("", "",TRUE,UNIQUE(FILTER('Data Master'!$B$2:$B2880,'Data Master'!$J$2:$J2880=A1617)))"),"petani")</f>
        <v>petani</v>
      </c>
    </row>
    <row r="1618" hidden="1">
      <c r="C1618" s="40" t="str">
        <f>IFERROR(__xludf.DUMMYFUNCTION("TEXTJOIN("", "",TRUE,UNIQUE(FILTER('Data Master'!$B$2:$B2880,'Data Master'!$J$2:$J2880=A1618)))"),"petani")</f>
        <v>petani</v>
      </c>
    </row>
    <row r="1619" hidden="1">
      <c r="C1619" s="40" t="str">
        <f>IFERROR(__xludf.DUMMYFUNCTION("TEXTJOIN("", "",TRUE,UNIQUE(FILTER('Data Master'!$B$2:$B2880,'Data Master'!$J$2:$J2880=A1619)))"),"petani")</f>
        <v>petani</v>
      </c>
    </row>
    <row r="1620" hidden="1">
      <c r="C1620" s="40" t="str">
        <f>IFERROR(__xludf.DUMMYFUNCTION("TEXTJOIN("", "",TRUE,UNIQUE(FILTER('Data Master'!$B$2:$B2880,'Data Master'!$J$2:$J2880=A1620)))"),"petani")</f>
        <v>petani</v>
      </c>
    </row>
    <row r="1621" hidden="1">
      <c r="C1621" s="40" t="str">
        <f>IFERROR(__xludf.DUMMYFUNCTION("TEXTJOIN("", "",TRUE,UNIQUE(FILTER('Data Master'!$B$2:$B2880,'Data Master'!$J$2:$J2880=A1621)))"),"petani")</f>
        <v>petani</v>
      </c>
    </row>
    <row r="1622" hidden="1">
      <c r="C1622" s="40" t="str">
        <f>IFERROR(__xludf.DUMMYFUNCTION("TEXTJOIN("", "",TRUE,UNIQUE(FILTER('Data Master'!$B$2:$B2880,'Data Master'!$J$2:$J2880=A1622)))"),"petani")</f>
        <v>petani</v>
      </c>
    </row>
    <row r="1623" hidden="1">
      <c r="C1623" s="40" t="str">
        <f>IFERROR(__xludf.DUMMYFUNCTION("TEXTJOIN("", "",TRUE,UNIQUE(FILTER('Data Master'!$B$2:$B2880,'Data Master'!$J$2:$J2880=A1623)))"),"petani")</f>
        <v>petani</v>
      </c>
    </row>
    <row r="1624" hidden="1">
      <c r="C1624" s="40" t="str">
        <f>IFERROR(__xludf.DUMMYFUNCTION("TEXTJOIN("", "",TRUE,UNIQUE(FILTER('Data Master'!$B$2:$B2880,'Data Master'!$J$2:$J2880=A1624)))"),"petani")</f>
        <v>petani</v>
      </c>
    </row>
    <row r="1625" hidden="1">
      <c r="C1625" s="40" t="str">
        <f>IFERROR(__xludf.DUMMYFUNCTION("TEXTJOIN("", "",TRUE,UNIQUE(FILTER('Data Master'!$B$2:$B2880,'Data Master'!$J$2:$J2880=A1625)))"),"petani")</f>
        <v>petani</v>
      </c>
    </row>
    <row r="1626" hidden="1">
      <c r="C1626" s="40" t="str">
        <f>IFERROR(__xludf.DUMMYFUNCTION("TEXTJOIN("", "",TRUE,UNIQUE(FILTER('Data Master'!$B$2:$B2880,'Data Master'!$J$2:$J2880=A1626)))"),"petani")</f>
        <v>petani</v>
      </c>
    </row>
    <row r="1627" hidden="1">
      <c r="C1627" s="40" t="str">
        <f>IFERROR(__xludf.DUMMYFUNCTION("TEXTJOIN("", "",TRUE,UNIQUE(FILTER('Data Master'!$B$2:$B2880,'Data Master'!$J$2:$J2880=A1627)))"),"petani")</f>
        <v>petani</v>
      </c>
    </row>
    <row r="1628" hidden="1">
      <c r="C1628" s="40" t="str">
        <f>IFERROR(__xludf.DUMMYFUNCTION("TEXTJOIN("", "",TRUE,UNIQUE(FILTER('Data Master'!$B$2:$B2880,'Data Master'!$J$2:$J2880=A1628)))"),"petani")</f>
        <v>petani</v>
      </c>
    </row>
    <row r="1629" hidden="1">
      <c r="C1629" s="40" t="str">
        <f>IFERROR(__xludf.DUMMYFUNCTION("TEXTJOIN("", "",TRUE,UNIQUE(FILTER('Data Master'!$B$2:$B2880,'Data Master'!$J$2:$J2880=A1629)))"),"petani")</f>
        <v>petani</v>
      </c>
    </row>
    <row r="1630" hidden="1">
      <c r="C1630" s="40" t="str">
        <f>IFERROR(__xludf.DUMMYFUNCTION("TEXTJOIN("", "",TRUE,UNIQUE(FILTER('Data Master'!$B$2:$B2880,'Data Master'!$J$2:$J2880=A1630)))"),"petani")</f>
        <v>petani</v>
      </c>
    </row>
    <row r="1631" hidden="1">
      <c r="C1631" s="40" t="str">
        <f>IFERROR(__xludf.DUMMYFUNCTION("TEXTJOIN("", "",TRUE,UNIQUE(FILTER('Data Master'!$B$2:$B2880,'Data Master'!$J$2:$J2880=A1631)))"),"petani")</f>
        <v>petani</v>
      </c>
    </row>
    <row r="1632" hidden="1">
      <c r="C1632" s="40" t="str">
        <f>IFERROR(__xludf.DUMMYFUNCTION("TEXTJOIN("", "",TRUE,UNIQUE(FILTER('Data Master'!$B$2:$B2880,'Data Master'!$J$2:$J2880=A1632)))"),"petani")</f>
        <v>petani</v>
      </c>
    </row>
    <row r="1633" hidden="1">
      <c r="C1633" s="40" t="str">
        <f>IFERROR(__xludf.DUMMYFUNCTION("TEXTJOIN("", "",TRUE,UNIQUE(FILTER('Data Master'!$B$2:$B2880,'Data Master'!$J$2:$J2880=A1633)))"),"petani")</f>
        <v>petani</v>
      </c>
    </row>
    <row r="1634" hidden="1">
      <c r="C1634" s="40" t="str">
        <f>IFERROR(__xludf.DUMMYFUNCTION("TEXTJOIN("", "",TRUE,UNIQUE(FILTER('Data Master'!$B$2:$B2880,'Data Master'!$J$2:$J2880=A1634)))"),"petani")</f>
        <v>petani</v>
      </c>
    </row>
    <row r="1635" hidden="1">
      <c r="C1635" s="40" t="str">
        <f>IFERROR(__xludf.DUMMYFUNCTION("TEXTJOIN("", "",TRUE,UNIQUE(FILTER('Data Master'!$B$2:$B2880,'Data Master'!$J$2:$J2880=A1635)))"),"petani")</f>
        <v>petani</v>
      </c>
    </row>
    <row r="1636" hidden="1">
      <c r="C1636" s="40" t="str">
        <f>IFERROR(__xludf.DUMMYFUNCTION("TEXTJOIN("", "",TRUE,UNIQUE(FILTER('Data Master'!$B$2:$B2880,'Data Master'!$J$2:$J2880=A1636)))"),"petani")</f>
        <v>petani</v>
      </c>
    </row>
    <row r="1637" hidden="1">
      <c r="C1637" s="40" t="str">
        <f>IFERROR(__xludf.DUMMYFUNCTION("TEXTJOIN("", "",TRUE,UNIQUE(FILTER('Data Master'!$B$2:$B2880,'Data Master'!$J$2:$J2880=A1637)))"),"petani")</f>
        <v>petani</v>
      </c>
    </row>
    <row r="1638" hidden="1">
      <c r="C1638" s="40" t="str">
        <f>IFERROR(__xludf.DUMMYFUNCTION("TEXTJOIN("", "",TRUE,UNIQUE(FILTER('Data Master'!$B$2:$B2880,'Data Master'!$J$2:$J2880=A1638)))"),"petani")</f>
        <v>petani</v>
      </c>
    </row>
    <row r="1639" hidden="1">
      <c r="C1639" s="40" t="str">
        <f>IFERROR(__xludf.DUMMYFUNCTION("TEXTJOIN("", "",TRUE,UNIQUE(FILTER('Data Master'!$B$2:$B2880,'Data Master'!$J$2:$J2880=A1639)))"),"petani")</f>
        <v>petani</v>
      </c>
    </row>
    <row r="1640" hidden="1">
      <c r="C1640" s="40" t="str">
        <f>IFERROR(__xludf.DUMMYFUNCTION("TEXTJOIN("", "",TRUE,UNIQUE(FILTER('Data Master'!$B$2:$B2880,'Data Master'!$J$2:$J2880=A1640)))"),"petani")</f>
        <v>petani</v>
      </c>
    </row>
    <row r="1641" hidden="1">
      <c r="C1641" s="40" t="str">
        <f>IFERROR(__xludf.DUMMYFUNCTION("TEXTJOIN("", "",TRUE,UNIQUE(FILTER('Data Master'!$B$2:$B2880,'Data Master'!$J$2:$J2880=A1641)))"),"petani")</f>
        <v>petani</v>
      </c>
    </row>
    <row r="1642" hidden="1">
      <c r="C1642" s="40" t="str">
        <f>IFERROR(__xludf.DUMMYFUNCTION("TEXTJOIN("", "",TRUE,UNIQUE(FILTER('Data Master'!$B$2:$B2880,'Data Master'!$J$2:$J2880=A1642)))"),"operator admin")</f>
        <v>operator admin</v>
      </c>
    </row>
    <row r="1643" hidden="1">
      <c r="C1643" s="40" t="str">
        <f>IFERROR(__xludf.DUMMYFUNCTION("TEXTJOIN("", "",TRUE,UNIQUE(FILTER('Data Master'!$B$2:$B2880,'Data Master'!$J$2:$J2880=A1643)))"),"petani")</f>
        <v>petani</v>
      </c>
    </row>
    <row r="1644" hidden="1">
      <c r="C1644" s="40" t="str">
        <f>IFERROR(__xludf.DUMMYFUNCTION("TEXTJOIN("", "",TRUE,UNIQUE(FILTER('Data Master'!$B$2:$B2880,'Data Master'!$J$2:$J2880=A1644)))"),"petani")</f>
        <v>petani</v>
      </c>
    </row>
    <row r="1645" hidden="1">
      <c r="C1645" s="40" t="str">
        <f>IFERROR(__xludf.DUMMYFUNCTION("TEXTJOIN("", "",TRUE,UNIQUE(FILTER('Data Master'!$B$2:$B2880,'Data Master'!$J$2:$J2880=A1645)))"),"petani")</f>
        <v>petani</v>
      </c>
    </row>
    <row r="1646" hidden="1">
      <c r="C1646" s="40" t="str">
        <f>IFERROR(__xludf.DUMMYFUNCTION("TEXTJOIN("", "",TRUE,UNIQUE(FILTER('Data Master'!$B$2:$B2880,'Data Master'!$J$2:$J2880=A1646)))"),"petani")</f>
        <v>petani</v>
      </c>
    </row>
    <row r="1647" hidden="1">
      <c r="C1647" s="40" t="str">
        <f>IFERROR(__xludf.DUMMYFUNCTION("TEXTJOIN("", "",TRUE,UNIQUE(FILTER('Data Master'!$B$2:$B2880,'Data Master'!$J$2:$J2880=A1647)))"),"petani")</f>
        <v>petani</v>
      </c>
    </row>
    <row r="1648" hidden="1">
      <c r="C1648" s="40" t="str">
        <f>IFERROR(__xludf.DUMMYFUNCTION("TEXTJOIN("", "",TRUE,UNIQUE(FILTER('Data Master'!$B$2:$B2880,'Data Master'!$J$2:$J2880=A1648)))"),"petani")</f>
        <v>petani</v>
      </c>
    </row>
    <row r="1649" hidden="1">
      <c r="C1649" s="40" t="str">
        <f>IFERROR(__xludf.DUMMYFUNCTION("TEXTJOIN("", "",TRUE,UNIQUE(FILTER('Data Master'!$B$2:$B2880,'Data Master'!$J$2:$J2880=A1649)))"),"petani")</f>
        <v>petani</v>
      </c>
    </row>
    <row r="1650" hidden="1">
      <c r="C1650" s="40" t="str">
        <f>IFERROR(__xludf.DUMMYFUNCTION("TEXTJOIN("", "",TRUE,UNIQUE(FILTER('Data Master'!$B$2:$B2880,'Data Master'!$J$2:$J2880=A1650)))"),"petani")</f>
        <v>petani</v>
      </c>
    </row>
    <row r="1651" hidden="1">
      <c r="C1651" s="40" t="str">
        <f>IFERROR(__xludf.DUMMYFUNCTION("TEXTJOIN("", "",TRUE,UNIQUE(FILTER('Data Master'!$B$2:$B2880,'Data Master'!$J$2:$J2880=A1651)))"),"petani")</f>
        <v>petani</v>
      </c>
    </row>
    <row r="1652" hidden="1">
      <c r="C1652" s="40" t="str">
        <f>IFERROR(__xludf.DUMMYFUNCTION("TEXTJOIN("", "",TRUE,UNIQUE(FILTER('Data Master'!$B$2:$B2880,'Data Master'!$J$2:$J2880=A1652)))"),"petani")</f>
        <v>petani</v>
      </c>
    </row>
    <row r="1653" hidden="1">
      <c r="C1653" s="40" t="str">
        <f>IFERROR(__xludf.DUMMYFUNCTION("TEXTJOIN("", "",TRUE,UNIQUE(FILTER('Data Master'!$B$2:$B2880,'Data Master'!$J$2:$J2880=A1653)))"),"petani")</f>
        <v>petani</v>
      </c>
    </row>
    <row r="1654" hidden="1">
      <c r="C1654" s="40" t="str">
        <f>IFERROR(__xludf.DUMMYFUNCTION("TEXTJOIN("", "",TRUE,UNIQUE(FILTER('Data Master'!$B$2:$B2880,'Data Master'!$J$2:$J2880=A1654)))"),"petani")</f>
        <v>petani</v>
      </c>
    </row>
    <row r="1655" hidden="1">
      <c r="C1655" s="40" t="str">
        <f>IFERROR(__xludf.DUMMYFUNCTION("TEXTJOIN("", "",TRUE,UNIQUE(FILTER('Data Master'!$B$2:$B2880,'Data Master'!$J$2:$J2880=A1655)))"),"petani")</f>
        <v>petani</v>
      </c>
    </row>
    <row r="1656" hidden="1">
      <c r="C1656" s="40" t="str">
        <f>IFERROR(__xludf.DUMMYFUNCTION("TEXTJOIN("", "",TRUE,UNIQUE(FILTER('Data Master'!$B$2:$B2880,'Data Master'!$J$2:$J2880=A1656)))"),"petani")</f>
        <v>petani</v>
      </c>
    </row>
    <row r="1657" hidden="1">
      <c r="C1657" s="40" t="str">
        <f>IFERROR(__xludf.DUMMYFUNCTION("TEXTJOIN("", "",TRUE,UNIQUE(FILTER('Data Master'!$B$2:$B2880,'Data Master'!$J$2:$J2880=A1657)))"),"petani")</f>
        <v>petani</v>
      </c>
    </row>
    <row r="1658" hidden="1">
      <c r="C1658" s="40" t="str">
        <f>IFERROR(__xludf.DUMMYFUNCTION("TEXTJOIN("", "",TRUE,UNIQUE(FILTER('Data Master'!$B$2:$B2880,'Data Master'!$J$2:$J2880=A1658)))"),"petani")</f>
        <v>petani</v>
      </c>
    </row>
    <row r="1659" hidden="1">
      <c r="C1659" s="40" t="str">
        <f>IFERROR(__xludf.DUMMYFUNCTION("TEXTJOIN("", "",TRUE,UNIQUE(FILTER('Data Master'!$B$2:$B2880,'Data Master'!$J$2:$J2880=A1659)))"),"petani")</f>
        <v>petani</v>
      </c>
    </row>
    <row r="1660" hidden="1">
      <c r="C1660" s="40" t="str">
        <f>IFERROR(__xludf.DUMMYFUNCTION("TEXTJOIN("", "",TRUE,UNIQUE(FILTER('Data Master'!$B$2:$B2880,'Data Master'!$J$2:$J2880=A1660)))"),"petani")</f>
        <v>petani</v>
      </c>
    </row>
    <row r="1661" hidden="1">
      <c r="C1661" s="40" t="str">
        <f>IFERROR(__xludf.DUMMYFUNCTION("TEXTJOIN("", "",TRUE,UNIQUE(FILTER('Data Master'!$B$2:$B2880,'Data Master'!$J$2:$J2880=A1661)))"),"petani")</f>
        <v>petani</v>
      </c>
    </row>
    <row r="1662" hidden="1">
      <c r="C1662" s="40" t="str">
        <f>IFERROR(__xludf.DUMMYFUNCTION("TEXTJOIN("", "",TRUE,UNIQUE(FILTER('Data Master'!$B$2:$B2880,'Data Master'!$J$2:$J2880=A1662)))"),"petani")</f>
        <v>petani</v>
      </c>
    </row>
    <row r="1663" hidden="1">
      <c r="C1663" s="40" t="str">
        <f>IFERROR(__xludf.DUMMYFUNCTION("TEXTJOIN("", "",TRUE,UNIQUE(FILTER('Data Master'!$B$2:$B2880,'Data Master'!$J$2:$J2880=A1663)))"),"petani")</f>
        <v>petani</v>
      </c>
    </row>
    <row r="1664" hidden="1">
      <c r="C1664" s="40" t="str">
        <f>IFERROR(__xludf.DUMMYFUNCTION("TEXTJOIN("", "",TRUE,UNIQUE(FILTER('Data Master'!$B$2:$B2880,'Data Master'!$J$2:$J2880=A1664)))"),"petani")</f>
        <v>petani</v>
      </c>
    </row>
    <row r="1665" hidden="1">
      <c r="C1665" s="40" t="str">
        <f>IFERROR(__xludf.DUMMYFUNCTION("TEXTJOIN("", "",TRUE,UNIQUE(FILTER('Data Master'!$B$2:$B2880,'Data Master'!$J$2:$J2880=A1665)))"),"petani")</f>
        <v>petani</v>
      </c>
    </row>
    <row r="1666" hidden="1">
      <c r="C1666" s="40" t="str">
        <f>IFERROR(__xludf.DUMMYFUNCTION("TEXTJOIN("", "",TRUE,UNIQUE(FILTER('Data Master'!$B$2:$B2880,'Data Master'!$J$2:$J2880=A1666)))"),"petani")</f>
        <v>petani</v>
      </c>
    </row>
    <row r="1667" hidden="1">
      <c r="C1667" s="40" t="str">
        <f>IFERROR(__xludf.DUMMYFUNCTION("TEXTJOIN("", "",TRUE,UNIQUE(FILTER('Data Master'!$B$2:$B2880,'Data Master'!$J$2:$J2880=A1667)))"),"petani")</f>
        <v>petani</v>
      </c>
    </row>
    <row r="1668" hidden="1">
      <c r="C1668" s="40" t="str">
        <f>IFERROR(__xludf.DUMMYFUNCTION("TEXTJOIN("", "",TRUE,UNIQUE(FILTER('Data Master'!$B$2:$B2880,'Data Master'!$J$2:$J2880=A1668)))"),"petani")</f>
        <v>petani</v>
      </c>
    </row>
    <row r="1669" hidden="1">
      <c r="C1669" s="40" t="str">
        <f>IFERROR(__xludf.DUMMYFUNCTION("TEXTJOIN("", "",TRUE,UNIQUE(FILTER('Data Master'!$B$2:$B2880,'Data Master'!$J$2:$J2880=A1669)))"),"petani")</f>
        <v>petani</v>
      </c>
    </row>
    <row r="1670" hidden="1">
      <c r="C1670" s="40" t="str">
        <f>IFERROR(__xludf.DUMMYFUNCTION("TEXTJOIN("", "",TRUE,UNIQUE(FILTER('Data Master'!$B$2:$B2880,'Data Master'!$J$2:$J2880=A1670)))"),"penyuluh")</f>
        <v>penyuluh</v>
      </c>
    </row>
    <row r="1671" hidden="1">
      <c r="C1671" s="40" t="str">
        <f>IFERROR(__xludf.DUMMYFUNCTION("TEXTJOIN("", "",TRUE,UNIQUE(FILTER('Data Master'!$B$2:$B2880,'Data Master'!$J$2:$J2880=A1671)))"),"petani")</f>
        <v>petani</v>
      </c>
    </row>
    <row r="1672" hidden="1">
      <c r="C1672" s="40" t="str">
        <f>IFERROR(__xludf.DUMMYFUNCTION("TEXTJOIN("", "",TRUE,UNIQUE(FILTER('Data Master'!$B$2:$B2880,'Data Master'!$J$2:$J2880=A1672)))"),"petani")</f>
        <v>petani</v>
      </c>
    </row>
    <row r="1673" hidden="1">
      <c r="C1673" s="40" t="str">
        <f>IFERROR(__xludf.DUMMYFUNCTION("TEXTJOIN("", "",TRUE,UNIQUE(FILTER('Data Master'!$B$2:$B2880,'Data Master'!$J$2:$J2880=A1673)))"),"petani")</f>
        <v>petani</v>
      </c>
    </row>
    <row r="1674" hidden="1">
      <c r="C1674" s="40" t="str">
        <f>IFERROR(__xludf.DUMMYFUNCTION("TEXTJOIN("", "",TRUE,UNIQUE(FILTER('Data Master'!$B$2:$B2880,'Data Master'!$J$2:$J2880=A1674)))"),"petani")</f>
        <v>petani</v>
      </c>
    </row>
    <row r="1675" hidden="1">
      <c r="C1675" s="40" t="str">
        <f>IFERROR(__xludf.DUMMYFUNCTION("TEXTJOIN("", "",TRUE,UNIQUE(FILTER('Data Master'!$B$2:$B2880,'Data Master'!$J$2:$J2880=A1675)))"),"petani")</f>
        <v>petani</v>
      </c>
    </row>
    <row r="1676" hidden="1">
      <c r="C1676" s="40" t="str">
        <f>IFERROR(__xludf.DUMMYFUNCTION("TEXTJOIN("", "",TRUE,UNIQUE(FILTER('Data Master'!$B$2:$B2880,'Data Master'!$J$2:$J2880=A1676)))"),"petani")</f>
        <v>petani</v>
      </c>
    </row>
    <row r="1677" hidden="1">
      <c r="C1677" s="40" t="str">
        <f>IFERROR(__xludf.DUMMYFUNCTION("TEXTJOIN("", "",TRUE,UNIQUE(FILTER('Data Master'!$B$2:$B2880,'Data Master'!$J$2:$J2880=A1677)))"),"petani")</f>
        <v>petani</v>
      </c>
    </row>
    <row r="1678" hidden="1">
      <c r="C1678" s="40" t="str">
        <f>IFERROR(__xludf.DUMMYFUNCTION("TEXTJOIN("", "",TRUE,UNIQUE(FILTER('Data Master'!$B$2:$B2880,'Data Master'!$J$2:$J2880=A1678)))"),"petani")</f>
        <v>petani</v>
      </c>
    </row>
    <row r="1679" hidden="1">
      <c r="C1679" s="40" t="str">
        <f>IFERROR(__xludf.DUMMYFUNCTION("TEXTJOIN("", "",TRUE,UNIQUE(FILTER('Data Master'!$B$2:$B2880,'Data Master'!$J$2:$J2880=A1679)))"),"petani")</f>
        <v>petani</v>
      </c>
    </row>
    <row r="1680" hidden="1">
      <c r="C1680" s="40" t="str">
        <f>IFERROR(__xludf.DUMMYFUNCTION("TEXTJOIN("", "",TRUE,UNIQUE(FILTER('Data Master'!$B$2:$B2880,'Data Master'!$J$2:$J2880=A1680)))"),"petani")</f>
        <v>petani</v>
      </c>
    </row>
    <row r="1681" hidden="1">
      <c r="C1681" s="40" t="str">
        <f>IFERROR(__xludf.DUMMYFUNCTION("TEXTJOIN("", "",TRUE,UNIQUE(FILTER('Data Master'!$B$2:$B2880,'Data Master'!$J$2:$J2880=A1681)))"),"petani")</f>
        <v>petani</v>
      </c>
    </row>
    <row r="1682" hidden="1">
      <c r="C1682" s="40" t="str">
        <f>IFERROR(__xludf.DUMMYFUNCTION("TEXTJOIN("", "",TRUE,UNIQUE(FILTER('Data Master'!$B$2:$B2880,'Data Master'!$J$2:$J2880=A1682)))"),"petani")</f>
        <v>petani</v>
      </c>
    </row>
    <row r="1683" hidden="1">
      <c r="C1683" s="40" t="str">
        <f>IFERROR(__xludf.DUMMYFUNCTION("TEXTJOIN("", "",TRUE,UNIQUE(FILTER('Data Master'!$B$2:$B2880,'Data Master'!$J$2:$J2880=A1683)))"),"petani")</f>
        <v>petani</v>
      </c>
    </row>
    <row r="1684" hidden="1">
      <c r="C1684" s="40" t="str">
        <f>IFERROR(__xludf.DUMMYFUNCTION("TEXTJOIN("", "",TRUE,UNIQUE(FILTER('Data Master'!$B$2:$B2880,'Data Master'!$J$2:$J2880=A1684)))"),"petani")</f>
        <v>petani</v>
      </c>
    </row>
    <row r="1685" hidden="1">
      <c r="C1685" s="40" t="str">
        <f>IFERROR(__xludf.DUMMYFUNCTION("TEXTJOIN("", "",TRUE,UNIQUE(FILTER('Data Master'!$B$2:$B2880,'Data Master'!$J$2:$J2880=A1685)))"),"petani")</f>
        <v>petani</v>
      </c>
    </row>
    <row r="1686" hidden="1">
      <c r="C1686" s="40" t="str">
        <f>IFERROR(__xludf.DUMMYFUNCTION("TEXTJOIN("", "",TRUE,UNIQUE(FILTER('Data Master'!$B$2:$B2880,'Data Master'!$J$2:$J2880=A1686)))"),"petani")</f>
        <v>petani</v>
      </c>
    </row>
    <row r="1687" hidden="1">
      <c r="C1687" s="40" t="str">
        <f>IFERROR(__xludf.DUMMYFUNCTION("TEXTJOIN("", "",TRUE,UNIQUE(FILTER('Data Master'!$B$2:$B2880,'Data Master'!$J$2:$J2880=A1687)))"),"petani")</f>
        <v>petani</v>
      </c>
    </row>
    <row r="1688" hidden="1">
      <c r="C1688" s="40" t="str">
        <f>IFERROR(__xludf.DUMMYFUNCTION("TEXTJOIN("", "",TRUE,UNIQUE(FILTER('Data Master'!$B$2:$B2880,'Data Master'!$J$2:$J2880=A1688)))"),"petani")</f>
        <v>petani</v>
      </c>
    </row>
    <row r="1689" hidden="1">
      <c r="C1689" s="40" t="str">
        <f>IFERROR(__xludf.DUMMYFUNCTION("TEXTJOIN("", "",TRUE,UNIQUE(FILTER('Data Master'!$B$2:$B2880,'Data Master'!$J$2:$J2880=A1689)))"),"petani")</f>
        <v>petani</v>
      </c>
    </row>
    <row r="1690" hidden="1">
      <c r="C1690" s="40" t="str">
        <f>IFERROR(__xludf.DUMMYFUNCTION("TEXTJOIN("", "",TRUE,UNIQUE(FILTER('Data Master'!$B$2:$B2880,'Data Master'!$J$2:$J2880=A1690)))"),"petani")</f>
        <v>petani</v>
      </c>
    </row>
    <row r="1691" hidden="1">
      <c r="C1691" s="40" t="str">
        <f>IFERROR(__xludf.DUMMYFUNCTION("TEXTJOIN("", "",TRUE,UNIQUE(FILTER('Data Master'!$B$2:$B2880,'Data Master'!$J$2:$J2880=A1691)))"),"petani")</f>
        <v>petani</v>
      </c>
    </row>
    <row r="1692" hidden="1">
      <c r="C1692" s="40" t="str">
        <f>IFERROR(__xludf.DUMMYFUNCTION("TEXTJOIN("", "",TRUE,UNIQUE(FILTER('Data Master'!$B$2:$B2880,'Data Master'!$J$2:$J2880=A1692)))"),"petani")</f>
        <v>petani</v>
      </c>
    </row>
    <row r="1693" hidden="1">
      <c r="C1693" s="40" t="str">
        <f>IFERROR(__xludf.DUMMYFUNCTION("TEXTJOIN("", "",TRUE,UNIQUE(FILTER('Data Master'!$B$2:$B2880,'Data Master'!$J$2:$J2880=A1693)))"),"petani")</f>
        <v>petani</v>
      </c>
    </row>
    <row r="1694" hidden="1">
      <c r="C1694" s="40" t="str">
        <f>IFERROR(__xludf.DUMMYFUNCTION("TEXTJOIN("", "",TRUE,UNIQUE(FILTER('Data Master'!$B$2:$B2880,'Data Master'!$J$2:$J2880=A1694)))"),"petani")</f>
        <v>petani</v>
      </c>
    </row>
    <row r="1695" hidden="1">
      <c r="C1695" s="40" t="str">
        <f>IFERROR(__xludf.DUMMYFUNCTION("TEXTJOIN("", "",TRUE,UNIQUE(FILTER('Data Master'!$B$2:$B2880,'Data Master'!$J$2:$J2880=A1695)))"),"petani")</f>
        <v>petani</v>
      </c>
    </row>
    <row r="1696" hidden="1">
      <c r="C1696" s="40" t="str">
        <f>IFERROR(__xludf.DUMMYFUNCTION("TEXTJOIN("", "",TRUE,UNIQUE(FILTER('Data Master'!$B$2:$B2880,'Data Master'!$J$2:$J2880=A1696)))"),"petani")</f>
        <v>petani</v>
      </c>
    </row>
    <row r="1697" hidden="1">
      <c r="C1697" s="40" t="str">
        <f>IFERROR(__xludf.DUMMYFUNCTION("TEXTJOIN("", "",TRUE,UNIQUE(FILTER('Data Master'!$B$2:$B2880,'Data Master'!$J$2:$J2880=A1697)))"),"petani")</f>
        <v>petani</v>
      </c>
    </row>
    <row r="1698" hidden="1">
      <c r="C1698" s="40" t="str">
        <f>IFERROR(__xludf.DUMMYFUNCTION("TEXTJOIN("", "",TRUE,UNIQUE(FILTER('Data Master'!$B$2:$B2880,'Data Master'!$J$2:$J2880=A1698)))"),"petani")</f>
        <v>petani</v>
      </c>
    </row>
    <row r="1699" hidden="1">
      <c r="C1699" s="40" t="str">
        <f>IFERROR(__xludf.DUMMYFUNCTION("TEXTJOIN("", "",TRUE,UNIQUE(FILTER('Data Master'!$B$2:$B2880,'Data Master'!$J$2:$J2880=A1699)))"),"petani")</f>
        <v>petani</v>
      </c>
    </row>
    <row r="1700" hidden="1">
      <c r="C1700" s="40" t="str">
        <f>IFERROR(__xludf.DUMMYFUNCTION("TEXTJOIN("", "",TRUE,UNIQUE(FILTER('Data Master'!$B$2:$B2880,'Data Master'!$J$2:$J2880=A1700)))"),"petani")</f>
        <v>petani</v>
      </c>
    </row>
    <row r="1701" hidden="1">
      <c r="C1701" s="40" t="str">
        <f>IFERROR(__xludf.DUMMYFUNCTION("TEXTJOIN("", "",TRUE,UNIQUE(FILTER('Data Master'!$B$2:$B2880,'Data Master'!$J$2:$J2880=A1701)))"),"petani")</f>
        <v>petani</v>
      </c>
    </row>
    <row r="1702" hidden="1">
      <c r="C1702" s="40" t="str">
        <f>IFERROR(__xludf.DUMMYFUNCTION("TEXTJOIN("", "",TRUE,UNIQUE(FILTER('Data Master'!$B$2:$B2880,'Data Master'!$J$2:$J2880=A1702)))"),"petani")</f>
        <v>petani</v>
      </c>
    </row>
    <row r="1703" hidden="1">
      <c r="C1703" s="40" t="str">
        <f>IFERROR(__xludf.DUMMYFUNCTION("TEXTJOIN("", "",TRUE,UNIQUE(FILTER('Data Master'!$B$2:$B2880,'Data Master'!$J$2:$J2880=A1703)))"),"petani")</f>
        <v>petani</v>
      </c>
    </row>
    <row r="1704" hidden="1">
      <c r="C1704" s="40" t="str">
        <f>IFERROR(__xludf.DUMMYFUNCTION("TEXTJOIN("", "",TRUE,UNIQUE(FILTER('Data Master'!$B$2:$B2880,'Data Master'!$J$2:$J2880=A1704)))"),"petani")</f>
        <v>petani</v>
      </c>
    </row>
    <row r="1705" hidden="1">
      <c r="C1705" s="40" t="str">
        <f>IFERROR(__xludf.DUMMYFUNCTION("TEXTJOIN("", "",TRUE,UNIQUE(FILTER('Data Master'!$B$2:$B2880,'Data Master'!$J$2:$J2880=A1705)))"),"petani")</f>
        <v>petani</v>
      </c>
    </row>
    <row r="1706" hidden="1">
      <c r="C1706" s="40" t="str">
        <f>IFERROR(__xludf.DUMMYFUNCTION("TEXTJOIN("", "",TRUE,UNIQUE(FILTER('Data Master'!$B$2:$B2880,'Data Master'!$J$2:$J2880=A1706)))"),"petani")</f>
        <v>petani</v>
      </c>
    </row>
    <row r="1707" hidden="1">
      <c r="C1707" s="40" t="str">
        <f>IFERROR(__xludf.DUMMYFUNCTION("TEXTJOIN("", "",TRUE,UNIQUE(FILTER('Data Master'!$B$2:$B2880,'Data Master'!$J$2:$J2880=A1707)))"),"petani")</f>
        <v>petani</v>
      </c>
    </row>
    <row r="1708" hidden="1">
      <c r="C1708" s="40" t="str">
        <f>IFERROR(__xludf.DUMMYFUNCTION("TEXTJOIN("", "",TRUE,UNIQUE(FILTER('Data Master'!$B$2:$B2880,'Data Master'!$J$2:$J2880=A1708)))"),"petani")</f>
        <v>petani</v>
      </c>
    </row>
    <row r="1709" hidden="1">
      <c r="C1709" s="40" t="str">
        <f>IFERROR(__xludf.DUMMYFUNCTION("TEXTJOIN("", "",TRUE,UNIQUE(FILTER('Data Master'!$B$2:$B2880,'Data Master'!$J$2:$J2880=A1709)))"),"petani")</f>
        <v>petani</v>
      </c>
    </row>
    <row r="1710" hidden="1">
      <c r="C1710" s="40" t="str">
        <f>IFERROR(__xludf.DUMMYFUNCTION("TEXTJOIN("", "",TRUE,UNIQUE(FILTER('Data Master'!$B$2:$B2880,'Data Master'!$J$2:$J2880=A1710)))"),"petani")</f>
        <v>petani</v>
      </c>
    </row>
    <row r="1711" hidden="1">
      <c r="C1711" s="40" t="str">
        <f>IFERROR(__xludf.DUMMYFUNCTION("TEXTJOIN("", "",TRUE,UNIQUE(FILTER('Data Master'!$B$2:$B2880,'Data Master'!$J$2:$J2880=A1711)))"),"petani")</f>
        <v>petani</v>
      </c>
    </row>
    <row r="1712" hidden="1">
      <c r="C1712" s="40" t="str">
        <f>IFERROR(__xludf.DUMMYFUNCTION("TEXTJOIN("", "",TRUE,UNIQUE(FILTER('Data Master'!$B$2:$B2880,'Data Master'!$J$2:$J2880=A1712)))"),"petani")</f>
        <v>petani</v>
      </c>
    </row>
    <row r="1713" hidden="1">
      <c r="C1713" s="40" t="str">
        <f>IFERROR(__xludf.DUMMYFUNCTION("TEXTJOIN("", "",TRUE,UNIQUE(FILTER('Data Master'!$B$2:$B2880,'Data Master'!$J$2:$J2880=A1713)))"),"petani")</f>
        <v>petani</v>
      </c>
    </row>
    <row r="1714" hidden="1">
      <c r="C1714" s="40" t="str">
        <f>IFERROR(__xludf.DUMMYFUNCTION("TEXTJOIN("", "",TRUE,UNIQUE(FILTER('Data Master'!$B$2:$B2880,'Data Master'!$J$2:$J2880=A1714)))"),"petani")</f>
        <v>petani</v>
      </c>
    </row>
    <row r="1715" hidden="1">
      <c r="C1715" s="40" t="str">
        <f>IFERROR(__xludf.DUMMYFUNCTION("TEXTJOIN("", "",TRUE,UNIQUE(FILTER('Data Master'!$B$2:$B2880,'Data Master'!$J$2:$J2880=A1715)))"),"petani")</f>
        <v>petani</v>
      </c>
    </row>
    <row r="1716" hidden="1">
      <c r="C1716" s="40" t="str">
        <f>IFERROR(__xludf.DUMMYFUNCTION("TEXTJOIN("", "",TRUE,UNIQUE(FILTER('Data Master'!$B$2:$B2880,'Data Master'!$J$2:$J2880=A1716)))"),"petani")</f>
        <v>petani</v>
      </c>
    </row>
    <row r="1717" hidden="1">
      <c r="C1717" s="40" t="str">
        <f>IFERROR(__xludf.DUMMYFUNCTION("TEXTJOIN("", "",TRUE,UNIQUE(FILTER('Data Master'!$B$2:$B2880,'Data Master'!$J$2:$J2880=A1717)))"),"petani")</f>
        <v>petani</v>
      </c>
    </row>
    <row r="1718" hidden="1">
      <c r="C1718" s="40" t="str">
        <f>IFERROR(__xludf.DUMMYFUNCTION("TEXTJOIN("", "",TRUE,UNIQUE(FILTER('Data Master'!$B$2:$B2880,'Data Master'!$J$2:$J2880=A1718)))"),"petani")</f>
        <v>petani</v>
      </c>
    </row>
    <row r="1719" hidden="1">
      <c r="C1719" s="40" t="str">
        <f>IFERROR(__xludf.DUMMYFUNCTION("TEXTJOIN("", "",TRUE,UNIQUE(FILTER('Data Master'!$B$2:$B2880,'Data Master'!$J$2:$J2880=A1719)))"),"petani")</f>
        <v>petani</v>
      </c>
    </row>
    <row r="1720" hidden="1">
      <c r="C1720" s="40" t="str">
        <f>IFERROR(__xludf.DUMMYFUNCTION("TEXTJOIN("", "",TRUE,UNIQUE(FILTER('Data Master'!$B$2:$B2880,'Data Master'!$J$2:$J2880=A1720)))"),"petani")</f>
        <v>petani</v>
      </c>
    </row>
    <row r="1721" hidden="1">
      <c r="C1721" s="40" t="str">
        <f>IFERROR(__xludf.DUMMYFUNCTION("TEXTJOIN("", "",TRUE,UNIQUE(FILTER('Data Master'!$B$2:$B2880,'Data Master'!$J$2:$J2880=A1721)))"),"petani")</f>
        <v>petani</v>
      </c>
    </row>
    <row r="1722" hidden="1">
      <c r="C1722" s="40" t="str">
        <f>IFERROR(__xludf.DUMMYFUNCTION("TEXTJOIN("", "",TRUE,UNIQUE(FILTER('Data Master'!$B$2:$B2880,'Data Master'!$J$2:$J2880=A1722)))"),"petani")</f>
        <v>petani</v>
      </c>
    </row>
    <row r="1723" hidden="1">
      <c r="C1723" s="40" t="str">
        <f>IFERROR(__xludf.DUMMYFUNCTION("TEXTJOIN("", "",TRUE,UNIQUE(FILTER('Data Master'!$B$2:$B2880,'Data Master'!$J$2:$J2880=A1723)))"),"petani")</f>
        <v>petani</v>
      </c>
    </row>
    <row r="1724" hidden="1">
      <c r="C1724" s="40" t="str">
        <f>IFERROR(__xludf.DUMMYFUNCTION("TEXTJOIN("", "",TRUE,UNIQUE(FILTER('Data Master'!$B$2:$B2880,'Data Master'!$J$2:$J2880=A1724)))"),"petani")</f>
        <v>petani</v>
      </c>
    </row>
    <row r="1725" hidden="1">
      <c r="C1725" s="40" t="str">
        <f>IFERROR(__xludf.DUMMYFUNCTION("TEXTJOIN("", "",TRUE,UNIQUE(FILTER('Data Master'!$B$2:$B2880,'Data Master'!$J$2:$J2880=A1725)))"),"petani")</f>
        <v>petani</v>
      </c>
    </row>
    <row r="1726" hidden="1">
      <c r="C1726" s="40" t="str">
        <f>IFERROR(__xludf.DUMMYFUNCTION("TEXTJOIN("", "",TRUE,UNIQUE(FILTER('Data Master'!$B$2:$B2880,'Data Master'!$J$2:$J2880=A1726)))"),"petani")</f>
        <v>petani</v>
      </c>
    </row>
    <row r="1727" hidden="1">
      <c r="C1727" s="40" t="str">
        <f>IFERROR(__xludf.DUMMYFUNCTION("TEXTJOIN("", "",TRUE,UNIQUE(FILTER('Data Master'!$B$2:$B2880,'Data Master'!$J$2:$J2880=A1727)))"),"petani")</f>
        <v>petani</v>
      </c>
    </row>
    <row r="1728" hidden="1">
      <c r="C1728" s="40" t="str">
        <f>IFERROR(__xludf.DUMMYFUNCTION("TEXTJOIN("", "",TRUE,UNIQUE(FILTER('Data Master'!$B$2:$B2880,'Data Master'!$J$2:$J2880=A1728)))"),"petani")</f>
        <v>petani</v>
      </c>
    </row>
    <row r="1729" hidden="1">
      <c r="C1729" s="40" t="str">
        <f>IFERROR(__xludf.DUMMYFUNCTION("TEXTJOIN("", "",TRUE,UNIQUE(FILTER('Data Master'!$B$2:$B2880,'Data Master'!$J$2:$J2880=A1729)))"),"petani")</f>
        <v>petani</v>
      </c>
    </row>
    <row r="1730" hidden="1">
      <c r="C1730" s="40" t="str">
        <f>IFERROR(__xludf.DUMMYFUNCTION("TEXTJOIN("", "",TRUE,UNIQUE(FILTER('Data Master'!$B$2:$B2880,'Data Master'!$J$2:$J2880=A1730)))"),"petani")</f>
        <v>petani</v>
      </c>
    </row>
    <row r="1731" hidden="1">
      <c r="C1731" s="40" t="str">
        <f>IFERROR(__xludf.DUMMYFUNCTION("TEXTJOIN("", "",TRUE,UNIQUE(FILTER('Data Master'!$B$2:$B2880,'Data Master'!$J$2:$J2880=A1731)))"),"petani")</f>
        <v>petani</v>
      </c>
    </row>
    <row r="1732" hidden="1">
      <c r="C1732" s="40" t="str">
        <f>IFERROR(__xludf.DUMMYFUNCTION("TEXTJOIN("", "",TRUE,UNIQUE(FILTER('Data Master'!$B$2:$B2880,'Data Master'!$J$2:$J2880=A1732)))"),"petani")</f>
        <v>petani</v>
      </c>
    </row>
    <row r="1733" hidden="1">
      <c r="C1733" s="40" t="str">
        <f>IFERROR(__xludf.DUMMYFUNCTION("TEXTJOIN("", "",TRUE,UNIQUE(FILTER('Data Master'!$B$2:$B2880,'Data Master'!$J$2:$J2880=A1733)))"),"petani")</f>
        <v>petani</v>
      </c>
    </row>
    <row r="1734" hidden="1">
      <c r="C1734" s="40" t="str">
        <f>IFERROR(__xludf.DUMMYFUNCTION("TEXTJOIN("", "",TRUE,UNIQUE(FILTER('Data Master'!$B$2:$B2880,'Data Master'!$J$2:$J2880=A1734)))"),"petani")</f>
        <v>petani</v>
      </c>
    </row>
    <row r="1735" hidden="1">
      <c r="C1735" s="40" t="str">
        <f>IFERROR(__xludf.DUMMYFUNCTION("TEXTJOIN("", "",TRUE,UNIQUE(FILTER('Data Master'!$B$2:$B2880,'Data Master'!$J$2:$J2880=A1735)))"),"petani")</f>
        <v>petani</v>
      </c>
    </row>
    <row r="1736" hidden="1">
      <c r="C1736" s="40" t="str">
        <f>IFERROR(__xludf.DUMMYFUNCTION("TEXTJOIN("", "",TRUE,UNIQUE(FILTER('Data Master'!$B$2:$B2880,'Data Master'!$J$2:$J2880=A1736)))"),"petani")</f>
        <v>petani</v>
      </c>
    </row>
    <row r="1737" hidden="1">
      <c r="C1737" s="40" t="str">
        <f>IFERROR(__xludf.DUMMYFUNCTION("TEXTJOIN("", "",TRUE,UNIQUE(FILTER('Data Master'!$B$2:$B2880,'Data Master'!$J$2:$J2880=A1737)))"),"petani")</f>
        <v>petani</v>
      </c>
    </row>
    <row r="1738" hidden="1">
      <c r="C1738" s="40" t="str">
        <f>IFERROR(__xludf.DUMMYFUNCTION("TEXTJOIN("", "",TRUE,UNIQUE(FILTER('Data Master'!$B$2:$B2880,'Data Master'!$J$2:$J2880=A1738)))"),"petani")</f>
        <v>petani</v>
      </c>
    </row>
    <row r="1739" hidden="1">
      <c r="C1739" s="40" t="str">
        <f>IFERROR(__xludf.DUMMYFUNCTION("TEXTJOIN("", "",TRUE,UNIQUE(FILTER('Data Master'!$B$2:$B2880,'Data Master'!$J$2:$J2880=A1739)))"),"petani")</f>
        <v>petani</v>
      </c>
    </row>
    <row r="1740" hidden="1">
      <c r="C1740" s="40" t="str">
        <f>IFERROR(__xludf.DUMMYFUNCTION("TEXTJOIN("", "",TRUE,UNIQUE(FILTER('Data Master'!$B$2:$B2880,'Data Master'!$J$2:$J2880=A1740)))"),"petani")</f>
        <v>petani</v>
      </c>
    </row>
    <row r="1741" hidden="1">
      <c r="C1741" s="40" t="str">
        <f>IFERROR(__xludf.DUMMYFUNCTION("TEXTJOIN("", "",TRUE,UNIQUE(FILTER('Data Master'!$B$2:$B2880,'Data Master'!$J$2:$J2880=A1741)))"),"petani")</f>
        <v>petani</v>
      </c>
    </row>
    <row r="1742" hidden="1">
      <c r="C1742" s="40" t="str">
        <f>IFERROR(__xludf.DUMMYFUNCTION("TEXTJOIN("", "",TRUE,UNIQUE(FILTER('Data Master'!$B$2:$B2880,'Data Master'!$J$2:$J2880=A1742)))"),"petani")</f>
        <v>petani</v>
      </c>
    </row>
    <row r="1743" hidden="1">
      <c r="C1743" s="40" t="str">
        <f>IFERROR(__xludf.DUMMYFUNCTION("TEXTJOIN("", "",TRUE,UNIQUE(FILTER('Data Master'!$B$2:$B2880,'Data Master'!$J$2:$J2880=A1743)))"),"petani")</f>
        <v>petani</v>
      </c>
    </row>
    <row r="1744" hidden="1">
      <c r="C1744" s="40" t="str">
        <f>IFERROR(__xludf.DUMMYFUNCTION("TEXTJOIN("", "",TRUE,UNIQUE(FILTER('Data Master'!$B$2:$B2880,'Data Master'!$J$2:$J2880=A1744)))"),"petani")</f>
        <v>petani</v>
      </c>
    </row>
    <row r="1745" hidden="1">
      <c r="C1745" s="40" t="str">
        <f>IFERROR(__xludf.DUMMYFUNCTION("TEXTJOIN("", "",TRUE,UNIQUE(FILTER('Data Master'!$B$2:$B2880,'Data Master'!$J$2:$J2880=A1745)))"),"petani")</f>
        <v>petani</v>
      </c>
    </row>
    <row r="1746" hidden="1">
      <c r="C1746" s="40" t="str">
        <f>IFERROR(__xludf.DUMMYFUNCTION("TEXTJOIN("", "",TRUE,UNIQUE(FILTER('Data Master'!$B$2:$B2880,'Data Master'!$J$2:$J2880=A1746)))"),"petani")</f>
        <v>petani</v>
      </c>
    </row>
    <row r="1747" hidden="1">
      <c r="C1747" s="40" t="str">
        <f>IFERROR(__xludf.DUMMYFUNCTION("TEXTJOIN("", "",TRUE,UNIQUE(FILTER('Data Master'!$B$2:$B2880,'Data Master'!$J$2:$J2880=A1747)))"),"petani")</f>
        <v>petani</v>
      </c>
    </row>
    <row r="1748" hidden="1">
      <c r="C1748" s="40" t="str">
        <f>IFERROR(__xludf.DUMMYFUNCTION("TEXTJOIN("", "",TRUE,UNIQUE(FILTER('Data Master'!$B$2:$B2880,'Data Master'!$J$2:$J2880=A1748)))"),"petani")</f>
        <v>petani</v>
      </c>
    </row>
    <row r="1749" hidden="1">
      <c r="C1749" s="40" t="str">
        <f>IFERROR(__xludf.DUMMYFUNCTION("TEXTJOIN("", "",TRUE,UNIQUE(FILTER('Data Master'!$B$2:$B2880,'Data Master'!$J$2:$J2880=A1749)))"),"petani")</f>
        <v>petani</v>
      </c>
    </row>
    <row r="1750" hidden="1">
      <c r="C1750" s="40" t="str">
        <f>IFERROR(__xludf.DUMMYFUNCTION("TEXTJOIN("", "",TRUE,UNIQUE(FILTER('Data Master'!$B$2:$B2880,'Data Master'!$J$2:$J2880=A1750)))"),"petani")</f>
        <v>petani</v>
      </c>
    </row>
    <row r="1751" hidden="1">
      <c r="C1751" s="40" t="str">
        <f>IFERROR(__xludf.DUMMYFUNCTION("TEXTJOIN("", "",TRUE,UNIQUE(FILTER('Data Master'!$B$2:$B2880,'Data Master'!$J$2:$J2880=A1751)))"),"petani")</f>
        <v>petani</v>
      </c>
    </row>
    <row r="1752" hidden="1">
      <c r="C1752" s="40" t="str">
        <f>IFERROR(__xludf.DUMMYFUNCTION("TEXTJOIN("", "",TRUE,UNIQUE(FILTER('Data Master'!$B$2:$B2880,'Data Master'!$J$2:$J2880=A1752)))"),"petani")</f>
        <v>petani</v>
      </c>
    </row>
    <row r="1753" hidden="1">
      <c r="C1753" s="40" t="str">
        <f>IFERROR(__xludf.DUMMYFUNCTION("TEXTJOIN("", "",TRUE,UNIQUE(FILTER('Data Master'!$B$2:$B2880,'Data Master'!$J$2:$J2880=A1753)))"),"petani")</f>
        <v>petani</v>
      </c>
    </row>
    <row r="1754" hidden="1">
      <c r="C1754" s="40" t="str">
        <f>IFERROR(__xludf.DUMMYFUNCTION("TEXTJOIN("", "",TRUE,UNIQUE(FILTER('Data Master'!$B$2:$B2880,'Data Master'!$J$2:$J2880=A1754)))"),"petani")</f>
        <v>petani</v>
      </c>
    </row>
    <row r="1755" hidden="1">
      <c r="C1755" s="40" t="str">
        <f>IFERROR(__xludf.DUMMYFUNCTION("TEXTJOIN("", "",TRUE,UNIQUE(FILTER('Data Master'!$B$2:$B2880,'Data Master'!$J$2:$J2880=A1755)))"),"petani")</f>
        <v>petani</v>
      </c>
    </row>
    <row r="1756" hidden="1">
      <c r="C1756" s="40" t="str">
        <f>IFERROR(__xludf.DUMMYFUNCTION("TEXTJOIN("", "",TRUE,UNIQUE(FILTER('Data Master'!$B$2:$B2880,'Data Master'!$J$2:$J2880=A1756)))"),"petani")</f>
        <v>petani</v>
      </c>
    </row>
    <row r="1757" hidden="1">
      <c r="C1757" s="40" t="str">
        <f>IFERROR(__xludf.DUMMYFUNCTION("TEXTJOIN("", "",TRUE,UNIQUE(FILTER('Data Master'!$B$2:$B2880,'Data Master'!$J$2:$J2880=A1757)))"),"petani")</f>
        <v>petani</v>
      </c>
    </row>
    <row r="1758" hidden="1">
      <c r="C1758" s="40" t="str">
        <f>IFERROR(__xludf.DUMMYFUNCTION("TEXTJOIN("", "",TRUE,UNIQUE(FILTER('Data Master'!$B$2:$B2880,'Data Master'!$J$2:$J2880=A1758)))"),"petani")</f>
        <v>petani</v>
      </c>
    </row>
    <row r="1759" hidden="1">
      <c r="C1759" s="40" t="str">
        <f>IFERROR(__xludf.DUMMYFUNCTION("TEXTJOIN("", "",TRUE,UNIQUE(FILTER('Data Master'!$B$2:$B2880,'Data Master'!$J$2:$J2880=A1759)))"),"petani")</f>
        <v>petani</v>
      </c>
    </row>
    <row r="1760" hidden="1">
      <c r="C1760" s="40" t="str">
        <f>IFERROR(__xludf.DUMMYFUNCTION("TEXTJOIN("", "",TRUE,UNIQUE(FILTER('Data Master'!$B$2:$B2880,'Data Master'!$J$2:$J2880=A1760)))"),"petani")</f>
        <v>petani</v>
      </c>
    </row>
    <row r="1761" hidden="1">
      <c r="C1761" s="40" t="str">
        <f>IFERROR(__xludf.DUMMYFUNCTION("TEXTJOIN("", "",TRUE,UNIQUE(FILTER('Data Master'!$B$2:$B2880,'Data Master'!$J$2:$J2880=A1761)))"),"petani")</f>
        <v>petani</v>
      </c>
    </row>
    <row r="1762" hidden="1">
      <c r="C1762" s="40" t="str">
        <f>IFERROR(__xludf.DUMMYFUNCTION("TEXTJOIN("", "",TRUE,UNIQUE(FILTER('Data Master'!$B$2:$B2880,'Data Master'!$J$2:$J2880=A1762)))"),"petani")</f>
        <v>petani</v>
      </c>
    </row>
    <row r="1763" hidden="1">
      <c r="C1763" s="40" t="str">
        <f>IFERROR(__xludf.DUMMYFUNCTION("TEXTJOIN("", "",TRUE,UNIQUE(FILTER('Data Master'!$B$2:$B2880,'Data Master'!$J$2:$J2880=A1763)))"),"petani")</f>
        <v>petani</v>
      </c>
    </row>
    <row r="1764" hidden="1">
      <c r="C1764" s="40" t="str">
        <f>IFERROR(__xludf.DUMMYFUNCTION("TEXTJOIN("", "",TRUE,UNIQUE(FILTER('Data Master'!$B$2:$B2880,'Data Master'!$J$2:$J2880=A1764)))"),"petani")</f>
        <v>petani</v>
      </c>
    </row>
    <row r="1765" hidden="1">
      <c r="C1765" s="40" t="str">
        <f>IFERROR(__xludf.DUMMYFUNCTION("TEXTJOIN("", "",TRUE,UNIQUE(FILTER('Data Master'!$B$2:$B2880,'Data Master'!$J$2:$J2880=A1765)))"),"petani")</f>
        <v>petani</v>
      </c>
    </row>
    <row r="1766" hidden="1">
      <c r="C1766" s="40" t="str">
        <f>IFERROR(__xludf.DUMMYFUNCTION("TEXTJOIN("", "",TRUE,UNIQUE(FILTER('Data Master'!$B$2:$B2880,'Data Master'!$J$2:$J2880=A1766)))"),"petani")</f>
        <v>petani</v>
      </c>
    </row>
    <row r="1767" hidden="1">
      <c r="C1767" s="40" t="str">
        <f>IFERROR(__xludf.DUMMYFUNCTION("TEXTJOIN("", "",TRUE,UNIQUE(FILTER('Data Master'!$B$2:$B2880,'Data Master'!$J$2:$J2880=A1767)))"),"petani")</f>
        <v>petani</v>
      </c>
    </row>
    <row r="1768" hidden="1">
      <c r="C1768" s="40" t="str">
        <f>IFERROR(__xludf.DUMMYFUNCTION("TEXTJOIN("", "",TRUE,UNIQUE(FILTER('Data Master'!$B$2:$B2880,'Data Master'!$J$2:$J2880=A1768)))"),"petani")</f>
        <v>petani</v>
      </c>
    </row>
    <row r="1769" hidden="1">
      <c r="C1769" s="40" t="str">
        <f>IFERROR(__xludf.DUMMYFUNCTION("TEXTJOIN("", "",TRUE,UNIQUE(FILTER('Data Master'!$B$2:$B2880,'Data Master'!$J$2:$J2880=A1769)))"),"petani")</f>
        <v>petani</v>
      </c>
    </row>
    <row r="1770" hidden="1">
      <c r="C1770" s="40" t="str">
        <f>IFERROR(__xludf.DUMMYFUNCTION("TEXTJOIN("", "",TRUE,UNIQUE(FILTER('Data Master'!$B$2:$B2880,'Data Master'!$J$2:$J2880=A1770)))"),"petani")</f>
        <v>petani</v>
      </c>
    </row>
    <row r="1771" hidden="1">
      <c r="C1771" s="40" t="str">
        <f>IFERROR(__xludf.DUMMYFUNCTION("TEXTJOIN("", "",TRUE,UNIQUE(FILTER('Data Master'!$B$2:$B2880,'Data Master'!$J$2:$J2880=A1771)))"),"petani")</f>
        <v>petani</v>
      </c>
    </row>
    <row r="1772" hidden="1">
      <c r="C1772" s="40" t="str">
        <f>IFERROR(__xludf.DUMMYFUNCTION("TEXTJOIN("", "",TRUE,UNIQUE(FILTER('Data Master'!$B$2:$B2880,'Data Master'!$J$2:$J2880=A1772)))"),"petani")</f>
        <v>petani</v>
      </c>
    </row>
    <row r="1773" hidden="1">
      <c r="C1773" s="40" t="str">
        <f>IFERROR(__xludf.DUMMYFUNCTION("TEXTJOIN("", "",TRUE,UNIQUE(FILTER('Data Master'!$B$2:$B2880,'Data Master'!$J$2:$J2880=A1773)))"),"petani")</f>
        <v>petani</v>
      </c>
    </row>
    <row r="1774" hidden="1">
      <c r="C1774" s="40" t="str">
        <f>IFERROR(__xludf.DUMMYFUNCTION("TEXTJOIN("", "",TRUE,UNIQUE(FILTER('Data Master'!$B$2:$B2880,'Data Master'!$J$2:$J2880=A1774)))"),"petani")</f>
        <v>petani</v>
      </c>
    </row>
    <row r="1775" hidden="1">
      <c r="C1775" s="40" t="str">
        <f>IFERROR(__xludf.DUMMYFUNCTION("TEXTJOIN("", "",TRUE,UNIQUE(FILTER('Data Master'!$B$2:$B2880,'Data Master'!$J$2:$J2880=A1775)))"),"petani")</f>
        <v>petani</v>
      </c>
    </row>
    <row r="1776" hidden="1">
      <c r="C1776" s="40" t="str">
        <f>IFERROR(__xludf.DUMMYFUNCTION("TEXTJOIN("", "",TRUE,UNIQUE(FILTER('Data Master'!$B$2:$B2880,'Data Master'!$J$2:$J2880=A1776)))"),"penyuluh")</f>
        <v>penyuluh</v>
      </c>
    </row>
    <row r="1777" hidden="1">
      <c r="C1777" s="40" t="str">
        <f>IFERROR(__xludf.DUMMYFUNCTION("TEXTJOIN("", "",TRUE,UNIQUE(FILTER('Data Master'!$B$2:$B2880,'Data Master'!$J$2:$J2880=A1777)))"),"petani")</f>
        <v>petani</v>
      </c>
    </row>
    <row r="1778" hidden="1">
      <c r="C1778" s="40" t="str">
        <f>IFERROR(__xludf.DUMMYFUNCTION("TEXTJOIN("", "",TRUE,UNIQUE(FILTER('Data Master'!$B$2:$B2880,'Data Master'!$J$2:$J2880=A1778)))"),"petani")</f>
        <v>petani</v>
      </c>
    </row>
    <row r="1779" hidden="1">
      <c r="C1779" s="40" t="str">
        <f>IFERROR(__xludf.DUMMYFUNCTION("TEXTJOIN("", "",TRUE,UNIQUE(FILTER('Data Master'!$B$2:$B2880,'Data Master'!$J$2:$J2880=A1779)))"),"petani")</f>
        <v>petani</v>
      </c>
    </row>
    <row r="1780" hidden="1">
      <c r="C1780" s="40" t="str">
        <f>IFERROR(__xludf.DUMMYFUNCTION("TEXTJOIN("", "",TRUE,UNIQUE(FILTER('Data Master'!$B$2:$B2880,'Data Master'!$J$2:$J2880=A1780)))"),"petani")</f>
        <v>petani</v>
      </c>
    </row>
    <row r="1781" hidden="1">
      <c r="C1781" s="40" t="str">
        <f>IFERROR(__xludf.DUMMYFUNCTION("TEXTJOIN("", "",TRUE,UNIQUE(FILTER('Data Master'!$B$2:$B2880,'Data Master'!$J$2:$J2880=A1781)))"),"petani")</f>
        <v>petani</v>
      </c>
    </row>
    <row r="1782" hidden="1">
      <c r="C1782" s="40" t="str">
        <f>IFERROR(__xludf.DUMMYFUNCTION("TEXTJOIN("", "",TRUE,UNIQUE(FILTER('Data Master'!$B$2:$B2880,'Data Master'!$J$2:$J2880=A1782)))"),"petani")</f>
        <v>petani</v>
      </c>
    </row>
    <row r="1783" hidden="1">
      <c r="C1783" s="40" t="str">
        <f>IFERROR(__xludf.DUMMYFUNCTION("TEXTJOIN("", "",TRUE,UNIQUE(FILTER('Data Master'!$B$2:$B2880,'Data Master'!$J$2:$J2880=A1783)))"),"petani")</f>
        <v>petani</v>
      </c>
    </row>
    <row r="1784" hidden="1">
      <c r="C1784" s="40" t="str">
        <f>IFERROR(__xludf.DUMMYFUNCTION("TEXTJOIN("", "",TRUE,UNIQUE(FILTER('Data Master'!$B$2:$B2880,'Data Master'!$J$2:$J2880=A1784)))"),"petani")</f>
        <v>petani</v>
      </c>
    </row>
    <row r="1785" hidden="1">
      <c r="C1785" s="40" t="str">
        <f>IFERROR(__xludf.DUMMYFUNCTION("TEXTJOIN("", "",TRUE,UNIQUE(FILTER('Data Master'!$B$2:$B2880,'Data Master'!$J$2:$J2880=A1785)))"),"petani")</f>
        <v>petani</v>
      </c>
    </row>
    <row r="1786" hidden="1">
      <c r="C1786" s="40" t="str">
        <f>IFERROR(__xludf.DUMMYFUNCTION("TEXTJOIN("", "",TRUE,UNIQUE(FILTER('Data Master'!$B$2:$B2880,'Data Master'!$J$2:$J2880=A1786)))"),"petani")</f>
        <v>petani</v>
      </c>
    </row>
    <row r="1787" hidden="1">
      <c r="C1787" s="40" t="str">
        <f>IFERROR(__xludf.DUMMYFUNCTION("TEXTJOIN("", "",TRUE,UNIQUE(FILTER('Data Master'!$B$2:$B2880,'Data Master'!$J$2:$J2880=A1787)))"),"petani")</f>
        <v>petani</v>
      </c>
    </row>
    <row r="1788" hidden="1">
      <c r="C1788" s="40" t="str">
        <f>IFERROR(__xludf.DUMMYFUNCTION("TEXTJOIN("", "",TRUE,UNIQUE(FILTER('Data Master'!$B$2:$B2880,'Data Master'!$J$2:$J2880=A1788)))"),"petani")</f>
        <v>petani</v>
      </c>
    </row>
    <row r="1789" hidden="1">
      <c r="C1789" s="40" t="str">
        <f>IFERROR(__xludf.DUMMYFUNCTION("TEXTJOIN("", "",TRUE,UNIQUE(FILTER('Data Master'!$B$2:$B2880,'Data Master'!$J$2:$J2880=A1789)))"),"petani")</f>
        <v>petani</v>
      </c>
    </row>
    <row r="1790" hidden="1">
      <c r="C1790" s="40" t="str">
        <f>IFERROR(__xludf.DUMMYFUNCTION("TEXTJOIN("", "",TRUE,UNIQUE(FILTER('Data Master'!$B$2:$B2880,'Data Master'!$J$2:$J2880=A1790)))"),"petani")</f>
        <v>petani</v>
      </c>
    </row>
    <row r="1791" hidden="1">
      <c r="C1791" s="40" t="str">
        <f>IFERROR(__xludf.DUMMYFUNCTION("TEXTJOIN("", "",TRUE,UNIQUE(FILTER('Data Master'!$B$2:$B2880,'Data Master'!$J$2:$J2880=A1791)))"),"petani")</f>
        <v>petani</v>
      </c>
    </row>
    <row r="1792" hidden="1">
      <c r="C1792" s="40" t="str">
        <f>IFERROR(__xludf.DUMMYFUNCTION("TEXTJOIN("", "",TRUE,UNIQUE(FILTER('Data Master'!$B$2:$B2880,'Data Master'!$J$2:$J2880=A1792)))"),"petani")</f>
        <v>petani</v>
      </c>
    </row>
    <row r="1793" hidden="1">
      <c r="C1793" s="40" t="str">
        <f>IFERROR(__xludf.DUMMYFUNCTION("TEXTJOIN("", "",TRUE,UNIQUE(FILTER('Data Master'!$B$2:$B2880,'Data Master'!$J$2:$J2880=A1793)))"),"petani")</f>
        <v>petani</v>
      </c>
    </row>
    <row r="1794" hidden="1">
      <c r="C1794" s="40" t="str">
        <f>IFERROR(__xludf.DUMMYFUNCTION("TEXTJOIN("", "",TRUE,UNIQUE(FILTER('Data Master'!$B$2:$B2880,'Data Master'!$J$2:$J2880=A1794)))"),"petani")</f>
        <v>petani</v>
      </c>
    </row>
    <row r="1795" hidden="1">
      <c r="C1795" s="40" t="str">
        <f>IFERROR(__xludf.DUMMYFUNCTION("TEXTJOIN("", "",TRUE,UNIQUE(FILTER('Data Master'!$B$2:$B2880,'Data Master'!$J$2:$J2880=A1795)))"),"petani")</f>
        <v>petani</v>
      </c>
    </row>
    <row r="1796" hidden="1">
      <c r="C1796" s="40" t="str">
        <f>IFERROR(__xludf.DUMMYFUNCTION("TEXTJOIN("", "",TRUE,UNIQUE(FILTER('Data Master'!$B$2:$B2880,'Data Master'!$J$2:$J2880=A1796)))"),"petani")</f>
        <v>petani</v>
      </c>
    </row>
    <row r="1797" hidden="1">
      <c r="C1797" s="40" t="str">
        <f>IFERROR(__xludf.DUMMYFUNCTION("TEXTJOIN("", "",TRUE,UNIQUE(FILTER('Data Master'!$B$2:$B2880,'Data Master'!$J$2:$J2880=A1797)))"),"petani")</f>
        <v>petani</v>
      </c>
    </row>
    <row r="1798" hidden="1">
      <c r="C1798" s="40" t="str">
        <f>IFERROR(__xludf.DUMMYFUNCTION("TEXTJOIN("", "",TRUE,UNIQUE(FILTER('Data Master'!$B$2:$B2880,'Data Master'!$J$2:$J2880=A1798)))"),"petani")</f>
        <v>petani</v>
      </c>
    </row>
    <row r="1799" hidden="1">
      <c r="C1799" s="40" t="str">
        <f>IFERROR(__xludf.DUMMYFUNCTION("TEXTJOIN("", "",TRUE,UNIQUE(FILTER('Data Master'!$B$2:$B2880,'Data Master'!$J$2:$J2880=A1799)))"),"petani")</f>
        <v>petani</v>
      </c>
    </row>
    <row r="1800" hidden="1">
      <c r="C1800" s="40" t="str">
        <f>IFERROR(__xludf.DUMMYFUNCTION("TEXTJOIN("", "",TRUE,UNIQUE(FILTER('Data Master'!$B$2:$B2880,'Data Master'!$J$2:$J2880=A1800)))"),"petani")</f>
        <v>petani</v>
      </c>
    </row>
    <row r="1801" hidden="1">
      <c r="C1801" s="40" t="str">
        <f>IFERROR(__xludf.DUMMYFUNCTION("TEXTJOIN("", "",TRUE,UNIQUE(FILTER('Data Master'!$B$2:$B2880,'Data Master'!$J$2:$J2880=A1801)))"),"petani")</f>
        <v>petani</v>
      </c>
    </row>
    <row r="1802" hidden="1">
      <c r="C1802" s="40" t="str">
        <f>IFERROR(__xludf.DUMMYFUNCTION("TEXTJOIN("", "",TRUE,UNIQUE(FILTER('Data Master'!$B$2:$B2880,'Data Master'!$J$2:$J2880=A1802)))"),"petani")</f>
        <v>petani</v>
      </c>
    </row>
    <row r="1803" hidden="1">
      <c r="C1803" s="40" t="str">
        <f>IFERROR(__xludf.DUMMYFUNCTION("TEXTJOIN("", "",TRUE,UNIQUE(FILTER('Data Master'!$B$2:$B2880,'Data Master'!$J$2:$J2880=A1803)))"),"petani")</f>
        <v>petani</v>
      </c>
    </row>
    <row r="1804" hidden="1">
      <c r="C1804" s="40" t="str">
        <f>IFERROR(__xludf.DUMMYFUNCTION("TEXTJOIN("", "",TRUE,UNIQUE(FILTER('Data Master'!$B$2:$B2880,'Data Master'!$J$2:$J2880=A1804)))"),"petani")</f>
        <v>petani</v>
      </c>
    </row>
    <row r="1805" hidden="1">
      <c r="C1805" s="40" t="str">
        <f>IFERROR(__xludf.DUMMYFUNCTION("TEXTJOIN("", "",TRUE,UNIQUE(FILTER('Data Master'!$B$2:$B2880,'Data Master'!$J$2:$J2880=A1805)))"),"petani")</f>
        <v>petani</v>
      </c>
    </row>
    <row r="1806" hidden="1">
      <c r="C1806" s="40" t="str">
        <f>IFERROR(__xludf.DUMMYFUNCTION("TEXTJOIN("", "",TRUE,UNIQUE(FILTER('Data Master'!$B$2:$B2880,'Data Master'!$J$2:$J2880=A1806)))"),"petani")</f>
        <v>petani</v>
      </c>
    </row>
    <row r="1807" hidden="1">
      <c r="C1807" s="40" t="str">
        <f>IFERROR(__xludf.DUMMYFUNCTION("TEXTJOIN("", "",TRUE,UNIQUE(FILTER('Data Master'!$B$2:$B2880,'Data Master'!$J$2:$J2880=A1807)))"),"petani")</f>
        <v>petani</v>
      </c>
    </row>
    <row r="1808" hidden="1">
      <c r="C1808" s="40" t="str">
        <f>IFERROR(__xludf.DUMMYFUNCTION("TEXTJOIN("", "",TRUE,UNIQUE(FILTER('Data Master'!$B$2:$B2880,'Data Master'!$J$2:$J2880=A1808)))"),"petani")</f>
        <v>petani</v>
      </c>
    </row>
    <row r="1809" hidden="1">
      <c r="C1809" s="40" t="str">
        <f>IFERROR(__xludf.DUMMYFUNCTION("TEXTJOIN("", "",TRUE,UNIQUE(FILTER('Data Master'!$B$2:$B2880,'Data Master'!$J$2:$J2880=A1809)))"),"petani")</f>
        <v>petani</v>
      </c>
    </row>
    <row r="1810" hidden="1">
      <c r="C1810" s="40" t="str">
        <f>IFERROR(__xludf.DUMMYFUNCTION("TEXTJOIN("", "",TRUE,UNIQUE(FILTER('Data Master'!$B$2:$B2880,'Data Master'!$J$2:$J2880=A1810)))"),"petani")</f>
        <v>petani</v>
      </c>
    </row>
    <row r="1811" hidden="1">
      <c r="C1811" s="40" t="str">
        <f>IFERROR(__xludf.DUMMYFUNCTION("TEXTJOIN("", "",TRUE,UNIQUE(FILTER('Data Master'!$B$2:$B2880,'Data Master'!$J$2:$J2880=A1811)))"),"petani")</f>
        <v>petani</v>
      </c>
    </row>
    <row r="1812" hidden="1">
      <c r="C1812" s="40" t="str">
        <f>IFERROR(__xludf.DUMMYFUNCTION("TEXTJOIN("", "",TRUE,UNIQUE(FILTER('Data Master'!$B$2:$B2880,'Data Master'!$J$2:$J2880=A1812)))"),"petani")</f>
        <v>petani</v>
      </c>
    </row>
    <row r="1813" hidden="1">
      <c r="C1813" s="40" t="str">
        <f>IFERROR(__xludf.DUMMYFUNCTION("TEXTJOIN("", "",TRUE,UNIQUE(FILTER('Data Master'!$B$2:$B2880,'Data Master'!$J$2:$J2880=A1813)))"),"petani")</f>
        <v>petani</v>
      </c>
    </row>
    <row r="1814" hidden="1">
      <c r="C1814" s="40" t="str">
        <f>IFERROR(__xludf.DUMMYFUNCTION("TEXTJOIN("", "",TRUE,UNIQUE(FILTER('Data Master'!$B$2:$B2880,'Data Master'!$J$2:$J2880=A1814)))"),"petani")</f>
        <v>petani</v>
      </c>
    </row>
    <row r="1815" hidden="1">
      <c r="C1815" s="40" t="str">
        <f>IFERROR(__xludf.DUMMYFUNCTION("TEXTJOIN("", "",TRUE,UNIQUE(FILTER('Data Master'!$B$2:$B2880,'Data Master'!$J$2:$J2880=A1815)))"),"petani")</f>
        <v>petani</v>
      </c>
    </row>
    <row r="1816" hidden="1">
      <c r="C1816" s="40" t="str">
        <f>IFERROR(__xludf.DUMMYFUNCTION("TEXTJOIN("", "",TRUE,UNIQUE(FILTER('Data Master'!$B$2:$B2880,'Data Master'!$J$2:$J2880=A1816)))"),"petani")</f>
        <v>petani</v>
      </c>
    </row>
    <row r="1817" hidden="1">
      <c r="C1817" s="40" t="str">
        <f>IFERROR(__xludf.DUMMYFUNCTION("TEXTJOIN("", "",TRUE,UNIQUE(FILTER('Data Master'!$B$2:$B2880,'Data Master'!$J$2:$J2880=A1817)))"),"petani")</f>
        <v>petani</v>
      </c>
    </row>
    <row r="1818" hidden="1">
      <c r="C1818" s="40" t="str">
        <f>IFERROR(__xludf.DUMMYFUNCTION("TEXTJOIN("", "",TRUE,UNIQUE(FILTER('Data Master'!$B$2:$B2880,'Data Master'!$J$2:$J2880=A1818)))"),"petani")</f>
        <v>petani</v>
      </c>
    </row>
    <row r="1819" hidden="1">
      <c r="C1819" s="40" t="str">
        <f>IFERROR(__xludf.DUMMYFUNCTION("TEXTJOIN("", "",TRUE,UNIQUE(FILTER('Data Master'!$B$2:$B2880,'Data Master'!$J$2:$J2880=A1819)))"),"petani")</f>
        <v>petani</v>
      </c>
    </row>
    <row r="1820" hidden="1">
      <c r="C1820" s="40" t="str">
        <f>IFERROR(__xludf.DUMMYFUNCTION("TEXTJOIN("", "",TRUE,UNIQUE(FILTER('Data Master'!$B$2:$B2880,'Data Master'!$J$2:$J2880=A1820)))"),"petani")</f>
        <v>petani</v>
      </c>
    </row>
    <row r="1821" hidden="1">
      <c r="C1821" s="40" t="str">
        <f>IFERROR(__xludf.DUMMYFUNCTION("TEXTJOIN("", "",TRUE,UNIQUE(FILTER('Data Master'!$B$2:$B2880,'Data Master'!$J$2:$J2880=A1821)))"),"petani")</f>
        <v>petani</v>
      </c>
    </row>
    <row r="1822" hidden="1">
      <c r="C1822" s="40" t="str">
        <f>IFERROR(__xludf.DUMMYFUNCTION("TEXTJOIN("", "",TRUE,UNIQUE(FILTER('Data Master'!$B$2:$B2880,'Data Master'!$J$2:$J2880=A1822)))"),"petani")</f>
        <v>petani</v>
      </c>
    </row>
    <row r="1823" hidden="1">
      <c r="C1823" s="40" t="str">
        <f>IFERROR(__xludf.DUMMYFUNCTION("TEXTJOIN("", "",TRUE,UNIQUE(FILTER('Data Master'!$B$2:$B2880,'Data Master'!$J$2:$J2880=A1823)))"),"petani")</f>
        <v>petani</v>
      </c>
    </row>
    <row r="1824" hidden="1">
      <c r="C1824" s="40" t="str">
        <f>IFERROR(__xludf.DUMMYFUNCTION("TEXTJOIN("", "",TRUE,UNIQUE(FILTER('Data Master'!$B$2:$B2880,'Data Master'!$J$2:$J2880=A1824)))"),"petani")</f>
        <v>petani</v>
      </c>
    </row>
    <row r="1825" hidden="1">
      <c r="C1825" s="40" t="str">
        <f>IFERROR(__xludf.DUMMYFUNCTION("TEXTJOIN("", "",TRUE,UNIQUE(FILTER('Data Master'!$B$2:$B2880,'Data Master'!$J$2:$J2880=A1825)))"),"petani")</f>
        <v>petani</v>
      </c>
    </row>
    <row r="1826" hidden="1">
      <c r="C1826" s="40" t="str">
        <f>IFERROR(__xludf.DUMMYFUNCTION("TEXTJOIN("", "",TRUE,UNIQUE(FILTER('Data Master'!$B$2:$B2880,'Data Master'!$J$2:$J2880=A1826)))"),"petani")</f>
        <v>petani</v>
      </c>
    </row>
    <row r="1827" hidden="1">
      <c r="C1827" s="40" t="str">
        <f>IFERROR(__xludf.DUMMYFUNCTION("TEXTJOIN("", "",TRUE,UNIQUE(FILTER('Data Master'!$B$2:$B2880,'Data Master'!$J$2:$J2880=A1827)))"),"petani")</f>
        <v>petani</v>
      </c>
    </row>
    <row r="1828" hidden="1">
      <c r="C1828" s="40" t="str">
        <f>IFERROR(__xludf.DUMMYFUNCTION("TEXTJOIN("", "",TRUE,UNIQUE(FILTER('Data Master'!$B$2:$B2880,'Data Master'!$J$2:$J2880=A1828)))"),"petani")</f>
        <v>petani</v>
      </c>
    </row>
    <row r="1829" hidden="1">
      <c r="C1829" s="40" t="str">
        <f>IFERROR(__xludf.DUMMYFUNCTION("TEXTJOIN("", "",TRUE,UNIQUE(FILTER('Data Master'!$B$2:$B2880,'Data Master'!$J$2:$J2880=A1829)))"),"petani")</f>
        <v>petani</v>
      </c>
    </row>
    <row r="1830" hidden="1">
      <c r="C1830" s="40" t="str">
        <f>IFERROR(__xludf.DUMMYFUNCTION("TEXTJOIN("", "",TRUE,UNIQUE(FILTER('Data Master'!$B$2:$B2880,'Data Master'!$J$2:$J2880=A1830)))"),"petani")</f>
        <v>petani</v>
      </c>
    </row>
    <row r="1831" hidden="1">
      <c r="C1831" s="40" t="str">
        <f>IFERROR(__xludf.DUMMYFUNCTION("TEXTJOIN("", "",TRUE,UNIQUE(FILTER('Data Master'!$B$2:$B2880,'Data Master'!$J$2:$J2880=A1831)))"),"petani")</f>
        <v>petani</v>
      </c>
    </row>
    <row r="1832" hidden="1">
      <c r="C1832" s="40" t="str">
        <f>IFERROR(__xludf.DUMMYFUNCTION("TEXTJOIN("", "",TRUE,UNIQUE(FILTER('Data Master'!$B$2:$B2880,'Data Master'!$J$2:$J2880=A1832)))"),"petani")</f>
        <v>petani</v>
      </c>
    </row>
    <row r="1833" hidden="1">
      <c r="C1833" s="40" t="str">
        <f>IFERROR(__xludf.DUMMYFUNCTION("TEXTJOIN("", "",TRUE,UNIQUE(FILTER('Data Master'!$B$2:$B2880,'Data Master'!$J$2:$J2880=A1833)))"),"petani")</f>
        <v>petani</v>
      </c>
    </row>
    <row r="1834" hidden="1">
      <c r="C1834" s="40" t="str">
        <f>IFERROR(__xludf.DUMMYFUNCTION("TEXTJOIN("", "",TRUE,UNIQUE(FILTER('Data Master'!$B$2:$B2880,'Data Master'!$J$2:$J2880=A1834)))"),"petani")</f>
        <v>petani</v>
      </c>
    </row>
    <row r="1835" hidden="1">
      <c r="C1835" s="40" t="str">
        <f>IFERROR(__xludf.DUMMYFUNCTION("TEXTJOIN("", "",TRUE,UNIQUE(FILTER('Data Master'!$B$2:$B2880,'Data Master'!$J$2:$J2880=A1835)))"),"petani")</f>
        <v>petani</v>
      </c>
    </row>
    <row r="1836" hidden="1">
      <c r="C1836" s="40" t="str">
        <f>IFERROR(__xludf.DUMMYFUNCTION("TEXTJOIN("", "",TRUE,UNIQUE(FILTER('Data Master'!$B$2:$B2880,'Data Master'!$J$2:$J2880=A1836)))"),"petani")</f>
        <v>petani</v>
      </c>
    </row>
    <row r="1837" hidden="1">
      <c r="C1837" s="40" t="str">
        <f>IFERROR(__xludf.DUMMYFUNCTION("TEXTJOIN("", "",TRUE,UNIQUE(FILTER('Data Master'!$B$2:$B2880,'Data Master'!$J$2:$J2880=A1837)))"),"petani")</f>
        <v>petani</v>
      </c>
    </row>
    <row r="1838" hidden="1">
      <c r="C1838" s="40" t="str">
        <f>IFERROR(__xludf.DUMMYFUNCTION("TEXTJOIN("", "",TRUE,UNIQUE(FILTER('Data Master'!$B$2:$B2880,'Data Master'!$J$2:$J2880=A1838)))"),"petani")</f>
        <v>petani</v>
      </c>
    </row>
    <row r="1839" hidden="1">
      <c r="C1839" s="40" t="str">
        <f>IFERROR(__xludf.DUMMYFUNCTION("TEXTJOIN("", "",TRUE,UNIQUE(FILTER('Data Master'!$B$2:$B2880,'Data Master'!$J$2:$J2880=A1839)))"),"petani")</f>
        <v>petani</v>
      </c>
    </row>
    <row r="1840" hidden="1">
      <c r="C1840" s="40" t="str">
        <f>IFERROR(__xludf.DUMMYFUNCTION("TEXTJOIN("", "",TRUE,UNIQUE(FILTER('Data Master'!$B$2:$B2880,'Data Master'!$J$2:$J2880=A1840)))"),"petani")</f>
        <v>petani</v>
      </c>
    </row>
    <row r="1841" hidden="1">
      <c r="C1841" s="40" t="str">
        <f>IFERROR(__xludf.DUMMYFUNCTION("TEXTJOIN("", "",TRUE,UNIQUE(FILTER('Data Master'!$B$2:$B2880,'Data Master'!$J$2:$J2880=A1841)))"),"petani")</f>
        <v>petani</v>
      </c>
    </row>
    <row r="1842" hidden="1">
      <c r="C1842" s="40" t="str">
        <f>IFERROR(__xludf.DUMMYFUNCTION("TEXTJOIN("", "",TRUE,UNIQUE(FILTER('Data Master'!$B$2:$B2880,'Data Master'!$J$2:$J2880=A1842)))"),"petani")</f>
        <v>petani</v>
      </c>
    </row>
    <row r="1843" hidden="1">
      <c r="C1843" s="40" t="str">
        <f>IFERROR(__xludf.DUMMYFUNCTION("TEXTJOIN("", "",TRUE,UNIQUE(FILTER('Data Master'!$B$2:$B2880,'Data Master'!$J$2:$J2880=A1843)))"),"petani")</f>
        <v>petani</v>
      </c>
    </row>
    <row r="1844" hidden="1">
      <c r="C1844" s="40" t="str">
        <f>IFERROR(__xludf.DUMMYFUNCTION("TEXTJOIN("", "",TRUE,UNIQUE(FILTER('Data Master'!$B$2:$B2880,'Data Master'!$J$2:$J2880=A1844)))"),"petani")</f>
        <v>petani</v>
      </c>
    </row>
    <row r="1845" hidden="1">
      <c r="C1845" s="40" t="str">
        <f>IFERROR(__xludf.DUMMYFUNCTION("TEXTJOIN("", "",TRUE,UNIQUE(FILTER('Data Master'!$B$2:$B2880,'Data Master'!$J$2:$J2880=A1845)))"),"petani")</f>
        <v>petani</v>
      </c>
    </row>
    <row r="1846" hidden="1">
      <c r="C1846" s="40" t="str">
        <f>IFERROR(__xludf.DUMMYFUNCTION("TEXTJOIN("", "",TRUE,UNIQUE(FILTER('Data Master'!$B$2:$B2880,'Data Master'!$J$2:$J2880=A1846)))"),"petani")</f>
        <v>petani</v>
      </c>
    </row>
    <row r="1847" hidden="1">
      <c r="C1847" s="40" t="str">
        <f>IFERROR(__xludf.DUMMYFUNCTION("TEXTJOIN("", "",TRUE,UNIQUE(FILTER('Data Master'!$B$2:$B2880,'Data Master'!$J$2:$J2880=A1847)))"),"petani")</f>
        <v>petani</v>
      </c>
    </row>
    <row r="1848" hidden="1">
      <c r="C1848" s="40" t="str">
        <f>IFERROR(__xludf.DUMMYFUNCTION("TEXTJOIN("", "",TRUE,UNIQUE(FILTER('Data Master'!$B$2:$B2880,'Data Master'!$J$2:$J2880=A1848)))"),"petani")</f>
        <v>petani</v>
      </c>
    </row>
    <row r="1849" hidden="1">
      <c r="C1849" s="40" t="str">
        <f>IFERROR(__xludf.DUMMYFUNCTION("TEXTJOIN("", "",TRUE,UNIQUE(FILTER('Data Master'!$B$2:$B2880,'Data Master'!$J$2:$J2880=A1849)))"),"petani")</f>
        <v>petani</v>
      </c>
    </row>
    <row r="1850" hidden="1">
      <c r="C1850" s="40" t="str">
        <f>IFERROR(__xludf.DUMMYFUNCTION("TEXTJOIN("", "",TRUE,UNIQUE(FILTER('Data Master'!$B$2:$B2880,'Data Master'!$J$2:$J2880=A1850)))"),"petani")</f>
        <v>petani</v>
      </c>
    </row>
    <row r="1851" hidden="1">
      <c r="C1851" s="40" t="str">
        <f>IFERROR(__xludf.DUMMYFUNCTION("TEXTJOIN("", "",TRUE,UNIQUE(FILTER('Data Master'!$B$2:$B2880,'Data Master'!$J$2:$J2880=A1851)))"),"petani")</f>
        <v>petani</v>
      </c>
    </row>
    <row r="1852" hidden="1">
      <c r="C1852" s="40" t="str">
        <f>IFERROR(__xludf.DUMMYFUNCTION("TEXTJOIN("", "",TRUE,UNIQUE(FILTER('Data Master'!$B$2:$B2880,'Data Master'!$J$2:$J2880=A1852)))"),"petani")</f>
        <v>petani</v>
      </c>
    </row>
    <row r="1853" hidden="1">
      <c r="C1853" s="40" t="str">
        <f>IFERROR(__xludf.DUMMYFUNCTION("TEXTJOIN("", "",TRUE,UNIQUE(FILTER('Data Master'!$B$2:$B2880,'Data Master'!$J$2:$J2880=A1853)))"),"petani")</f>
        <v>petani</v>
      </c>
    </row>
    <row r="1854" hidden="1">
      <c r="C1854" s="40" t="str">
        <f>IFERROR(__xludf.DUMMYFUNCTION("TEXTJOIN("", "",TRUE,UNIQUE(FILTER('Data Master'!$B$2:$B2880,'Data Master'!$J$2:$J2880=A1854)))"),"petani")</f>
        <v>petani</v>
      </c>
    </row>
    <row r="1855" hidden="1">
      <c r="C1855" s="40" t="str">
        <f>IFERROR(__xludf.DUMMYFUNCTION("TEXTJOIN("", "",TRUE,UNIQUE(FILTER('Data Master'!$B$2:$B2880,'Data Master'!$J$2:$J2880=A1855)))"),"petani")</f>
        <v>petani</v>
      </c>
    </row>
    <row r="1856" hidden="1">
      <c r="C1856" s="40" t="str">
        <f>IFERROR(__xludf.DUMMYFUNCTION("TEXTJOIN("", "",TRUE,UNIQUE(FILTER('Data Master'!$B$2:$B2880,'Data Master'!$J$2:$J2880=A1856)))"),"petani")</f>
        <v>petani</v>
      </c>
    </row>
    <row r="1857" hidden="1">
      <c r="C1857" s="40" t="str">
        <f>IFERROR(__xludf.DUMMYFUNCTION("TEXTJOIN("", "",TRUE,UNIQUE(FILTER('Data Master'!$B$2:$B2880,'Data Master'!$J$2:$J2880=A1857)))"),"petani")</f>
        <v>petani</v>
      </c>
    </row>
    <row r="1858" hidden="1">
      <c r="C1858" s="40" t="str">
        <f>IFERROR(__xludf.DUMMYFUNCTION("TEXTJOIN("", "",TRUE,UNIQUE(FILTER('Data Master'!$B$2:$B2880,'Data Master'!$J$2:$J2880=A1858)))"),"petani")</f>
        <v>petani</v>
      </c>
    </row>
    <row r="1859" hidden="1">
      <c r="C1859" s="40" t="str">
        <f>IFERROR(__xludf.DUMMYFUNCTION("TEXTJOIN("", "",TRUE,UNIQUE(FILTER('Data Master'!$B$2:$B2880,'Data Master'!$J$2:$J2880=A1859)))"),"petani")</f>
        <v>petani</v>
      </c>
    </row>
    <row r="1860" hidden="1">
      <c r="C1860" s="40" t="str">
        <f>IFERROR(__xludf.DUMMYFUNCTION("TEXTJOIN("", "",TRUE,UNIQUE(FILTER('Data Master'!$B$2:$B2880,'Data Master'!$J$2:$J2880=A1860)))"),"petani")</f>
        <v>petani</v>
      </c>
    </row>
    <row r="1861" hidden="1">
      <c r="C1861" s="40" t="str">
        <f>IFERROR(__xludf.DUMMYFUNCTION("TEXTJOIN("", "",TRUE,UNIQUE(FILTER('Data Master'!$B$2:$B2880,'Data Master'!$J$2:$J2880=A1861)))"),"petani")</f>
        <v>petani</v>
      </c>
    </row>
    <row r="1862" hidden="1">
      <c r="C1862" s="40" t="str">
        <f>IFERROR(__xludf.DUMMYFUNCTION("TEXTJOIN("", "",TRUE,UNIQUE(FILTER('Data Master'!$B$2:$B2880,'Data Master'!$J$2:$J2880=A1862)))"),"petani")</f>
        <v>petani</v>
      </c>
    </row>
    <row r="1863" hidden="1">
      <c r="C1863" s="40" t="str">
        <f>IFERROR(__xludf.DUMMYFUNCTION("TEXTJOIN("", "",TRUE,UNIQUE(FILTER('Data Master'!$B$2:$B2880,'Data Master'!$J$2:$J2880=A1863)))"),"petani")</f>
        <v>petani</v>
      </c>
    </row>
    <row r="1864" hidden="1">
      <c r="C1864" s="40" t="str">
        <f>IFERROR(__xludf.DUMMYFUNCTION("TEXTJOIN("", "",TRUE,UNIQUE(FILTER('Data Master'!$B$2:$B2880,'Data Master'!$J$2:$J2880=A1864)))"),"petani")</f>
        <v>petani</v>
      </c>
    </row>
    <row r="1865" hidden="1">
      <c r="C1865" s="40" t="str">
        <f>IFERROR(__xludf.DUMMYFUNCTION("TEXTJOIN("", "",TRUE,UNIQUE(FILTER('Data Master'!$B$2:$B2880,'Data Master'!$J$2:$J2880=A1865)))"),"petani")</f>
        <v>petani</v>
      </c>
    </row>
    <row r="1866" hidden="1">
      <c r="C1866" s="40" t="str">
        <f>IFERROR(__xludf.DUMMYFUNCTION("TEXTJOIN("", "",TRUE,UNIQUE(FILTER('Data Master'!$B$2:$B2880,'Data Master'!$J$2:$J2880=A1866)))"),"petani")</f>
        <v>petani</v>
      </c>
    </row>
    <row r="1867" hidden="1">
      <c r="C1867" s="40" t="str">
        <f>IFERROR(__xludf.DUMMYFUNCTION("TEXTJOIN("", "",TRUE,UNIQUE(FILTER('Data Master'!$B$2:$B2880,'Data Master'!$J$2:$J2880=A1867)))"),"petani")</f>
        <v>petani</v>
      </c>
    </row>
    <row r="1868" hidden="1">
      <c r="C1868" s="40" t="str">
        <f>IFERROR(__xludf.DUMMYFUNCTION("TEXTJOIN("", "",TRUE,UNIQUE(FILTER('Data Master'!$B$2:$B2880,'Data Master'!$J$2:$J2880=A1868)))"),"petani")</f>
        <v>petani</v>
      </c>
    </row>
    <row r="1869" hidden="1">
      <c r="C1869" s="40" t="str">
        <f>IFERROR(__xludf.DUMMYFUNCTION("TEXTJOIN("", "",TRUE,UNIQUE(FILTER('Data Master'!$B$2:$B2880,'Data Master'!$J$2:$J2880=A1869)))"),"petani")</f>
        <v>petani</v>
      </c>
    </row>
    <row r="1870" hidden="1">
      <c r="C1870" s="40" t="str">
        <f>IFERROR(__xludf.DUMMYFUNCTION("TEXTJOIN("", "",TRUE,UNIQUE(FILTER('Data Master'!$B$2:$B2880,'Data Master'!$J$2:$J2880=A1870)))"),"petani")</f>
        <v>petani</v>
      </c>
    </row>
    <row r="1871" hidden="1">
      <c r="C1871" s="40" t="str">
        <f>IFERROR(__xludf.DUMMYFUNCTION("TEXTJOIN("", "",TRUE,UNIQUE(FILTER('Data Master'!$B$2:$B2880,'Data Master'!$J$2:$J2880=A1871)))"),"petani")</f>
        <v>petani</v>
      </c>
    </row>
    <row r="1872" hidden="1">
      <c r="C1872" s="40" t="str">
        <f>IFERROR(__xludf.DUMMYFUNCTION("TEXTJOIN("", "",TRUE,UNIQUE(FILTER('Data Master'!$B$2:$B2880,'Data Master'!$J$2:$J2880=A1872)))"),"petani")</f>
        <v>petani</v>
      </c>
    </row>
    <row r="1873" hidden="1">
      <c r="C1873" s="40" t="str">
        <f>IFERROR(__xludf.DUMMYFUNCTION("TEXTJOIN("", "",TRUE,UNIQUE(FILTER('Data Master'!$B$2:$B2880,'Data Master'!$J$2:$J2880=A1873)))"),"petani")</f>
        <v>petani</v>
      </c>
    </row>
    <row r="1874" hidden="1">
      <c r="C1874" s="40" t="str">
        <f>IFERROR(__xludf.DUMMYFUNCTION("TEXTJOIN("", "",TRUE,UNIQUE(FILTER('Data Master'!$B$2:$B2880,'Data Master'!$J$2:$J2880=A1874)))"),"petani")</f>
        <v>petani</v>
      </c>
    </row>
    <row r="1875" hidden="1">
      <c r="C1875" s="40" t="str">
        <f>IFERROR(__xludf.DUMMYFUNCTION("TEXTJOIN("", "",TRUE,UNIQUE(FILTER('Data Master'!$B$2:$B2880,'Data Master'!$J$2:$J2880=A1875)))"),"petani")</f>
        <v>petani</v>
      </c>
    </row>
    <row r="1876" hidden="1">
      <c r="C1876" s="40" t="str">
        <f>IFERROR(__xludf.DUMMYFUNCTION("TEXTJOIN("", "",TRUE,UNIQUE(FILTER('Data Master'!$B$2:$B2880,'Data Master'!$J$2:$J2880=A1876)))"),"petani")</f>
        <v>petani</v>
      </c>
    </row>
    <row r="1877" hidden="1">
      <c r="C1877" s="40" t="str">
        <f>IFERROR(__xludf.DUMMYFUNCTION("TEXTJOIN("", "",TRUE,UNIQUE(FILTER('Data Master'!$B$2:$B2880,'Data Master'!$J$2:$J2880=A1877)))"),"petani")</f>
        <v>petani</v>
      </c>
    </row>
    <row r="1878" hidden="1">
      <c r="C1878" s="40" t="str">
        <f>IFERROR(__xludf.DUMMYFUNCTION("TEXTJOIN("", "",TRUE,UNIQUE(FILTER('Data Master'!$B$2:$B2880,'Data Master'!$J$2:$J2880=A1878)))"),"petani")</f>
        <v>petani</v>
      </c>
    </row>
    <row r="1879" hidden="1">
      <c r="C1879" s="40" t="str">
        <f>IFERROR(__xludf.DUMMYFUNCTION("TEXTJOIN("", "",TRUE,UNIQUE(FILTER('Data Master'!$B$2:$B2880,'Data Master'!$J$2:$J2880=A1879)))"),"petani")</f>
        <v>petani</v>
      </c>
    </row>
    <row r="1880" hidden="1">
      <c r="C1880" s="40" t="str">
        <f>IFERROR(__xludf.DUMMYFUNCTION("TEXTJOIN("", "",TRUE,UNIQUE(FILTER('Data Master'!$B$2:$B2880,'Data Master'!$J$2:$J2880=A1880)))"),"petani")</f>
        <v>petani</v>
      </c>
    </row>
    <row r="1881" hidden="1">
      <c r="C1881" s="40" t="str">
        <f>IFERROR(__xludf.DUMMYFUNCTION("TEXTJOIN("", "",TRUE,UNIQUE(FILTER('Data Master'!$B$2:$B2880,'Data Master'!$J$2:$J2880=A1881)))"),"petani")</f>
        <v>petani</v>
      </c>
    </row>
    <row r="1882" hidden="1">
      <c r="C1882" s="40" t="str">
        <f>IFERROR(__xludf.DUMMYFUNCTION("TEXTJOIN("", "",TRUE,UNIQUE(FILTER('Data Master'!$B$2:$B2880,'Data Master'!$J$2:$J2880=A1882)))"),"petani")</f>
        <v>petani</v>
      </c>
    </row>
    <row r="1883" hidden="1">
      <c r="C1883" s="40" t="str">
        <f>IFERROR(__xludf.DUMMYFUNCTION("TEXTJOIN("", "",TRUE,UNIQUE(FILTER('Data Master'!$B$2:$B2880,'Data Master'!$J$2:$J2880=A1883)))"),"petani")</f>
        <v>petani</v>
      </c>
    </row>
    <row r="1884" hidden="1">
      <c r="C1884" s="40" t="str">
        <f>IFERROR(__xludf.DUMMYFUNCTION("TEXTJOIN("", "",TRUE,UNIQUE(FILTER('Data Master'!$B$2:$B2880,'Data Master'!$J$2:$J2880=A1884)))"),"petani")</f>
        <v>petani</v>
      </c>
    </row>
    <row r="1885" hidden="1">
      <c r="C1885" s="40" t="str">
        <f>IFERROR(__xludf.DUMMYFUNCTION("TEXTJOIN("", "",TRUE,UNIQUE(FILTER('Data Master'!$B$2:$B2880,'Data Master'!$J$2:$J2880=A1885)))"),"petani")</f>
        <v>petani</v>
      </c>
    </row>
    <row r="1886" hidden="1">
      <c r="C1886" s="40" t="str">
        <f>IFERROR(__xludf.DUMMYFUNCTION("TEXTJOIN("", "",TRUE,UNIQUE(FILTER('Data Master'!$B$2:$B2880,'Data Master'!$J$2:$J2880=A1886)))"),"petani")</f>
        <v>petani</v>
      </c>
    </row>
    <row r="1887" hidden="1">
      <c r="C1887" s="40" t="str">
        <f>IFERROR(__xludf.DUMMYFUNCTION("TEXTJOIN("", "",TRUE,UNIQUE(FILTER('Data Master'!$B$2:$B2880,'Data Master'!$J$2:$J2880=A1887)))"),"petani")</f>
        <v>petani</v>
      </c>
    </row>
    <row r="1888" hidden="1">
      <c r="C1888" s="40" t="str">
        <f>IFERROR(__xludf.DUMMYFUNCTION("TEXTJOIN("", "",TRUE,UNIQUE(FILTER('Data Master'!$B$2:$B2880,'Data Master'!$J$2:$J2880=A1888)))"),"petani")</f>
        <v>petani</v>
      </c>
    </row>
    <row r="1889" hidden="1">
      <c r="C1889" s="40" t="str">
        <f>IFERROR(__xludf.DUMMYFUNCTION("TEXTJOIN("", "",TRUE,UNIQUE(FILTER('Data Master'!$B$2:$B2880,'Data Master'!$J$2:$J2880=A1889)))"),"petani")</f>
        <v>petani</v>
      </c>
    </row>
    <row r="1890" hidden="1">
      <c r="C1890" s="40" t="str">
        <f>IFERROR(__xludf.DUMMYFUNCTION("TEXTJOIN("", "",TRUE,UNIQUE(FILTER('Data Master'!$B$2:$B2880,'Data Master'!$J$2:$J2880=A1890)))"),"petani")</f>
        <v>petani</v>
      </c>
    </row>
    <row r="1891" hidden="1">
      <c r="C1891" s="40" t="str">
        <f>IFERROR(__xludf.DUMMYFUNCTION("TEXTJOIN("", "",TRUE,UNIQUE(FILTER('Data Master'!$B$2:$B2880,'Data Master'!$J$2:$J2880=A1891)))"),"petani")</f>
        <v>petani</v>
      </c>
    </row>
    <row r="1892" hidden="1">
      <c r="C1892" s="40" t="str">
        <f>IFERROR(__xludf.DUMMYFUNCTION("TEXTJOIN("", "",TRUE,UNIQUE(FILTER('Data Master'!$B$2:$B2880,'Data Master'!$J$2:$J2880=A1892)))"),"petani")</f>
        <v>petani</v>
      </c>
    </row>
    <row r="1893" hidden="1">
      <c r="C1893" s="40" t="str">
        <f>IFERROR(__xludf.DUMMYFUNCTION("TEXTJOIN("", "",TRUE,UNIQUE(FILTER('Data Master'!$B$2:$B2880,'Data Master'!$J$2:$J2880=A1893)))"),"petani")</f>
        <v>petani</v>
      </c>
    </row>
    <row r="1894" hidden="1">
      <c r="C1894" s="40" t="str">
        <f>IFERROR(__xludf.DUMMYFUNCTION("TEXTJOIN("", "",TRUE,UNIQUE(FILTER('Data Master'!$B$2:$B2880,'Data Master'!$J$2:$J2880=A1894)))"),"petani")</f>
        <v>petani</v>
      </c>
    </row>
    <row r="1895" hidden="1">
      <c r="C1895" s="40" t="str">
        <f>IFERROR(__xludf.DUMMYFUNCTION("TEXTJOIN("", "",TRUE,UNIQUE(FILTER('Data Master'!$B$2:$B2880,'Data Master'!$J$2:$J2880=A1895)))"),"petani")</f>
        <v>petani</v>
      </c>
    </row>
    <row r="1896" hidden="1">
      <c r="C1896" s="40" t="str">
        <f>IFERROR(__xludf.DUMMYFUNCTION("TEXTJOIN("", "",TRUE,UNIQUE(FILTER('Data Master'!$B$2:$B2880,'Data Master'!$J$2:$J2880=A1896)))"),"petani")</f>
        <v>petani</v>
      </c>
    </row>
    <row r="1897" hidden="1">
      <c r="C1897" s="40" t="str">
        <f>IFERROR(__xludf.DUMMYFUNCTION("TEXTJOIN("", "",TRUE,UNIQUE(FILTER('Data Master'!$B$2:$B2880,'Data Master'!$J$2:$J2880=A1897)))"),"petani")</f>
        <v>petani</v>
      </c>
    </row>
    <row r="1898" hidden="1">
      <c r="C1898" s="40" t="str">
        <f>IFERROR(__xludf.DUMMYFUNCTION("TEXTJOIN("", "",TRUE,UNIQUE(FILTER('Data Master'!$B$2:$B2880,'Data Master'!$J$2:$J2880=A1898)))"),"petani")</f>
        <v>petani</v>
      </c>
    </row>
    <row r="1899" hidden="1">
      <c r="C1899" s="40" t="str">
        <f>IFERROR(__xludf.DUMMYFUNCTION("TEXTJOIN("", "",TRUE,UNIQUE(FILTER('Data Master'!$B$2:$B2880,'Data Master'!$J$2:$J2880=A1899)))"),"petani")</f>
        <v>petani</v>
      </c>
    </row>
    <row r="1900" hidden="1">
      <c r="C1900" s="40" t="str">
        <f>IFERROR(__xludf.DUMMYFUNCTION("TEXTJOIN("", "",TRUE,UNIQUE(FILTER('Data Master'!$B$2:$B2880,'Data Master'!$J$2:$J2880=A1900)))"),"petani")</f>
        <v>petani</v>
      </c>
    </row>
    <row r="1901" hidden="1">
      <c r="C1901" s="40" t="str">
        <f>IFERROR(__xludf.DUMMYFUNCTION("TEXTJOIN("", "",TRUE,UNIQUE(FILTER('Data Master'!$B$2:$B2880,'Data Master'!$J$2:$J2880=A1901)))"),"petani")</f>
        <v>petani</v>
      </c>
    </row>
    <row r="1902" hidden="1">
      <c r="C1902" s="40" t="str">
        <f>IFERROR(__xludf.DUMMYFUNCTION("TEXTJOIN("", "",TRUE,UNIQUE(FILTER('Data Master'!$B$2:$B2880,'Data Master'!$J$2:$J2880=A1902)))"),"petani")</f>
        <v>petani</v>
      </c>
    </row>
    <row r="1903" hidden="1">
      <c r="C1903" s="40" t="str">
        <f>IFERROR(__xludf.DUMMYFUNCTION("TEXTJOIN("", "",TRUE,UNIQUE(FILTER('Data Master'!$B$2:$B2880,'Data Master'!$J$2:$J2880=A1903)))"),"petani")</f>
        <v>petani</v>
      </c>
    </row>
    <row r="1904" hidden="1">
      <c r="C1904" s="40" t="str">
        <f>IFERROR(__xludf.DUMMYFUNCTION("TEXTJOIN("", "",TRUE,UNIQUE(FILTER('Data Master'!$B$2:$B2880,'Data Master'!$J$2:$J2880=A1904)))"),"petani")</f>
        <v>petani</v>
      </c>
    </row>
    <row r="1905" hidden="1">
      <c r="C1905" s="40" t="str">
        <f>IFERROR(__xludf.DUMMYFUNCTION("TEXTJOIN("", "",TRUE,UNIQUE(FILTER('Data Master'!$B$2:$B2880,'Data Master'!$J$2:$J2880=A1905)))"),"petani")</f>
        <v>petani</v>
      </c>
    </row>
    <row r="1906" hidden="1">
      <c r="C1906" s="40" t="str">
        <f>IFERROR(__xludf.DUMMYFUNCTION("TEXTJOIN("", "",TRUE,UNIQUE(FILTER('Data Master'!$B$2:$B2880,'Data Master'!$J$2:$J2880=A1906)))"),"petani")</f>
        <v>petani</v>
      </c>
    </row>
    <row r="1907" hidden="1">
      <c r="C1907" s="40" t="str">
        <f>IFERROR(__xludf.DUMMYFUNCTION("TEXTJOIN("", "",TRUE,UNIQUE(FILTER('Data Master'!$B$2:$B2880,'Data Master'!$J$2:$J2880=A1907)))"),"petani")</f>
        <v>petani</v>
      </c>
    </row>
    <row r="1908" hidden="1">
      <c r="C1908" s="40" t="str">
        <f>IFERROR(__xludf.DUMMYFUNCTION("TEXTJOIN("", "",TRUE,UNIQUE(FILTER('Data Master'!$B$2:$B2880,'Data Master'!$J$2:$J2880=A1908)))"),"petani")</f>
        <v>petani</v>
      </c>
    </row>
    <row r="1909" hidden="1">
      <c r="C1909" s="40" t="str">
        <f>IFERROR(__xludf.DUMMYFUNCTION("TEXTJOIN("", "",TRUE,UNIQUE(FILTER('Data Master'!$B$2:$B2880,'Data Master'!$J$2:$J2880=A1909)))"),"petani")</f>
        <v>petani</v>
      </c>
    </row>
    <row r="1910" hidden="1">
      <c r="C1910" s="40" t="str">
        <f>IFERROR(__xludf.DUMMYFUNCTION("TEXTJOIN("", "",TRUE,UNIQUE(FILTER('Data Master'!$B$2:$B2880,'Data Master'!$J$2:$J2880=A1910)))"),"petani")</f>
        <v>petani</v>
      </c>
    </row>
    <row r="1911" hidden="1">
      <c r="C1911" s="40" t="str">
        <f>IFERROR(__xludf.DUMMYFUNCTION("TEXTJOIN("", "",TRUE,UNIQUE(FILTER('Data Master'!$B$2:$B2880,'Data Master'!$J$2:$J2880=A1911)))"),"petani")</f>
        <v>petani</v>
      </c>
    </row>
    <row r="1912" hidden="1">
      <c r="C1912" s="40" t="str">
        <f>IFERROR(__xludf.DUMMYFUNCTION("TEXTJOIN("", "",TRUE,UNIQUE(FILTER('Data Master'!$B$2:$B2880,'Data Master'!$J$2:$J2880=A1912)))"),"petani")</f>
        <v>petani</v>
      </c>
    </row>
    <row r="1913" hidden="1">
      <c r="C1913" s="40" t="str">
        <f>IFERROR(__xludf.DUMMYFUNCTION("TEXTJOIN("", "",TRUE,UNIQUE(FILTER('Data Master'!$B$2:$B2880,'Data Master'!$J$2:$J2880=A1913)))"),"petani")</f>
        <v>petani</v>
      </c>
    </row>
    <row r="1914" hidden="1">
      <c r="C1914" s="40" t="str">
        <f>IFERROR(__xludf.DUMMYFUNCTION("TEXTJOIN("", "",TRUE,UNIQUE(FILTER('Data Master'!$B$2:$B2880,'Data Master'!$J$2:$J2880=A1914)))"),"petani")</f>
        <v>petani</v>
      </c>
    </row>
    <row r="1915" hidden="1">
      <c r="C1915" s="40" t="str">
        <f>IFERROR(__xludf.DUMMYFUNCTION("TEXTJOIN("", "",TRUE,UNIQUE(FILTER('Data Master'!$B$2:$B2880,'Data Master'!$J$2:$J2880=A1915)))"),"petani")</f>
        <v>petani</v>
      </c>
    </row>
    <row r="1916" hidden="1">
      <c r="C1916" s="40" t="str">
        <f>IFERROR(__xludf.DUMMYFUNCTION("TEXTJOIN("", "",TRUE,UNIQUE(FILTER('Data Master'!$B$2:$B2880,'Data Master'!$J$2:$J2880=A1916)))"),"petani")</f>
        <v>petani</v>
      </c>
    </row>
    <row r="1917" hidden="1">
      <c r="C1917" s="40" t="str">
        <f>IFERROR(__xludf.DUMMYFUNCTION("TEXTJOIN("", "",TRUE,UNIQUE(FILTER('Data Master'!$B$2:$B2880,'Data Master'!$J$2:$J2880=A1917)))"),"petani")</f>
        <v>petani</v>
      </c>
    </row>
    <row r="1918" hidden="1">
      <c r="C1918" s="40" t="str">
        <f>IFERROR(__xludf.DUMMYFUNCTION("TEXTJOIN("", "",TRUE,UNIQUE(FILTER('Data Master'!$B$2:$B2880,'Data Master'!$J$2:$J2880=A1918)))"),"petani")</f>
        <v>petani</v>
      </c>
    </row>
    <row r="1919" hidden="1">
      <c r="C1919" s="40" t="str">
        <f>IFERROR(__xludf.DUMMYFUNCTION("TEXTJOIN("", "",TRUE,UNIQUE(FILTER('Data Master'!$B$2:$B2880,'Data Master'!$J$2:$J2880=A1919)))"),"petani")</f>
        <v>petani</v>
      </c>
    </row>
    <row r="1920" hidden="1">
      <c r="C1920" s="40" t="str">
        <f>IFERROR(__xludf.DUMMYFUNCTION("TEXTJOIN("", "",TRUE,UNIQUE(FILTER('Data Master'!$B$2:$B2880,'Data Master'!$J$2:$J2880=A1920)))"),"petani")</f>
        <v>petani</v>
      </c>
    </row>
    <row r="1921" hidden="1">
      <c r="C1921" s="40" t="str">
        <f>IFERROR(__xludf.DUMMYFUNCTION("TEXTJOIN("", "",TRUE,UNIQUE(FILTER('Data Master'!$B$2:$B2880,'Data Master'!$J$2:$J2880=A1921)))"),"petani")</f>
        <v>petani</v>
      </c>
    </row>
    <row r="1922" hidden="1">
      <c r="C1922" s="40" t="str">
        <f>IFERROR(__xludf.DUMMYFUNCTION("TEXTJOIN("", "",TRUE,UNIQUE(FILTER('Data Master'!$B$2:$B2880,'Data Master'!$J$2:$J2880=A1922)))"),"petani")</f>
        <v>petani</v>
      </c>
    </row>
    <row r="1923" hidden="1">
      <c r="C1923" s="40" t="str">
        <f>IFERROR(__xludf.DUMMYFUNCTION("TEXTJOIN("", "",TRUE,UNIQUE(FILTER('Data Master'!$B$2:$B2880,'Data Master'!$J$2:$J2880=A1923)))"),"petani")</f>
        <v>petani</v>
      </c>
    </row>
    <row r="1924" hidden="1">
      <c r="C1924" s="40" t="str">
        <f>IFERROR(__xludf.DUMMYFUNCTION("TEXTJOIN("", "",TRUE,UNIQUE(FILTER('Data Master'!$B$2:$B2880,'Data Master'!$J$2:$J2880=A1924)))"),"petani")</f>
        <v>petani</v>
      </c>
    </row>
    <row r="1925" hidden="1">
      <c r="C1925" s="40" t="str">
        <f>IFERROR(__xludf.DUMMYFUNCTION("TEXTJOIN("", "",TRUE,UNIQUE(FILTER('Data Master'!$B$2:$B2880,'Data Master'!$J$2:$J2880=A1925)))"),"petani")</f>
        <v>petani</v>
      </c>
    </row>
    <row r="1926" hidden="1">
      <c r="C1926" s="40" t="str">
        <f>IFERROR(__xludf.DUMMYFUNCTION("TEXTJOIN("", "",TRUE,UNIQUE(FILTER('Data Master'!$B$2:$B2880,'Data Master'!$J$2:$J2880=A1926)))"),"petani")</f>
        <v>petani</v>
      </c>
    </row>
    <row r="1927" hidden="1">
      <c r="C1927" s="40" t="str">
        <f>IFERROR(__xludf.DUMMYFUNCTION("TEXTJOIN("", "",TRUE,UNIQUE(FILTER('Data Master'!$B$2:$B2880,'Data Master'!$J$2:$J2880=A1927)))"),"petani")</f>
        <v>petani</v>
      </c>
    </row>
    <row r="1928" hidden="1">
      <c r="C1928" s="40" t="str">
        <f>IFERROR(__xludf.DUMMYFUNCTION("TEXTJOIN("", "",TRUE,UNIQUE(FILTER('Data Master'!$B$2:$B2880,'Data Master'!$J$2:$J2880=A1928)))"),"petani")</f>
        <v>petani</v>
      </c>
    </row>
    <row r="1929" hidden="1">
      <c r="C1929" s="40" t="str">
        <f>IFERROR(__xludf.DUMMYFUNCTION("TEXTJOIN("", "",TRUE,UNIQUE(FILTER('Data Master'!$B$2:$B2880,'Data Master'!$J$2:$J2880=A1929)))"),"petani")</f>
        <v>petani</v>
      </c>
    </row>
    <row r="1930" hidden="1">
      <c r="C1930" s="40" t="str">
        <f>IFERROR(__xludf.DUMMYFUNCTION("TEXTJOIN("", "",TRUE,UNIQUE(FILTER('Data Master'!$B$2:$B2880,'Data Master'!$J$2:$J2880=A1930)))"),"petani")</f>
        <v>petani</v>
      </c>
    </row>
    <row r="1931" hidden="1">
      <c r="C1931" s="40" t="str">
        <f>IFERROR(__xludf.DUMMYFUNCTION("TEXTJOIN("", "",TRUE,UNIQUE(FILTER('Data Master'!$B$2:$B2880,'Data Master'!$J$2:$J2880=A1931)))"),"petani")</f>
        <v>petani</v>
      </c>
    </row>
    <row r="1932" hidden="1">
      <c r="C1932" s="40" t="str">
        <f>IFERROR(__xludf.DUMMYFUNCTION("TEXTJOIN("", "",TRUE,UNIQUE(FILTER('Data Master'!$B$2:$B2880,'Data Master'!$J$2:$J2880=A1932)))"),"petani")</f>
        <v>petani</v>
      </c>
    </row>
    <row r="1933" hidden="1">
      <c r="C1933" s="40" t="str">
        <f>IFERROR(__xludf.DUMMYFUNCTION("TEXTJOIN("", "",TRUE,UNIQUE(FILTER('Data Master'!$B$2:$B2880,'Data Master'!$J$2:$J2880=A1933)))"),"petani")</f>
        <v>petani</v>
      </c>
    </row>
    <row r="1934" hidden="1">
      <c r="C1934" s="40" t="str">
        <f>IFERROR(__xludf.DUMMYFUNCTION("TEXTJOIN("", "",TRUE,UNIQUE(FILTER('Data Master'!$B$2:$B2880,'Data Master'!$J$2:$J2880=A1934)))"),"petani")</f>
        <v>petani</v>
      </c>
    </row>
    <row r="1935" hidden="1">
      <c r="C1935" s="40" t="str">
        <f>IFERROR(__xludf.DUMMYFUNCTION("TEXTJOIN("", "",TRUE,UNIQUE(FILTER('Data Master'!$B$2:$B2880,'Data Master'!$J$2:$J2880=A1935)))"),"petani")</f>
        <v>petani</v>
      </c>
    </row>
    <row r="1936" hidden="1">
      <c r="C1936" s="40" t="str">
        <f>IFERROR(__xludf.DUMMYFUNCTION("TEXTJOIN("", "",TRUE,UNIQUE(FILTER('Data Master'!$B$2:$B2880,'Data Master'!$J$2:$J2880=A1936)))"),"petani")</f>
        <v>petani</v>
      </c>
    </row>
    <row r="1937" hidden="1">
      <c r="C1937" s="40" t="str">
        <f>IFERROR(__xludf.DUMMYFUNCTION("TEXTJOIN("", "",TRUE,UNIQUE(FILTER('Data Master'!$B$2:$B2880,'Data Master'!$J$2:$J2880=A1937)))"),"petani")</f>
        <v>petani</v>
      </c>
    </row>
    <row r="1938" hidden="1">
      <c r="C1938" s="40" t="str">
        <f>IFERROR(__xludf.DUMMYFUNCTION("TEXTJOIN("", "",TRUE,UNIQUE(FILTER('Data Master'!$B$2:$B2880,'Data Master'!$J$2:$J2880=A1938)))"),"petani")</f>
        <v>petani</v>
      </c>
    </row>
    <row r="1939" hidden="1">
      <c r="C1939" s="40" t="str">
        <f>IFERROR(__xludf.DUMMYFUNCTION("TEXTJOIN("", "",TRUE,UNIQUE(FILTER('Data Master'!$B$2:$B2880,'Data Master'!$J$2:$J2880=A1939)))"),"petani")</f>
        <v>petani</v>
      </c>
    </row>
    <row r="1940" hidden="1">
      <c r="C1940" s="40" t="str">
        <f>IFERROR(__xludf.DUMMYFUNCTION("TEXTJOIN("", "",TRUE,UNIQUE(FILTER('Data Master'!$B$2:$B2880,'Data Master'!$J$2:$J2880=A1940)))"),"petani")</f>
        <v>petani</v>
      </c>
    </row>
    <row r="1941" hidden="1">
      <c r="C1941" s="40" t="str">
        <f>IFERROR(__xludf.DUMMYFUNCTION("TEXTJOIN("", "",TRUE,UNIQUE(FILTER('Data Master'!$B$2:$B2880,'Data Master'!$J$2:$J2880=A1941)))"),"petani")</f>
        <v>petani</v>
      </c>
    </row>
    <row r="1942" hidden="1">
      <c r="C1942" s="40" t="str">
        <f>IFERROR(__xludf.DUMMYFUNCTION("TEXTJOIN("", "",TRUE,UNIQUE(FILTER('Data Master'!$B$2:$B2880,'Data Master'!$J$2:$J2880=A1942)))"),"petani")</f>
        <v>petani</v>
      </c>
    </row>
    <row r="1943" hidden="1">
      <c r="C1943" s="40" t="str">
        <f>IFERROR(__xludf.DUMMYFUNCTION("TEXTJOIN("", "",TRUE,UNIQUE(FILTER('Data Master'!$B$2:$B2880,'Data Master'!$J$2:$J2880=A1943)))"),"petani")</f>
        <v>petani</v>
      </c>
    </row>
    <row r="1944" hidden="1">
      <c r="C1944" s="40" t="str">
        <f>IFERROR(__xludf.DUMMYFUNCTION("TEXTJOIN("", "",TRUE,UNIQUE(FILTER('Data Master'!$B$2:$B2880,'Data Master'!$J$2:$J2880=A1944)))"),"petani")</f>
        <v>petani</v>
      </c>
    </row>
    <row r="1945" hidden="1">
      <c r="C1945" s="40" t="str">
        <f>IFERROR(__xludf.DUMMYFUNCTION("TEXTJOIN("", "",TRUE,UNIQUE(FILTER('Data Master'!$B$2:$B2880,'Data Master'!$J$2:$J2880=A1945)))"),"petani")</f>
        <v>petani</v>
      </c>
    </row>
    <row r="1946" hidden="1">
      <c r="C1946" s="40" t="str">
        <f>IFERROR(__xludf.DUMMYFUNCTION("TEXTJOIN("", "",TRUE,UNIQUE(FILTER('Data Master'!$B$2:$B2880,'Data Master'!$J$2:$J2880=A1946)))"),"petani")</f>
        <v>petani</v>
      </c>
    </row>
    <row r="1947" hidden="1">
      <c r="C1947" s="40" t="str">
        <f>IFERROR(__xludf.DUMMYFUNCTION("TEXTJOIN("", "",TRUE,UNIQUE(FILTER('Data Master'!$B$2:$B2880,'Data Master'!$J$2:$J2880=A1947)))"),"petani")</f>
        <v>petani</v>
      </c>
    </row>
    <row r="1948" hidden="1">
      <c r="C1948" s="40" t="str">
        <f>IFERROR(__xludf.DUMMYFUNCTION("TEXTJOIN("", "",TRUE,UNIQUE(FILTER('Data Master'!$B$2:$B2880,'Data Master'!$J$2:$J2880=A1948)))"),"petani")</f>
        <v>petani</v>
      </c>
    </row>
    <row r="1949" hidden="1">
      <c r="C1949" s="40" t="str">
        <f>IFERROR(__xludf.DUMMYFUNCTION("TEXTJOIN("", "",TRUE,UNIQUE(FILTER('Data Master'!$B$2:$B2880,'Data Master'!$J$2:$J2880=A1949)))"),"petani")</f>
        <v>petani</v>
      </c>
    </row>
    <row r="1950" hidden="1">
      <c r="C1950" s="40" t="str">
        <f>IFERROR(__xludf.DUMMYFUNCTION("TEXTJOIN("", "",TRUE,UNIQUE(FILTER('Data Master'!$B$2:$B2880,'Data Master'!$J$2:$J2880=A1950)))"),"petani")</f>
        <v>petani</v>
      </c>
    </row>
    <row r="1951" hidden="1">
      <c r="C1951" s="40" t="str">
        <f>IFERROR(__xludf.DUMMYFUNCTION("TEXTJOIN("", "",TRUE,UNIQUE(FILTER('Data Master'!$B$2:$B2880,'Data Master'!$J$2:$J2880=A1951)))"),"petani")</f>
        <v>petani</v>
      </c>
    </row>
    <row r="1952" hidden="1">
      <c r="C1952" s="40" t="str">
        <f>IFERROR(__xludf.DUMMYFUNCTION("TEXTJOIN("", "",TRUE,UNIQUE(FILTER('Data Master'!$B$2:$B2880,'Data Master'!$J$2:$J2880=A1952)))"),"petani")</f>
        <v>petani</v>
      </c>
    </row>
    <row r="1953" hidden="1">
      <c r="C1953" s="40" t="str">
        <f>IFERROR(__xludf.DUMMYFUNCTION("TEXTJOIN("", "",TRUE,UNIQUE(FILTER('Data Master'!$B$2:$B2880,'Data Master'!$J$2:$J2880=A1953)))"),"petani")</f>
        <v>petani</v>
      </c>
    </row>
    <row r="1954" hidden="1">
      <c r="C1954" s="40" t="str">
        <f>IFERROR(__xludf.DUMMYFUNCTION("TEXTJOIN("", "",TRUE,UNIQUE(FILTER('Data Master'!$B$2:$B2880,'Data Master'!$J$2:$J2880=A1954)))"),"petani")</f>
        <v>petani</v>
      </c>
    </row>
    <row r="1955" hidden="1">
      <c r="C1955" s="40" t="str">
        <f>IFERROR(__xludf.DUMMYFUNCTION("TEXTJOIN("", "",TRUE,UNIQUE(FILTER('Data Master'!$B$2:$B2880,'Data Master'!$J$2:$J2880=A1955)))"),"petani")</f>
        <v>petani</v>
      </c>
    </row>
    <row r="1956" hidden="1">
      <c r="C1956" s="40" t="str">
        <f>IFERROR(__xludf.DUMMYFUNCTION("TEXTJOIN("", "",TRUE,UNIQUE(FILTER('Data Master'!$B$2:$B2880,'Data Master'!$J$2:$J2880=A1956)))"),"petani")</f>
        <v>petani</v>
      </c>
    </row>
    <row r="1957" hidden="1">
      <c r="C1957" s="40" t="str">
        <f>IFERROR(__xludf.DUMMYFUNCTION("TEXTJOIN("", "",TRUE,UNIQUE(FILTER('Data Master'!$B$2:$B2880,'Data Master'!$J$2:$J2880=A1957)))"),"petani")</f>
        <v>petani</v>
      </c>
    </row>
    <row r="1958" hidden="1">
      <c r="C1958" s="40" t="str">
        <f>IFERROR(__xludf.DUMMYFUNCTION("TEXTJOIN("", "",TRUE,UNIQUE(FILTER('Data Master'!$B$2:$B2880,'Data Master'!$J$2:$J2880=A1958)))"),"petani")</f>
        <v>petani</v>
      </c>
    </row>
    <row r="1959" hidden="1">
      <c r="C1959" s="40" t="str">
        <f>IFERROR(__xludf.DUMMYFUNCTION("TEXTJOIN("", "",TRUE,UNIQUE(FILTER('Data Master'!$B$2:$B2880,'Data Master'!$J$2:$J2880=A1959)))"),"petani")</f>
        <v>petani</v>
      </c>
    </row>
    <row r="1960" hidden="1">
      <c r="C1960" s="40" t="str">
        <f>IFERROR(__xludf.DUMMYFUNCTION("TEXTJOIN("", "",TRUE,UNIQUE(FILTER('Data Master'!$B$2:$B2880,'Data Master'!$J$2:$J2880=A1960)))"),"petani")</f>
        <v>petani</v>
      </c>
    </row>
    <row r="1961" hidden="1">
      <c r="C1961" s="40" t="str">
        <f>IFERROR(__xludf.DUMMYFUNCTION("TEXTJOIN("", "",TRUE,UNIQUE(FILTER('Data Master'!$B$2:$B2880,'Data Master'!$J$2:$J2880=A1961)))"),"petani")</f>
        <v>petani</v>
      </c>
    </row>
    <row r="1962" hidden="1">
      <c r="C1962" s="40" t="str">
        <f>IFERROR(__xludf.DUMMYFUNCTION("TEXTJOIN("", "",TRUE,UNIQUE(FILTER('Data Master'!$B$2:$B2880,'Data Master'!$J$2:$J2880=A1962)))"),"petani")</f>
        <v>petani</v>
      </c>
    </row>
    <row r="1963" hidden="1">
      <c r="C1963" s="40" t="str">
        <f>IFERROR(__xludf.DUMMYFUNCTION("TEXTJOIN("", "",TRUE,UNIQUE(FILTER('Data Master'!$B$2:$B2880,'Data Master'!$J$2:$J2880=A1963)))"),"petani")</f>
        <v>petani</v>
      </c>
    </row>
    <row r="1964" hidden="1">
      <c r="C1964" s="40" t="str">
        <f>IFERROR(__xludf.DUMMYFUNCTION("TEXTJOIN("", "",TRUE,UNIQUE(FILTER('Data Master'!$B$2:$B2880,'Data Master'!$J$2:$J2880=A1964)))"),"petani")</f>
        <v>petani</v>
      </c>
    </row>
    <row r="1965" hidden="1">
      <c r="C1965" s="40" t="str">
        <f>IFERROR(__xludf.DUMMYFUNCTION("TEXTJOIN("", "",TRUE,UNIQUE(FILTER('Data Master'!$B$2:$B2880,'Data Master'!$J$2:$J2880=A1965)))"),"petani")</f>
        <v>petani</v>
      </c>
    </row>
    <row r="1966" hidden="1">
      <c r="C1966" s="40" t="str">
        <f>IFERROR(__xludf.DUMMYFUNCTION("TEXTJOIN("", "",TRUE,UNIQUE(FILTER('Data Master'!$B$2:$B2880,'Data Master'!$J$2:$J2880=A1966)))"),"petani")</f>
        <v>petani</v>
      </c>
    </row>
    <row r="1967" hidden="1">
      <c r="C1967" s="40" t="str">
        <f>IFERROR(__xludf.DUMMYFUNCTION("TEXTJOIN("", "",TRUE,UNIQUE(FILTER('Data Master'!$B$2:$B2880,'Data Master'!$J$2:$J2880=A1967)))"),"petani")</f>
        <v>petani</v>
      </c>
    </row>
    <row r="1968" hidden="1">
      <c r="C1968" s="40" t="str">
        <f>IFERROR(__xludf.DUMMYFUNCTION("TEXTJOIN("", "",TRUE,UNIQUE(FILTER('Data Master'!$B$2:$B2880,'Data Master'!$J$2:$J2880=A1968)))"),"petani")</f>
        <v>petani</v>
      </c>
    </row>
    <row r="1969" hidden="1">
      <c r="C1969" s="40" t="str">
        <f>IFERROR(__xludf.DUMMYFUNCTION("TEXTJOIN("", "",TRUE,UNIQUE(FILTER('Data Master'!$B$2:$B2880,'Data Master'!$J$2:$J2880=A1969)))"),"petani")</f>
        <v>petani</v>
      </c>
    </row>
    <row r="1970" hidden="1">
      <c r="C1970" s="40" t="str">
        <f>IFERROR(__xludf.DUMMYFUNCTION("TEXTJOIN("", "",TRUE,UNIQUE(FILTER('Data Master'!$B$2:$B2880,'Data Master'!$J$2:$J2880=A1970)))"),"petani")</f>
        <v>petani</v>
      </c>
    </row>
    <row r="1971" hidden="1">
      <c r="C1971" s="40" t="str">
        <f>IFERROR(__xludf.DUMMYFUNCTION("TEXTJOIN("", "",TRUE,UNIQUE(FILTER('Data Master'!$B$2:$B2880,'Data Master'!$J$2:$J2880=A1971)))"),"petani")</f>
        <v>petani</v>
      </c>
    </row>
    <row r="1972" hidden="1">
      <c r="C1972" s="40" t="str">
        <f>IFERROR(__xludf.DUMMYFUNCTION("TEXTJOIN("", "",TRUE,UNIQUE(FILTER('Data Master'!$B$2:$B2880,'Data Master'!$J$2:$J2880=A1972)))"),"petani")</f>
        <v>petani</v>
      </c>
    </row>
    <row r="1973" hidden="1">
      <c r="C1973" s="40" t="str">
        <f>IFERROR(__xludf.DUMMYFUNCTION("TEXTJOIN("", "",TRUE,UNIQUE(FILTER('Data Master'!$B$2:$B2880,'Data Master'!$J$2:$J2880=A1973)))"),"petani")</f>
        <v>petani</v>
      </c>
    </row>
    <row r="1974" hidden="1">
      <c r="C1974" s="40" t="str">
        <f>IFERROR(__xludf.DUMMYFUNCTION("TEXTJOIN("", "",TRUE,UNIQUE(FILTER('Data Master'!$B$2:$B2880,'Data Master'!$J$2:$J2880=A1974)))"),"petani")</f>
        <v>petani</v>
      </c>
    </row>
    <row r="1975" hidden="1">
      <c r="C1975" s="40" t="str">
        <f>IFERROR(__xludf.DUMMYFUNCTION("TEXTJOIN("", "",TRUE,UNIQUE(FILTER('Data Master'!$B$2:$B2880,'Data Master'!$J$2:$J2880=A1975)))"),"petani")</f>
        <v>petani</v>
      </c>
    </row>
    <row r="1976" hidden="1">
      <c r="C1976" s="40" t="str">
        <f>IFERROR(__xludf.DUMMYFUNCTION("TEXTJOIN("", "",TRUE,UNIQUE(FILTER('Data Master'!$B$2:$B2880,'Data Master'!$J$2:$J2880=A1976)))"),"petani")</f>
        <v>petani</v>
      </c>
    </row>
    <row r="1977" hidden="1">
      <c r="C1977" s="40" t="str">
        <f>IFERROR(__xludf.DUMMYFUNCTION("TEXTJOIN("", "",TRUE,UNIQUE(FILTER('Data Master'!$B$2:$B2880,'Data Master'!$J$2:$J2880=A1977)))"),"petani")</f>
        <v>petani</v>
      </c>
    </row>
    <row r="1978" hidden="1">
      <c r="C1978" s="40" t="str">
        <f>IFERROR(__xludf.DUMMYFUNCTION("TEXTJOIN("", "",TRUE,UNIQUE(FILTER('Data Master'!$B$2:$B2880,'Data Master'!$J$2:$J2880=A1978)))"),"petani")</f>
        <v>petani</v>
      </c>
    </row>
    <row r="1979" hidden="1">
      <c r="C1979" s="40" t="str">
        <f>IFERROR(__xludf.DUMMYFUNCTION("TEXTJOIN("", "",TRUE,UNIQUE(FILTER('Data Master'!$B$2:$B2880,'Data Master'!$J$2:$J2880=A1979)))"),"petani")</f>
        <v>petani</v>
      </c>
    </row>
    <row r="1980" hidden="1">
      <c r="C1980" s="40" t="str">
        <f>IFERROR(__xludf.DUMMYFUNCTION("TEXTJOIN("", "",TRUE,UNIQUE(FILTER('Data Master'!$B$2:$B2880,'Data Master'!$J$2:$J2880=A1980)))"),"petani")</f>
        <v>petani</v>
      </c>
    </row>
    <row r="1981" hidden="1">
      <c r="C1981" s="40" t="str">
        <f>IFERROR(__xludf.DUMMYFUNCTION("TEXTJOIN("", "",TRUE,UNIQUE(FILTER('Data Master'!$B$2:$B2880,'Data Master'!$J$2:$J2880=A1981)))"),"petani")</f>
        <v>petani</v>
      </c>
    </row>
    <row r="1982" hidden="1">
      <c r="C1982" s="40" t="str">
        <f>IFERROR(__xludf.DUMMYFUNCTION("TEXTJOIN("", "",TRUE,UNIQUE(FILTER('Data Master'!$B$2:$B2880,'Data Master'!$J$2:$J2880=A1982)))"),"petani")</f>
        <v>petani</v>
      </c>
    </row>
    <row r="1983" hidden="1">
      <c r="C1983" s="40" t="str">
        <f>IFERROR(__xludf.DUMMYFUNCTION("TEXTJOIN("", "",TRUE,UNIQUE(FILTER('Data Master'!$B$2:$B2880,'Data Master'!$J$2:$J2880=A1983)))"),"petani")</f>
        <v>petani</v>
      </c>
    </row>
    <row r="1984" hidden="1">
      <c r="C1984" s="40" t="str">
        <f>IFERROR(__xludf.DUMMYFUNCTION("TEXTJOIN("", "",TRUE,UNIQUE(FILTER('Data Master'!$B$2:$B2880,'Data Master'!$J$2:$J2880=A1984)))"),"petani")</f>
        <v>petani</v>
      </c>
    </row>
    <row r="1985" hidden="1">
      <c r="C1985" s="40" t="str">
        <f>IFERROR(__xludf.DUMMYFUNCTION("TEXTJOIN("", "",TRUE,UNIQUE(FILTER('Data Master'!$B$2:$B2880,'Data Master'!$J$2:$J2880=A1985)))"),"petani")</f>
        <v>petani</v>
      </c>
    </row>
    <row r="1986" hidden="1">
      <c r="C1986" s="40" t="str">
        <f>IFERROR(__xludf.DUMMYFUNCTION("TEXTJOIN("", "",TRUE,UNIQUE(FILTER('Data Master'!$B$2:$B2880,'Data Master'!$J$2:$J2880=A1986)))"),"petani")</f>
        <v>petani</v>
      </c>
    </row>
    <row r="1987" hidden="1">
      <c r="C1987" s="40" t="str">
        <f>IFERROR(__xludf.DUMMYFUNCTION("TEXTJOIN("", "",TRUE,UNIQUE(FILTER('Data Master'!$B$2:$B2880,'Data Master'!$J$2:$J2880=A1987)))"),"petani")</f>
        <v>petani</v>
      </c>
    </row>
    <row r="1988" hidden="1">
      <c r="C1988" s="40" t="str">
        <f>IFERROR(__xludf.DUMMYFUNCTION("TEXTJOIN("", "",TRUE,UNIQUE(FILTER('Data Master'!$B$2:$B2880,'Data Master'!$J$2:$J2880=A1988)))"),"petani")</f>
        <v>petani</v>
      </c>
    </row>
    <row r="1989" hidden="1">
      <c r="C1989" s="40" t="str">
        <f>IFERROR(__xludf.DUMMYFUNCTION("TEXTJOIN("", "",TRUE,UNIQUE(FILTER('Data Master'!$B$2:$B2880,'Data Master'!$J$2:$J2880=A1989)))"),"petani")</f>
        <v>petani</v>
      </c>
    </row>
    <row r="1990" hidden="1">
      <c r="C1990" s="40" t="str">
        <f>IFERROR(__xludf.DUMMYFUNCTION("TEXTJOIN("", "",TRUE,UNIQUE(FILTER('Data Master'!$B$2:$B2880,'Data Master'!$J$2:$J2880=A1990)))"),"petani")</f>
        <v>petani</v>
      </c>
    </row>
    <row r="1991" hidden="1">
      <c r="C1991" s="40" t="str">
        <f>IFERROR(__xludf.DUMMYFUNCTION("TEXTJOIN("", "",TRUE,UNIQUE(FILTER('Data Master'!$B$2:$B2880,'Data Master'!$J$2:$J2880=A1991)))"),"petani")</f>
        <v>petani</v>
      </c>
    </row>
    <row r="1992" hidden="1">
      <c r="C1992" s="40" t="str">
        <f>IFERROR(__xludf.DUMMYFUNCTION("TEXTJOIN("", "",TRUE,UNIQUE(FILTER('Data Master'!$B$2:$B2880,'Data Master'!$J$2:$J2880=A1992)))"),"petani")</f>
        <v>petani</v>
      </c>
    </row>
    <row r="1993" hidden="1">
      <c r="C1993" s="40" t="str">
        <f>IFERROR(__xludf.DUMMYFUNCTION("TEXTJOIN("", "",TRUE,UNIQUE(FILTER('Data Master'!$B$2:$B2880,'Data Master'!$J$2:$J2880=A1993)))"),"petani")</f>
        <v>petani</v>
      </c>
    </row>
    <row r="1994" hidden="1">
      <c r="C1994" s="40" t="str">
        <f>IFERROR(__xludf.DUMMYFUNCTION("TEXTJOIN("", "",TRUE,UNIQUE(FILTER('Data Master'!$B$2:$B2880,'Data Master'!$J$2:$J2880=A1994)))"),"petani")</f>
        <v>petani</v>
      </c>
    </row>
    <row r="1995" hidden="1">
      <c r="C1995" s="40" t="str">
        <f>IFERROR(__xludf.DUMMYFUNCTION("TEXTJOIN("", "",TRUE,UNIQUE(FILTER('Data Master'!$B$2:$B2880,'Data Master'!$J$2:$J2880=A1995)))"),"petani")</f>
        <v>petani</v>
      </c>
    </row>
    <row r="1996" hidden="1">
      <c r="C1996" s="40" t="str">
        <f>IFERROR(__xludf.DUMMYFUNCTION("TEXTJOIN("", "",TRUE,UNIQUE(FILTER('Data Master'!$B$2:$B2880,'Data Master'!$J$2:$J2880=A1996)))"),"petani")</f>
        <v>petani</v>
      </c>
    </row>
    <row r="1997" hidden="1">
      <c r="C1997" s="40" t="str">
        <f>IFERROR(__xludf.DUMMYFUNCTION("TEXTJOIN("", "",TRUE,UNIQUE(FILTER('Data Master'!$B$2:$B2880,'Data Master'!$J$2:$J2880=A1997)))"),"petani")</f>
        <v>petani</v>
      </c>
    </row>
    <row r="1998" hidden="1">
      <c r="C1998" s="40" t="str">
        <f>IFERROR(__xludf.DUMMYFUNCTION("TEXTJOIN("", "",TRUE,UNIQUE(FILTER('Data Master'!$B$2:$B2880,'Data Master'!$J$2:$J2880=A1998)))"),"petani")</f>
        <v>petani</v>
      </c>
    </row>
    <row r="1999" hidden="1">
      <c r="C1999" s="40" t="str">
        <f>IFERROR(__xludf.DUMMYFUNCTION("TEXTJOIN("", "",TRUE,UNIQUE(FILTER('Data Master'!$B$2:$B2880,'Data Master'!$J$2:$J2880=A1999)))"),"petani")</f>
        <v>petani</v>
      </c>
    </row>
    <row r="2000" hidden="1">
      <c r="C2000" s="40" t="str">
        <f>IFERROR(__xludf.DUMMYFUNCTION("TEXTJOIN("", "",TRUE,UNIQUE(FILTER('Data Master'!$B$2:$B2880,'Data Master'!$J$2:$J2880=A2000)))"),"petani")</f>
        <v>petani</v>
      </c>
    </row>
    <row r="2001" hidden="1">
      <c r="C2001" s="40" t="str">
        <f>IFERROR(__xludf.DUMMYFUNCTION("TEXTJOIN("", "",TRUE,UNIQUE(FILTER('Data Master'!$B$2:$B2880,'Data Master'!$J$2:$J2880=A2001)))"),"petani")</f>
        <v>petani</v>
      </c>
    </row>
    <row r="2002" hidden="1">
      <c r="C2002" s="40" t="str">
        <f>IFERROR(__xludf.DUMMYFUNCTION("TEXTJOIN("", "",TRUE,UNIQUE(FILTER('Data Master'!$B$2:$B2880,'Data Master'!$J$2:$J2880=A2002)))"),"petani")</f>
        <v>petani</v>
      </c>
    </row>
    <row r="2003" hidden="1">
      <c r="C2003" s="40" t="str">
        <f>IFERROR(__xludf.DUMMYFUNCTION("TEXTJOIN("", "",TRUE,UNIQUE(FILTER('Data Master'!$B$2:$B2880,'Data Master'!$J$2:$J2880=A2003)))"),"petani")</f>
        <v>petani</v>
      </c>
    </row>
    <row r="2004" hidden="1">
      <c r="C2004" s="40" t="str">
        <f>IFERROR(__xludf.DUMMYFUNCTION("TEXTJOIN("", "",TRUE,UNIQUE(FILTER('Data Master'!$B$2:$B2880,'Data Master'!$J$2:$J2880=A2004)))"),"petani")</f>
        <v>petani</v>
      </c>
    </row>
    <row r="2005" hidden="1">
      <c r="C2005" s="40" t="str">
        <f>IFERROR(__xludf.DUMMYFUNCTION("TEXTJOIN("", "",TRUE,UNIQUE(FILTER('Data Master'!$B$2:$B2880,'Data Master'!$J$2:$J2880=A2005)))"),"petani")</f>
        <v>petani</v>
      </c>
    </row>
    <row r="2006" hidden="1">
      <c r="C2006" s="40" t="str">
        <f>IFERROR(__xludf.DUMMYFUNCTION("TEXTJOIN("", "",TRUE,UNIQUE(FILTER('Data Master'!$B$2:$B2880,'Data Master'!$J$2:$J2880=A2006)))"),"petani")</f>
        <v>petani</v>
      </c>
    </row>
    <row r="2007" hidden="1">
      <c r="C2007" s="40" t="str">
        <f>IFERROR(__xludf.DUMMYFUNCTION("TEXTJOIN("", "",TRUE,UNIQUE(FILTER('Data Master'!$B$2:$B2880,'Data Master'!$J$2:$J2880=A2007)))"),"petani")</f>
        <v>petani</v>
      </c>
    </row>
    <row r="2008" hidden="1">
      <c r="C2008" s="40" t="str">
        <f>IFERROR(__xludf.DUMMYFUNCTION("TEXTJOIN("", "",TRUE,UNIQUE(FILTER('Data Master'!$B$2:$B2880,'Data Master'!$J$2:$J2880=A2008)))"),"petani")</f>
        <v>petani</v>
      </c>
    </row>
    <row r="2009" hidden="1">
      <c r="C2009" s="40" t="str">
        <f>IFERROR(__xludf.DUMMYFUNCTION("TEXTJOIN("", "",TRUE,UNIQUE(FILTER('Data Master'!$B$2:$B2880,'Data Master'!$J$2:$J2880=A2009)))"),"petani")</f>
        <v>petani</v>
      </c>
    </row>
    <row r="2010" hidden="1">
      <c r="C2010" s="40" t="str">
        <f>IFERROR(__xludf.DUMMYFUNCTION("TEXTJOIN("", "",TRUE,UNIQUE(FILTER('Data Master'!$B$2:$B2880,'Data Master'!$J$2:$J2880=A2010)))"),"petani")</f>
        <v>petani</v>
      </c>
    </row>
    <row r="2011" hidden="1">
      <c r="C2011" s="40" t="str">
        <f>IFERROR(__xludf.DUMMYFUNCTION("TEXTJOIN("", "",TRUE,UNIQUE(FILTER('Data Master'!$B$2:$B2880,'Data Master'!$J$2:$J2880=A2011)))"),"petani")</f>
        <v>petani</v>
      </c>
    </row>
    <row r="2012" hidden="1">
      <c r="C2012" s="40" t="str">
        <f>IFERROR(__xludf.DUMMYFUNCTION("TEXTJOIN("", "",TRUE,UNIQUE(FILTER('Data Master'!$B$2:$B2880,'Data Master'!$J$2:$J2880=A2012)))"),"petani")</f>
        <v>petani</v>
      </c>
    </row>
    <row r="2013" hidden="1">
      <c r="C2013" s="40" t="str">
        <f>IFERROR(__xludf.DUMMYFUNCTION("TEXTJOIN("", "",TRUE,UNIQUE(FILTER('Data Master'!$B$2:$B2880,'Data Master'!$J$2:$J2880=A2013)))"),"petani")</f>
        <v>petani</v>
      </c>
    </row>
    <row r="2014" hidden="1">
      <c r="C2014" s="40" t="str">
        <f>IFERROR(__xludf.DUMMYFUNCTION("TEXTJOIN("", "",TRUE,UNIQUE(FILTER('Data Master'!$B$2:$B2880,'Data Master'!$J$2:$J2880=A2014)))"),"petani")</f>
        <v>petani</v>
      </c>
    </row>
    <row r="2015" hidden="1">
      <c r="C2015" s="40" t="str">
        <f>IFERROR(__xludf.DUMMYFUNCTION("TEXTJOIN("", "",TRUE,UNIQUE(FILTER('Data Master'!$B$2:$B2880,'Data Master'!$J$2:$J2880=A2015)))"),"petani")</f>
        <v>petani</v>
      </c>
    </row>
    <row r="2016" hidden="1">
      <c r="C2016" s="40" t="str">
        <f>IFERROR(__xludf.DUMMYFUNCTION("TEXTJOIN("", "",TRUE,UNIQUE(FILTER('Data Master'!$B$2:$B2880,'Data Master'!$J$2:$J2880=A2016)))"),"petani")</f>
        <v>petani</v>
      </c>
    </row>
    <row r="2017" hidden="1">
      <c r="C2017" s="40" t="str">
        <f>IFERROR(__xludf.DUMMYFUNCTION("TEXTJOIN("", "",TRUE,UNIQUE(FILTER('Data Master'!$B$2:$B2880,'Data Master'!$J$2:$J2880=A2017)))"),"petani")</f>
        <v>petani</v>
      </c>
    </row>
    <row r="2018" hidden="1">
      <c r="C2018" s="40" t="str">
        <f>IFERROR(__xludf.DUMMYFUNCTION("TEXTJOIN("", "",TRUE,UNIQUE(FILTER('Data Master'!$B$2:$B2880,'Data Master'!$J$2:$J2880=A2018)))"),"petani")</f>
        <v>petani</v>
      </c>
    </row>
    <row r="2019" hidden="1">
      <c r="C2019" s="40" t="str">
        <f>IFERROR(__xludf.DUMMYFUNCTION("TEXTJOIN("", "",TRUE,UNIQUE(FILTER('Data Master'!$B$2:$B2880,'Data Master'!$J$2:$J2880=A2019)))"),"petani")</f>
        <v>petani</v>
      </c>
    </row>
    <row r="2020" hidden="1">
      <c r="C2020" s="40" t="str">
        <f>IFERROR(__xludf.DUMMYFUNCTION("TEXTJOIN("", "",TRUE,UNIQUE(FILTER('Data Master'!$B$2:$B2880,'Data Master'!$J$2:$J2880=A2020)))"),"petani")</f>
        <v>petani</v>
      </c>
    </row>
    <row r="2021" hidden="1">
      <c r="C2021" s="40" t="str">
        <f>IFERROR(__xludf.DUMMYFUNCTION("TEXTJOIN("", "",TRUE,UNIQUE(FILTER('Data Master'!$B$2:$B2880,'Data Master'!$J$2:$J2880=A2021)))"),"petani")</f>
        <v>petani</v>
      </c>
    </row>
    <row r="2022" hidden="1">
      <c r="C2022" s="40" t="str">
        <f>IFERROR(__xludf.DUMMYFUNCTION("TEXTJOIN("", "",TRUE,UNIQUE(FILTER('Data Master'!$B$2:$B2880,'Data Master'!$J$2:$J2880=A2022)))"),"petani")</f>
        <v>petani</v>
      </c>
    </row>
    <row r="2023" hidden="1">
      <c r="C2023" s="40" t="str">
        <f>IFERROR(__xludf.DUMMYFUNCTION("TEXTJOIN("", "",TRUE,UNIQUE(FILTER('Data Master'!$B$2:$B2880,'Data Master'!$J$2:$J2880=A2023)))"),"petani")</f>
        <v>petani</v>
      </c>
    </row>
    <row r="2024" hidden="1">
      <c r="C2024" s="40" t="str">
        <f>IFERROR(__xludf.DUMMYFUNCTION("TEXTJOIN("", "",TRUE,UNIQUE(FILTER('Data Master'!$B$2:$B2880,'Data Master'!$J$2:$J2880=A2024)))"),"petani")</f>
        <v>petani</v>
      </c>
    </row>
    <row r="2025" hidden="1">
      <c r="C2025" s="40" t="str">
        <f>IFERROR(__xludf.DUMMYFUNCTION("TEXTJOIN("", "",TRUE,UNIQUE(FILTER('Data Master'!$B$2:$B2880,'Data Master'!$J$2:$J2880=A2025)))"),"petani")</f>
        <v>petani</v>
      </c>
    </row>
    <row r="2026" hidden="1">
      <c r="C2026" s="40" t="str">
        <f>IFERROR(__xludf.DUMMYFUNCTION("TEXTJOIN("", "",TRUE,UNIQUE(FILTER('Data Master'!$B$2:$B2880,'Data Master'!$J$2:$J2880=A2026)))"),"petani")</f>
        <v>petani</v>
      </c>
    </row>
    <row r="2027" hidden="1">
      <c r="C2027" s="40" t="str">
        <f>IFERROR(__xludf.DUMMYFUNCTION("TEXTJOIN("", "",TRUE,UNIQUE(FILTER('Data Master'!$B$2:$B2880,'Data Master'!$J$2:$J2880=A2027)))"),"petani")</f>
        <v>petani</v>
      </c>
    </row>
    <row r="2028" hidden="1">
      <c r="C2028" s="40" t="str">
        <f>IFERROR(__xludf.DUMMYFUNCTION("TEXTJOIN("", "",TRUE,UNIQUE(FILTER('Data Master'!$B$2:$B2880,'Data Master'!$J$2:$J2880=A2028)))"),"petani")</f>
        <v>petani</v>
      </c>
    </row>
    <row r="2029" hidden="1">
      <c r="C2029" s="40" t="str">
        <f>IFERROR(__xludf.DUMMYFUNCTION("TEXTJOIN("", "",TRUE,UNIQUE(FILTER('Data Master'!$B$2:$B2880,'Data Master'!$J$2:$J2880=A2029)))"),"petani")</f>
        <v>petani</v>
      </c>
    </row>
    <row r="2030" hidden="1">
      <c r="C2030" s="40" t="str">
        <f>IFERROR(__xludf.DUMMYFUNCTION("TEXTJOIN("", "",TRUE,UNIQUE(FILTER('Data Master'!$B$2:$B2880,'Data Master'!$J$2:$J2880=A2030)))"),"petani")</f>
        <v>petani</v>
      </c>
    </row>
    <row r="2031" hidden="1">
      <c r="C2031" s="40" t="str">
        <f>IFERROR(__xludf.DUMMYFUNCTION("TEXTJOIN("", "",TRUE,UNIQUE(FILTER('Data Master'!$B$2:$B2880,'Data Master'!$J$2:$J2880=A2031)))"),"petani")</f>
        <v>petani</v>
      </c>
    </row>
    <row r="2032" hidden="1">
      <c r="C2032" s="40" t="str">
        <f>IFERROR(__xludf.DUMMYFUNCTION("TEXTJOIN("", "",TRUE,UNIQUE(FILTER('Data Master'!$B$2:$B2880,'Data Master'!$J$2:$J2880=A2032)))"),"petani")</f>
        <v>petani</v>
      </c>
    </row>
    <row r="2033" hidden="1">
      <c r="C2033" s="40" t="str">
        <f>IFERROR(__xludf.DUMMYFUNCTION("TEXTJOIN("", "",TRUE,UNIQUE(FILTER('Data Master'!$B$2:$B2880,'Data Master'!$J$2:$J2880=A2033)))"),"petani")</f>
        <v>petani</v>
      </c>
    </row>
    <row r="2034" hidden="1">
      <c r="C2034" s="40" t="str">
        <f>IFERROR(__xludf.DUMMYFUNCTION("TEXTJOIN("", "",TRUE,UNIQUE(FILTER('Data Master'!$B$2:$B2880,'Data Master'!$J$2:$J2880=A2034)))"),"petani")</f>
        <v>petani</v>
      </c>
    </row>
    <row r="2035" hidden="1">
      <c r="C2035" s="40" t="str">
        <f>IFERROR(__xludf.DUMMYFUNCTION("TEXTJOIN("", "",TRUE,UNIQUE(FILTER('Data Master'!$B$2:$B2880,'Data Master'!$J$2:$J2880=A2035)))"),"petani")</f>
        <v>petani</v>
      </c>
    </row>
    <row r="2036" hidden="1">
      <c r="C2036" s="40" t="str">
        <f>IFERROR(__xludf.DUMMYFUNCTION("TEXTJOIN("", "",TRUE,UNIQUE(FILTER('Data Master'!$B$2:$B2880,'Data Master'!$J$2:$J2880=A2036)))"),"petani")</f>
        <v>petani</v>
      </c>
    </row>
    <row r="2037" hidden="1">
      <c r="C2037" s="40" t="str">
        <f>IFERROR(__xludf.DUMMYFUNCTION("TEXTJOIN("", "",TRUE,UNIQUE(FILTER('Data Master'!$B$2:$B2880,'Data Master'!$J$2:$J2880=A2037)))"),"petani")</f>
        <v>petani</v>
      </c>
    </row>
    <row r="2038" hidden="1">
      <c r="C2038" s="40" t="str">
        <f>IFERROR(__xludf.DUMMYFUNCTION("TEXTJOIN("", "",TRUE,UNIQUE(FILTER('Data Master'!$B$2:$B2880,'Data Master'!$J$2:$J2880=A2038)))"),"petani")</f>
        <v>petani</v>
      </c>
    </row>
    <row r="2039" hidden="1">
      <c r="C2039" s="40" t="str">
        <f>IFERROR(__xludf.DUMMYFUNCTION("TEXTJOIN("", "",TRUE,UNIQUE(FILTER('Data Master'!$B$2:$B2880,'Data Master'!$J$2:$J2880=A2039)))"),"petani")</f>
        <v>petani</v>
      </c>
    </row>
    <row r="2040" hidden="1">
      <c r="C2040" s="40" t="str">
        <f>IFERROR(__xludf.DUMMYFUNCTION("TEXTJOIN("", "",TRUE,UNIQUE(FILTER('Data Master'!$B$2:$B2880,'Data Master'!$J$2:$J2880=A2040)))"),"petani")</f>
        <v>petani</v>
      </c>
    </row>
    <row r="2041" hidden="1">
      <c r="C2041" s="40" t="str">
        <f>IFERROR(__xludf.DUMMYFUNCTION("TEXTJOIN("", "",TRUE,UNIQUE(FILTER('Data Master'!$B$2:$B2880,'Data Master'!$J$2:$J2880=A2041)))"),"petani")</f>
        <v>petani</v>
      </c>
    </row>
    <row r="2042" hidden="1">
      <c r="C2042" s="40" t="str">
        <f>IFERROR(__xludf.DUMMYFUNCTION("TEXTJOIN("", "",TRUE,UNIQUE(FILTER('Data Master'!$B$2:$B2880,'Data Master'!$J$2:$J2880=A2042)))"),"petani")</f>
        <v>petani</v>
      </c>
    </row>
    <row r="2043" hidden="1">
      <c r="C2043" s="40" t="str">
        <f>IFERROR(__xludf.DUMMYFUNCTION("TEXTJOIN("", "",TRUE,UNIQUE(FILTER('Data Master'!$B$2:$B2880,'Data Master'!$J$2:$J2880=A2043)))"),"petani")</f>
        <v>petani</v>
      </c>
    </row>
    <row r="2044" hidden="1">
      <c r="C2044" s="40" t="str">
        <f>IFERROR(__xludf.DUMMYFUNCTION("TEXTJOIN("", "",TRUE,UNIQUE(FILTER('Data Master'!$B$2:$B2880,'Data Master'!$J$2:$J2880=A2044)))"),"petani")</f>
        <v>petani</v>
      </c>
    </row>
    <row r="2045" hidden="1">
      <c r="C2045" s="40" t="str">
        <f>IFERROR(__xludf.DUMMYFUNCTION("TEXTJOIN("", "",TRUE,UNIQUE(FILTER('Data Master'!$B$2:$B2880,'Data Master'!$J$2:$J2880=A2045)))"),"petani")</f>
        <v>petani</v>
      </c>
    </row>
    <row r="2046" hidden="1">
      <c r="C2046" s="40" t="str">
        <f>IFERROR(__xludf.DUMMYFUNCTION("TEXTJOIN("", "",TRUE,UNIQUE(FILTER('Data Master'!$B$2:$B2880,'Data Master'!$J$2:$J2880=A2046)))"),"petani")</f>
        <v>petani</v>
      </c>
    </row>
    <row r="2047" hidden="1">
      <c r="C2047" s="40" t="str">
        <f>IFERROR(__xludf.DUMMYFUNCTION("TEXTJOIN("", "",TRUE,UNIQUE(FILTER('Data Master'!$B$2:$B2880,'Data Master'!$J$2:$J2880=A2047)))"),"petani")</f>
        <v>petani</v>
      </c>
    </row>
    <row r="2048" hidden="1">
      <c r="C2048" s="40" t="str">
        <f>IFERROR(__xludf.DUMMYFUNCTION("TEXTJOIN("", "",TRUE,UNIQUE(FILTER('Data Master'!$B$2:$B2880,'Data Master'!$J$2:$J2880=A2048)))"),"petani")</f>
        <v>petani</v>
      </c>
    </row>
    <row r="2049" hidden="1">
      <c r="C2049" s="40" t="str">
        <f>IFERROR(__xludf.DUMMYFUNCTION("TEXTJOIN("", "",TRUE,UNIQUE(FILTER('Data Master'!$B$2:$B2880,'Data Master'!$J$2:$J2880=A2049)))"),"petani")</f>
        <v>petani</v>
      </c>
    </row>
    <row r="2050" hidden="1">
      <c r="C2050" s="40" t="str">
        <f>IFERROR(__xludf.DUMMYFUNCTION("TEXTJOIN("", "",TRUE,UNIQUE(FILTER('Data Master'!$B$2:$B2880,'Data Master'!$J$2:$J2880=A2050)))"),"petani")</f>
        <v>petani</v>
      </c>
    </row>
    <row r="2051" hidden="1">
      <c r="C2051" s="40" t="str">
        <f>IFERROR(__xludf.DUMMYFUNCTION("TEXTJOIN("", "",TRUE,UNIQUE(FILTER('Data Master'!$B$2:$B2880,'Data Master'!$J$2:$J2880=A2051)))"),"petani")</f>
        <v>petani</v>
      </c>
    </row>
    <row r="2052" hidden="1">
      <c r="C2052" s="40" t="str">
        <f>IFERROR(__xludf.DUMMYFUNCTION("TEXTJOIN("", "",TRUE,UNIQUE(FILTER('Data Master'!$B$2:$B2880,'Data Master'!$J$2:$J2880=A2052)))"),"petani")</f>
        <v>petani</v>
      </c>
    </row>
    <row r="2053" hidden="1">
      <c r="C2053" s="40" t="str">
        <f>IFERROR(__xludf.DUMMYFUNCTION("TEXTJOIN("", "",TRUE,UNIQUE(FILTER('Data Master'!$B$2:$B2880,'Data Master'!$J$2:$J2880=A2053)))"),"petani")</f>
        <v>petani</v>
      </c>
    </row>
    <row r="2054" hidden="1">
      <c r="C2054" s="40" t="str">
        <f>IFERROR(__xludf.DUMMYFUNCTION("TEXTJOIN("", "",TRUE,UNIQUE(FILTER('Data Master'!$B$2:$B2880,'Data Master'!$J$2:$J2880=A2054)))"),"petani")</f>
        <v>petani</v>
      </c>
    </row>
    <row r="2055" hidden="1">
      <c r="C2055" s="40" t="str">
        <f>IFERROR(__xludf.DUMMYFUNCTION("TEXTJOIN("", "",TRUE,UNIQUE(FILTER('Data Master'!$B$2:$B2880,'Data Master'!$J$2:$J2880=A2055)))"),"petani")</f>
        <v>petani</v>
      </c>
    </row>
    <row r="2056" hidden="1">
      <c r="C2056" s="40" t="str">
        <f>IFERROR(__xludf.DUMMYFUNCTION("TEXTJOIN("", "",TRUE,UNIQUE(FILTER('Data Master'!$B$2:$B2880,'Data Master'!$J$2:$J2880=A2056)))"),"petani")</f>
        <v>petani</v>
      </c>
    </row>
    <row r="2057" hidden="1">
      <c r="C2057" s="40" t="str">
        <f>IFERROR(__xludf.DUMMYFUNCTION("TEXTJOIN("", "",TRUE,UNIQUE(FILTER('Data Master'!$B$2:$B2880,'Data Master'!$J$2:$J2880=A2057)))"),"petani")</f>
        <v>petani</v>
      </c>
    </row>
    <row r="2058" hidden="1">
      <c r="C2058" s="40" t="str">
        <f>IFERROR(__xludf.DUMMYFUNCTION("TEXTJOIN("", "",TRUE,UNIQUE(FILTER('Data Master'!$B$2:$B2880,'Data Master'!$J$2:$J2880=A2058)))"),"petani")</f>
        <v>petani</v>
      </c>
    </row>
    <row r="2059" hidden="1">
      <c r="C2059" s="40" t="str">
        <f>IFERROR(__xludf.DUMMYFUNCTION("TEXTJOIN("", "",TRUE,UNIQUE(FILTER('Data Master'!$B$2:$B2880,'Data Master'!$J$2:$J2880=A2059)))"),"petani")</f>
        <v>petani</v>
      </c>
    </row>
    <row r="2060" hidden="1">
      <c r="C2060" s="40" t="str">
        <f>IFERROR(__xludf.DUMMYFUNCTION("TEXTJOIN("", "",TRUE,UNIQUE(FILTER('Data Master'!$B$2:$B2880,'Data Master'!$J$2:$J2880=A2060)))"),"petani")</f>
        <v>petani</v>
      </c>
    </row>
    <row r="2061" hidden="1">
      <c r="C2061" s="40" t="str">
        <f>IFERROR(__xludf.DUMMYFUNCTION("TEXTJOIN("", "",TRUE,UNIQUE(FILTER('Data Master'!$B$2:$B2880,'Data Master'!$J$2:$J2880=A2061)))"),"petani")</f>
        <v>petani</v>
      </c>
    </row>
    <row r="2062" hidden="1">
      <c r="C2062" s="40" t="str">
        <f>IFERROR(__xludf.DUMMYFUNCTION("TEXTJOIN("", "",TRUE,UNIQUE(FILTER('Data Master'!$B$2:$B2880,'Data Master'!$J$2:$J2880=A2062)))"),"petani")</f>
        <v>petani</v>
      </c>
    </row>
    <row r="2063" hidden="1">
      <c r="C2063" s="40" t="str">
        <f>IFERROR(__xludf.DUMMYFUNCTION("TEXTJOIN("", "",TRUE,UNIQUE(FILTER('Data Master'!$B$2:$B2880,'Data Master'!$J$2:$J2880=A2063)))"),"petani")</f>
        <v>petani</v>
      </c>
    </row>
    <row r="2064" hidden="1">
      <c r="C2064" s="40" t="str">
        <f>IFERROR(__xludf.DUMMYFUNCTION("TEXTJOIN("", "",TRUE,UNIQUE(FILTER('Data Master'!$B$2:$B2880,'Data Master'!$J$2:$J2880=A2064)))"),"petani")</f>
        <v>petani</v>
      </c>
    </row>
    <row r="2065" hidden="1">
      <c r="C2065" s="40" t="str">
        <f>IFERROR(__xludf.DUMMYFUNCTION("TEXTJOIN("", "",TRUE,UNIQUE(FILTER('Data Master'!$B$2:$B2880,'Data Master'!$J$2:$J2880=A2065)))"),"petani")</f>
        <v>petani</v>
      </c>
    </row>
    <row r="2066" hidden="1">
      <c r="C2066" s="40" t="str">
        <f>IFERROR(__xludf.DUMMYFUNCTION("TEXTJOIN("", "",TRUE,UNIQUE(FILTER('Data Master'!$B$2:$B2880,'Data Master'!$J$2:$J2880=A2066)))"),"petani")</f>
        <v>petani</v>
      </c>
    </row>
    <row r="2067" hidden="1">
      <c r="C2067" s="40" t="str">
        <f>IFERROR(__xludf.DUMMYFUNCTION("TEXTJOIN("", "",TRUE,UNIQUE(FILTER('Data Master'!$B$2:$B2880,'Data Master'!$J$2:$J2880=A2067)))"),"petani")</f>
        <v>petani</v>
      </c>
    </row>
    <row r="2068" hidden="1">
      <c r="C2068" s="40" t="str">
        <f>IFERROR(__xludf.DUMMYFUNCTION("TEXTJOIN("", "",TRUE,UNIQUE(FILTER('Data Master'!$B$2:$B2880,'Data Master'!$J$2:$J2880=A2068)))"),"petani")</f>
        <v>petani</v>
      </c>
    </row>
    <row r="2069" hidden="1">
      <c r="C2069" s="40" t="str">
        <f>IFERROR(__xludf.DUMMYFUNCTION("TEXTJOIN("", "",TRUE,UNIQUE(FILTER('Data Master'!$B$2:$B2880,'Data Master'!$J$2:$J2880=A2069)))"),"petani")</f>
        <v>petani</v>
      </c>
    </row>
    <row r="2070" hidden="1">
      <c r="C2070" s="40" t="str">
        <f>IFERROR(__xludf.DUMMYFUNCTION("TEXTJOIN("", "",TRUE,UNIQUE(FILTER('Data Master'!$B$2:$B2880,'Data Master'!$J$2:$J2880=A2070)))"),"petani")</f>
        <v>petani</v>
      </c>
    </row>
    <row r="2071" hidden="1">
      <c r="C2071" s="40" t="str">
        <f>IFERROR(__xludf.DUMMYFUNCTION("TEXTJOIN("", "",TRUE,UNIQUE(FILTER('Data Master'!$B$2:$B2880,'Data Master'!$J$2:$J2880=A2071)))"),"petani")</f>
        <v>petani</v>
      </c>
    </row>
    <row r="2072" hidden="1">
      <c r="C2072" s="40" t="str">
        <f>IFERROR(__xludf.DUMMYFUNCTION("TEXTJOIN("", "",TRUE,UNIQUE(FILTER('Data Master'!$B$2:$B2880,'Data Master'!$J$2:$J2880=A2072)))"),"petani")</f>
        <v>petani</v>
      </c>
    </row>
    <row r="2073" hidden="1">
      <c r="C2073" s="40" t="str">
        <f>IFERROR(__xludf.DUMMYFUNCTION("TEXTJOIN("", "",TRUE,UNIQUE(FILTER('Data Master'!$B$2:$B2880,'Data Master'!$J$2:$J2880=A2073)))"),"petani")</f>
        <v>petani</v>
      </c>
    </row>
    <row r="2074" hidden="1">
      <c r="C2074" s="40" t="str">
        <f>IFERROR(__xludf.DUMMYFUNCTION("TEXTJOIN("", "",TRUE,UNIQUE(FILTER('Data Master'!$B$2:$B2880,'Data Master'!$J$2:$J2880=A2074)))"),"petani")</f>
        <v>petani</v>
      </c>
    </row>
    <row r="2075" hidden="1">
      <c r="C2075" s="40" t="str">
        <f>IFERROR(__xludf.DUMMYFUNCTION("TEXTJOIN("", "",TRUE,UNIQUE(FILTER('Data Master'!$B$2:$B2880,'Data Master'!$J$2:$J2880=A2075)))"),"petani")</f>
        <v>petani</v>
      </c>
    </row>
    <row r="2076" hidden="1">
      <c r="C2076" s="40" t="str">
        <f>IFERROR(__xludf.DUMMYFUNCTION("TEXTJOIN("", "",TRUE,UNIQUE(FILTER('Data Master'!$B$2:$B2880,'Data Master'!$J$2:$J2880=A2076)))"),"petani")</f>
        <v>petani</v>
      </c>
    </row>
    <row r="2077" hidden="1">
      <c r="C2077" s="40" t="str">
        <f>IFERROR(__xludf.DUMMYFUNCTION("TEXTJOIN("", "",TRUE,UNIQUE(FILTER('Data Master'!$B$2:$B2880,'Data Master'!$J$2:$J2880=A2077)))"),"petani")</f>
        <v>petani</v>
      </c>
    </row>
    <row r="2078" hidden="1">
      <c r="C2078" s="40" t="str">
        <f>IFERROR(__xludf.DUMMYFUNCTION("TEXTJOIN("", "",TRUE,UNIQUE(FILTER('Data Master'!$B$2:$B2880,'Data Master'!$J$2:$J2880=A2078)))"),"petani")</f>
        <v>petani</v>
      </c>
    </row>
    <row r="2079" hidden="1">
      <c r="C2079" s="40" t="str">
        <f>IFERROR(__xludf.DUMMYFUNCTION("TEXTJOIN("", "",TRUE,UNIQUE(FILTER('Data Master'!$B$2:$B2880,'Data Master'!$J$2:$J2880=A2079)))"),"petani")</f>
        <v>petani</v>
      </c>
    </row>
    <row r="2080" hidden="1">
      <c r="C2080" s="40" t="str">
        <f>IFERROR(__xludf.DUMMYFUNCTION("TEXTJOIN("", "",TRUE,UNIQUE(FILTER('Data Master'!$B$2:$B2880,'Data Master'!$J$2:$J2880=A2080)))"),"petani")</f>
        <v>petani</v>
      </c>
    </row>
    <row r="2081" hidden="1">
      <c r="C2081" s="40" t="str">
        <f>IFERROR(__xludf.DUMMYFUNCTION("TEXTJOIN("", "",TRUE,UNIQUE(FILTER('Data Master'!$B$2:$B2880,'Data Master'!$J$2:$J2880=A2081)))"),"petani")</f>
        <v>petani</v>
      </c>
    </row>
    <row r="2082" hidden="1">
      <c r="C2082" s="40" t="str">
        <f>IFERROR(__xludf.DUMMYFUNCTION("TEXTJOIN("", "",TRUE,UNIQUE(FILTER('Data Master'!$B$2:$B2880,'Data Master'!$J$2:$J2880=A2082)))"),"petani")</f>
        <v>petani</v>
      </c>
    </row>
    <row r="2083" hidden="1">
      <c r="C2083" s="40" t="str">
        <f>IFERROR(__xludf.DUMMYFUNCTION("TEXTJOIN("", "",TRUE,UNIQUE(FILTER('Data Master'!$B$2:$B2880,'Data Master'!$J$2:$J2880=A2083)))"),"petani")</f>
        <v>petani</v>
      </c>
    </row>
    <row r="2084" hidden="1">
      <c r="C2084" s="40" t="str">
        <f>IFERROR(__xludf.DUMMYFUNCTION("TEXTJOIN("", "",TRUE,UNIQUE(FILTER('Data Master'!$B$2:$B2880,'Data Master'!$J$2:$J2880=A2084)))"),"petani")</f>
        <v>petani</v>
      </c>
    </row>
    <row r="2085" hidden="1">
      <c r="C2085" s="40" t="str">
        <f>IFERROR(__xludf.DUMMYFUNCTION("TEXTJOIN("", "",TRUE,UNIQUE(FILTER('Data Master'!$B$2:$B2880,'Data Master'!$J$2:$J2880=A2085)))"),"petani")</f>
        <v>petani</v>
      </c>
    </row>
    <row r="2086" hidden="1">
      <c r="C2086" s="40" t="str">
        <f>IFERROR(__xludf.DUMMYFUNCTION("TEXTJOIN("", "",TRUE,UNIQUE(FILTER('Data Master'!$B$2:$B2880,'Data Master'!$J$2:$J2880=A2086)))"),"petani")</f>
        <v>petani</v>
      </c>
    </row>
    <row r="2087" hidden="1">
      <c r="C2087" s="40" t="str">
        <f>IFERROR(__xludf.DUMMYFUNCTION("TEXTJOIN("", "",TRUE,UNIQUE(FILTER('Data Master'!$B$2:$B2880,'Data Master'!$J$2:$J2880=A2087)))"),"petani")</f>
        <v>petani</v>
      </c>
    </row>
    <row r="2088" hidden="1">
      <c r="C2088" s="40" t="str">
        <f>IFERROR(__xludf.DUMMYFUNCTION("TEXTJOIN("", "",TRUE,UNIQUE(FILTER('Data Master'!$B$2:$B2880,'Data Master'!$J$2:$J2880=A2088)))"),"petani")</f>
        <v>petani</v>
      </c>
    </row>
    <row r="2089" hidden="1">
      <c r="C2089" s="40" t="str">
        <f>IFERROR(__xludf.DUMMYFUNCTION("TEXTJOIN("", "",TRUE,UNIQUE(FILTER('Data Master'!$B$2:$B2880,'Data Master'!$J$2:$J2880=A2089)))"),"petani")</f>
        <v>petani</v>
      </c>
    </row>
    <row r="2090" hidden="1">
      <c r="C2090" s="40" t="str">
        <f>IFERROR(__xludf.DUMMYFUNCTION("TEXTJOIN("", "",TRUE,UNIQUE(FILTER('Data Master'!$B$2:$B2880,'Data Master'!$J$2:$J2880=A2090)))"),"petani")</f>
        <v>petani</v>
      </c>
    </row>
    <row r="2091" hidden="1">
      <c r="C2091" s="40" t="str">
        <f>IFERROR(__xludf.DUMMYFUNCTION("TEXTJOIN("", "",TRUE,UNIQUE(FILTER('Data Master'!$B$2:$B2880,'Data Master'!$J$2:$J2880=A2091)))"),"petani")</f>
        <v>petani</v>
      </c>
    </row>
    <row r="2092" hidden="1">
      <c r="C2092" s="40" t="str">
        <f>IFERROR(__xludf.DUMMYFUNCTION("TEXTJOIN("", "",TRUE,UNIQUE(FILTER('Data Master'!$B$2:$B2880,'Data Master'!$J$2:$J2880=A2092)))"),"petani")</f>
        <v>petani</v>
      </c>
    </row>
    <row r="2093" hidden="1">
      <c r="C2093" s="40" t="str">
        <f>IFERROR(__xludf.DUMMYFUNCTION("TEXTJOIN("", "",TRUE,UNIQUE(FILTER('Data Master'!$B$2:$B2880,'Data Master'!$J$2:$J2880=A2093)))"),"petani")</f>
        <v>petani</v>
      </c>
    </row>
    <row r="2094" hidden="1">
      <c r="C2094" s="40" t="str">
        <f>IFERROR(__xludf.DUMMYFUNCTION("TEXTJOIN("", "",TRUE,UNIQUE(FILTER('Data Master'!$B$2:$B2880,'Data Master'!$J$2:$J2880=A2094)))"),"petani")</f>
        <v>petani</v>
      </c>
    </row>
    <row r="2095" hidden="1">
      <c r="C2095" s="40" t="str">
        <f>IFERROR(__xludf.DUMMYFUNCTION("TEXTJOIN("", "",TRUE,UNIQUE(FILTER('Data Master'!$B$2:$B2880,'Data Master'!$J$2:$J2880=A2095)))"),"petani")</f>
        <v>petani</v>
      </c>
    </row>
    <row r="2096" hidden="1">
      <c r="C2096" s="40" t="str">
        <f>IFERROR(__xludf.DUMMYFUNCTION("TEXTJOIN("", "",TRUE,UNIQUE(FILTER('Data Master'!$B$2:$B2880,'Data Master'!$J$2:$J2880=A2096)))"),"petani")</f>
        <v>petani</v>
      </c>
    </row>
    <row r="2097" hidden="1">
      <c r="C2097" s="40" t="str">
        <f>IFERROR(__xludf.DUMMYFUNCTION("TEXTJOIN("", "",TRUE,UNIQUE(FILTER('Data Master'!$B$2:$B2880,'Data Master'!$J$2:$J2880=A2097)))"),"petani")</f>
        <v>petani</v>
      </c>
    </row>
    <row r="2098" hidden="1">
      <c r="C2098" s="40" t="str">
        <f>IFERROR(__xludf.DUMMYFUNCTION("TEXTJOIN("", "",TRUE,UNIQUE(FILTER('Data Master'!$B$2:$B2880,'Data Master'!$J$2:$J2880=A2098)))"),"petani")</f>
        <v>petani</v>
      </c>
    </row>
    <row r="2099" hidden="1">
      <c r="C2099" s="40" t="str">
        <f>IFERROR(__xludf.DUMMYFUNCTION("TEXTJOIN("", "",TRUE,UNIQUE(FILTER('Data Master'!$B$2:$B2880,'Data Master'!$J$2:$J2880=A2099)))"),"petani")</f>
        <v>petani</v>
      </c>
    </row>
    <row r="2100" hidden="1">
      <c r="C2100" s="40" t="str">
        <f>IFERROR(__xludf.DUMMYFUNCTION("TEXTJOIN("", "",TRUE,UNIQUE(FILTER('Data Master'!$B$2:$B2880,'Data Master'!$J$2:$J2880=A2100)))"),"petani")</f>
        <v>petani</v>
      </c>
    </row>
    <row r="2101" hidden="1">
      <c r="C2101" s="40" t="str">
        <f>IFERROR(__xludf.DUMMYFUNCTION("TEXTJOIN("", "",TRUE,UNIQUE(FILTER('Data Master'!$B$2:$B2880,'Data Master'!$J$2:$J2880=A2101)))"),"petani")</f>
        <v>petani</v>
      </c>
    </row>
    <row r="2102" hidden="1">
      <c r="C2102" s="40" t="str">
        <f>IFERROR(__xludf.DUMMYFUNCTION("TEXTJOIN("", "",TRUE,UNIQUE(FILTER('Data Master'!$B$2:$B2880,'Data Master'!$J$2:$J2880=A2102)))"),"petani")</f>
        <v>petani</v>
      </c>
    </row>
    <row r="2103" hidden="1">
      <c r="C2103" s="40" t="str">
        <f>IFERROR(__xludf.DUMMYFUNCTION("TEXTJOIN("", "",TRUE,UNIQUE(FILTER('Data Master'!$B$2:$B2880,'Data Master'!$J$2:$J2880=A2103)))"),"petani")</f>
        <v>petani</v>
      </c>
    </row>
    <row r="2104" hidden="1">
      <c r="C2104" s="40" t="str">
        <f>IFERROR(__xludf.DUMMYFUNCTION("TEXTJOIN("", "",TRUE,UNIQUE(FILTER('Data Master'!$B$2:$B2880,'Data Master'!$J$2:$J2880=A2104)))"),"petani")</f>
        <v>petani</v>
      </c>
    </row>
    <row r="2105" hidden="1">
      <c r="C2105" s="40" t="str">
        <f>IFERROR(__xludf.DUMMYFUNCTION("TEXTJOIN("", "",TRUE,UNIQUE(FILTER('Data Master'!$B$2:$B2880,'Data Master'!$J$2:$J2880=A2105)))"),"petani")</f>
        <v>petani</v>
      </c>
    </row>
    <row r="2106" hidden="1">
      <c r="C2106" s="40" t="str">
        <f>IFERROR(__xludf.DUMMYFUNCTION("TEXTJOIN("", "",TRUE,UNIQUE(FILTER('Data Master'!$B$2:$B2880,'Data Master'!$J$2:$J2880=A2106)))"),"petani")</f>
        <v>petani</v>
      </c>
    </row>
    <row r="2107" hidden="1">
      <c r="C2107" s="40" t="str">
        <f>IFERROR(__xludf.DUMMYFUNCTION("TEXTJOIN("", "",TRUE,UNIQUE(FILTER('Data Master'!$B$2:$B2880,'Data Master'!$J$2:$J2880=A2107)))"),"petani")</f>
        <v>petani</v>
      </c>
    </row>
    <row r="2108" hidden="1">
      <c r="C2108" s="40" t="str">
        <f>IFERROR(__xludf.DUMMYFUNCTION("TEXTJOIN("", "",TRUE,UNIQUE(FILTER('Data Master'!$B$2:$B2880,'Data Master'!$J$2:$J2880=A2108)))"),"petani")</f>
        <v>petani</v>
      </c>
    </row>
    <row r="2109" hidden="1">
      <c r="C2109" s="40" t="str">
        <f>IFERROR(__xludf.DUMMYFUNCTION("TEXTJOIN("", "",TRUE,UNIQUE(FILTER('Data Master'!$B$2:$B2880,'Data Master'!$J$2:$J2880=A2109)))"),"petani")</f>
        <v>petani</v>
      </c>
    </row>
    <row r="2110" hidden="1">
      <c r="C2110" s="40" t="str">
        <f>IFERROR(__xludf.DUMMYFUNCTION("TEXTJOIN("", "",TRUE,UNIQUE(FILTER('Data Master'!$B$2:$B2880,'Data Master'!$J$2:$J2880=A2110)))"),"petani")</f>
        <v>petani</v>
      </c>
    </row>
    <row r="2111" hidden="1">
      <c r="C2111" s="40" t="str">
        <f>IFERROR(__xludf.DUMMYFUNCTION("TEXTJOIN("", "",TRUE,UNIQUE(FILTER('Data Master'!$B$2:$B2880,'Data Master'!$J$2:$J2880=A2111)))"),"petani")</f>
        <v>petani</v>
      </c>
    </row>
    <row r="2112" hidden="1">
      <c r="C2112" s="40" t="str">
        <f>IFERROR(__xludf.DUMMYFUNCTION("TEXTJOIN("", "",TRUE,UNIQUE(FILTER('Data Master'!$B$2:$B2880,'Data Master'!$J$2:$J2880=A2112)))"),"petani")</f>
        <v>petani</v>
      </c>
    </row>
    <row r="2113" hidden="1">
      <c r="C2113" s="40" t="str">
        <f>IFERROR(__xludf.DUMMYFUNCTION("TEXTJOIN("", "",TRUE,UNIQUE(FILTER('Data Master'!$B$2:$B2880,'Data Master'!$J$2:$J2880=A2113)))"),"petani")</f>
        <v>petani</v>
      </c>
    </row>
    <row r="2114" hidden="1">
      <c r="C2114" s="40" t="str">
        <f>IFERROR(__xludf.DUMMYFUNCTION("TEXTJOIN("", "",TRUE,UNIQUE(FILTER('Data Master'!$B$2:$B2880,'Data Master'!$J$2:$J2880=A2114)))"),"petani")</f>
        <v>petani</v>
      </c>
    </row>
    <row r="2115" hidden="1">
      <c r="C2115" s="40" t="str">
        <f>IFERROR(__xludf.DUMMYFUNCTION("TEXTJOIN("", "",TRUE,UNIQUE(FILTER('Data Master'!$B$2:$B2880,'Data Master'!$J$2:$J2880=A2115)))"),"petani")</f>
        <v>petani</v>
      </c>
    </row>
    <row r="2116" hidden="1">
      <c r="C2116" s="40" t="str">
        <f>IFERROR(__xludf.DUMMYFUNCTION("TEXTJOIN("", "",TRUE,UNIQUE(FILTER('Data Master'!$B$2:$B2880,'Data Master'!$J$2:$J2880=A2116)))"),"petani")</f>
        <v>petani</v>
      </c>
    </row>
    <row r="2117" hidden="1">
      <c r="C2117" s="40" t="str">
        <f>IFERROR(__xludf.DUMMYFUNCTION("TEXTJOIN("", "",TRUE,UNIQUE(FILTER('Data Master'!$B$2:$B2880,'Data Master'!$J$2:$J2880=A2117)))"),"petani")</f>
        <v>petani</v>
      </c>
    </row>
    <row r="2118" hidden="1">
      <c r="C2118" s="40" t="str">
        <f>IFERROR(__xludf.DUMMYFUNCTION("TEXTJOIN("", "",TRUE,UNIQUE(FILTER('Data Master'!$B$2:$B2880,'Data Master'!$J$2:$J2880=A2118)))"),"petani")</f>
        <v>petani</v>
      </c>
    </row>
    <row r="2119" hidden="1">
      <c r="C2119" s="40" t="str">
        <f>IFERROR(__xludf.DUMMYFUNCTION("TEXTJOIN("", "",TRUE,UNIQUE(FILTER('Data Master'!$B$2:$B2880,'Data Master'!$J$2:$J2880=A2119)))"),"petani")</f>
        <v>petani</v>
      </c>
    </row>
    <row r="2120" hidden="1">
      <c r="C2120" s="40" t="str">
        <f>IFERROR(__xludf.DUMMYFUNCTION("TEXTJOIN("", "",TRUE,UNIQUE(FILTER('Data Master'!$B$2:$B2880,'Data Master'!$J$2:$J2880=A2120)))"),"petani")</f>
        <v>petani</v>
      </c>
    </row>
    <row r="2121" hidden="1">
      <c r="C2121" s="40" t="str">
        <f>IFERROR(__xludf.DUMMYFUNCTION("TEXTJOIN("", "",TRUE,UNIQUE(FILTER('Data Master'!$B$2:$B2880,'Data Master'!$J$2:$J2880=A2121)))"),"petani")</f>
        <v>petani</v>
      </c>
    </row>
    <row r="2122" hidden="1">
      <c r="C2122" s="40" t="str">
        <f>IFERROR(__xludf.DUMMYFUNCTION("TEXTJOIN("", "",TRUE,UNIQUE(FILTER('Data Master'!$B$2:$B2880,'Data Master'!$J$2:$J2880=A2122)))"),"petani")</f>
        <v>petani</v>
      </c>
    </row>
    <row r="2123" hidden="1">
      <c r="C2123" s="40" t="str">
        <f>IFERROR(__xludf.DUMMYFUNCTION("TEXTJOIN("", "",TRUE,UNIQUE(FILTER('Data Master'!$B$2:$B2880,'Data Master'!$J$2:$J2880=A2123)))"),"petani")</f>
        <v>petani</v>
      </c>
    </row>
    <row r="2124" hidden="1">
      <c r="C2124" s="40" t="str">
        <f>IFERROR(__xludf.DUMMYFUNCTION("TEXTJOIN("", "",TRUE,UNIQUE(FILTER('Data Master'!$B$2:$B2880,'Data Master'!$J$2:$J2880=A2124)))"),"petani")</f>
        <v>petani</v>
      </c>
    </row>
    <row r="2125" hidden="1">
      <c r="C2125" s="40" t="str">
        <f>IFERROR(__xludf.DUMMYFUNCTION("TEXTJOIN("", "",TRUE,UNIQUE(FILTER('Data Master'!$B$2:$B2880,'Data Master'!$J$2:$J2880=A2125)))"),"petani")</f>
        <v>petani</v>
      </c>
    </row>
    <row r="2126" hidden="1">
      <c r="C2126" s="40" t="str">
        <f>IFERROR(__xludf.DUMMYFUNCTION("TEXTJOIN("", "",TRUE,UNIQUE(FILTER('Data Master'!$B$2:$B2880,'Data Master'!$J$2:$J2880=A2126)))"),"petani")</f>
        <v>petani</v>
      </c>
    </row>
    <row r="2127" hidden="1">
      <c r="C2127" s="40" t="str">
        <f>IFERROR(__xludf.DUMMYFUNCTION("TEXTJOIN("", "",TRUE,UNIQUE(FILTER('Data Master'!$B$2:$B2880,'Data Master'!$J$2:$J2880=A2127)))"),"petani")</f>
        <v>petani</v>
      </c>
    </row>
    <row r="2128" hidden="1">
      <c r="C2128" s="40" t="str">
        <f>IFERROR(__xludf.DUMMYFUNCTION("TEXTJOIN("", "",TRUE,UNIQUE(FILTER('Data Master'!$B$2:$B2880,'Data Master'!$J$2:$J2880=A2128)))"),"petani")</f>
        <v>petani</v>
      </c>
    </row>
    <row r="2129" hidden="1">
      <c r="C2129" s="40" t="str">
        <f>IFERROR(__xludf.DUMMYFUNCTION("TEXTJOIN("", "",TRUE,UNIQUE(FILTER('Data Master'!$B$2:$B2880,'Data Master'!$J$2:$J2880=A2129)))"),"petani")</f>
        <v>petani</v>
      </c>
    </row>
    <row r="2130" hidden="1">
      <c r="C2130" s="40" t="str">
        <f>IFERROR(__xludf.DUMMYFUNCTION("TEXTJOIN("", "",TRUE,UNIQUE(FILTER('Data Master'!$B$2:$B2880,'Data Master'!$J$2:$J2880=A2130)))"),"petani")</f>
        <v>petani</v>
      </c>
    </row>
    <row r="2131" hidden="1">
      <c r="C2131" s="40" t="str">
        <f>IFERROR(__xludf.DUMMYFUNCTION("TEXTJOIN("", "",TRUE,UNIQUE(FILTER('Data Master'!$B$2:$B2880,'Data Master'!$J$2:$J2880=A2131)))"),"petani")</f>
        <v>petani</v>
      </c>
    </row>
    <row r="2132" hidden="1">
      <c r="C2132" s="40" t="str">
        <f>IFERROR(__xludf.DUMMYFUNCTION("TEXTJOIN("", "",TRUE,UNIQUE(FILTER('Data Master'!$B$2:$B2880,'Data Master'!$J$2:$J2880=A2132)))"),"petani")</f>
        <v>petani</v>
      </c>
    </row>
    <row r="2133" hidden="1">
      <c r="C2133" s="40" t="str">
        <f>IFERROR(__xludf.DUMMYFUNCTION("TEXTJOIN("", "",TRUE,UNIQUE(FILTER('Data Master'!$B$2:$B2880,'Data Master'!$J$2:$J2880=A2133)))"),"petani")</f>
        <v>petani</v>
      </c>
    </row>
    <row r="2134" hidden="1">
      <c r="C2134" s="40" t="str">
        <f>IFERROR(__xludf.DUMMYFUNCTION("TEXTJOIN("", "",TRUE,UNIQUE(FILTER('Data Master'!$B$2:$B2880,'Data Master'!$J$2:$J2880=A2134)))"),"petani")</f>
        <v>petani</v>
      </c>
    </row>
    <row r="2135" hidden="1">
      <c r="C2135" s="40" t="str">
        <f>IFERROR(__xludf.DUMMYFUNCTION("TEXTJOIN("", "",TRUE,UNIQUE(FILTER('Data Master'!$B$2:$B2880,'Data Master'!$J$2:$J2880=A2135)))"),"petani")</f>
        <v>petani</v>
      </c>
    </row>
    <row r="2136" hidden="1">
      <c r="C2136" s="40" t="str">
        <f>IFERROR(__xludf.DUMMYFUNCTION("TEXTJOIN("", "",TRUE,UNIQUE(FILTER('Data Master'!$B$2:$B2880,'Data Master'!$J$2:$J2880=A2136)))"),"petani")</f>
        <v>petani</v>
      </c>
    </row>
    <row r="2137" hidden="1">
      <c r="C2137" s="40" t="str">
        <f>IFERROR(__xludf.DUMMYFUNCTION("TEXTJOIN("", "",TRUE,UNIQUE(FILTER('Data Master'!$B$2:$B2880,'Data Master'!$J$2:$J2880=A2137)))"),"petani")</f>
        <v>petani</v>
      </c>
    </row>
    <row r="2138" hidden="1">
      <c r="C2138" s="40" t="str">
        <f>IFERROR(__xludf.DUMMYFUNCTION("TEXTJOIN("", "",TRUE,UNIQUE(FILTER('Data Master'!$B$2:$B2880,'Data Master'!$J$2:$J2880=A2138)))"),"petani")</f>
        <v>petani</v>
      </c>
    </row>
    <row r="2139" hidden="1">
      <c r="C2139" s="40" t="str">
        <f>IFERROR(__xludf.DUMMYFUNCTION("TEXTJOIN("", "",TRUE,UNIQUE(FILTER('Data Master'!$B$2:$B2880,'Data Master'!$J$2:$J2880=A2139)))"),"petani")</f>
        <v>petani</v>
      </c>
    </row>
    <row r="2140" hidden="1">
      <c r="C2140" s="40" t="str">
        <f>IFERROR(__xludf.DUMMYFUNCTION("TEXTJOIN("", "",TRUE,UNIQUE(FILTER('Data Master'!$B$2:$B2880,'Data Master'!$J$2:$J2880=A2140)))"),"petani")</f>
        <v>petani</v>
      </c>
    </row>
    <row r="2141" hidden="1">
      <c r="C2141" s="40" t="str">
        <f>IFERROR(__xludf.DUMMYFUNCTION("TEXTJOIN("", "",TRUE,UNIQUE(FILTER('Data Master'!$B$2:$B2880,'Data Master'!$J$2:$J2880=A2141)))"),"petani")</f>
        <v>petani</v>
      </c>
    </row>
    <row r="2142" hidden="1">
      <c r="C2142" s="40" t="str">
        <f>IFERROR(__xludf.DUMMYFUNCTION("TEXTJOIN("", "",TRUE,UNIQUE(FILTER('Data Master'!$B$2:$B2880,'Data Master'!$J$2:$J2880=A2142)))"),"petani")</f>
        <v>petani</v>
      </c>
    </row>
    <row r="2143" hidden="1">
      <c r="C2143" s="40" t="str">
        <f>IFERROR(__xludf.DUMMYFUNCTION("TEXTJOIN("", "",TRUE,UNIQUE(FILTER('Data Master'!$B$2:$B2880,'Data Master'!$J$2:$J2880=A2143)))"),"petani")</f>
        <v>petani</v>
      </c>
    </row>
    <row r="2144" hidden="1">
      <c r="C2144" s="40" t="str">
        <f>IFERROR(__xludf.DUMMYFUNCTION("TEXTJOIN("", "",TRUE,UNIQUE(FILTER('Data Master'!$B$2:$B2880,'Data Master'!$J$2:$J2880=A2144)))"),"petani")</f>
        <v>petani</v>
      </c>
    </row>
    <row r="2145" hidden="1">
      <c r="C2145" s="40" t="str">
        <f>IFERROR(__xludf.DUMMYFUNCTION("TEXTJOIN("", "",TRUE,UNIQUE(FILTER('Data Master'!$B$2:$B2880,'Data Master'!$J$2:$J2880=A2145)))"),"petani")</f>
        <v>petani</v>
      </c>
    </row>
    <row r="2146" hidden="1">
      <c r="C2146" s="40" t="str">
        <f>IFERROR(__xludf.DUMMYFUNCTION("TEXTJOIN("", "",TRUE,UNIQUE(FILTER('Data Master'!$B$2:$B2880,'Data Master'!$J$2:$J2880=A2146)))"),"petani")</f>
        <v>petani</v>
      </c>
    </row>
    <row r="2147" hidden="1">
      <c r="C2147" s="40" t="str">
        <f>IFERROR(__xludf.DUMMYFUNCTION("TEXTJOIN("", "",TRUE,UNIQUE(FILTER('Data Master'!$B$2:$B2880,'Data Master'!$J$2:$J2880=A2147)))"),"petani")</f>
        <v>petani</v>
      </c>
    </row>
    <row r="2148" hidden="1">
      <c r="C2148" s="40" t="str">
        <f>IFERROR(__xludf.DUMMYFUNCTION("TEXTJOIN("", "",TRUE,UNIQUE(FILTER('Data Master'!$B$2:$B2880,'Data Master'!$J$2:$J2880=A2148)))"),"petani")</f>
        <v>petani</v>
      </c>
    </row>
    <row r="2149" hidden="1">
      <c r="C2149" s="40" t="str">
        <f>IFERROR(__xludf.DUMMYFUNCTION("TEXTJOIN("", "",TRUE,UNIQUE(FILTER('Data Master'!$B$2:$B2880,'Data Master'!$J$2:$J2880=A2149)))"),"petani")</f>
        <v>petani</v>
      </c>
    </row>
    <row r="2150" hidden="1">
      <c r="C2150" s="40" t="str">
        <f>IFERROR(__xludf.DUMMYFUNCTION("TEXTJOIN("", "",TRUE,UNIQUE(FILTER('Data Master'!$B$2:$B2880,'Data Master'!$J$2:$J2880=A2150)))"),"petani")</f>
        <v>petani</v>
      </c>
    </row>
    <row r="2151" hidden="1">
      <c r="C2151" s="40" t="str">
        <f>IFERROR(__xludf.DUMMYFUNCTION("TEXTJOIN("", "",TRUE,UNIQUE(FILTER('Data Master'!$B$2:$B2880,'Data Master'!$J$2:$J2880=A2151)))"),"petani")</f>
        <v>petani</v>
      </c>
    </row>
    <row r="2152" hidden="1">
      <c r="C2152" s="40" t="str">
        <f>IFERROR(__xludf.DUMMYFUNCTION("TEXTJOIN("", "",TRUE,UNIQUE(FILTER('Data Master'!$B$2:$B2880,'Data Master'!$J$2:$J2880=A2152)))"),"petani")</f>
        <v>petani</v>
      </c>
    </row>
    <row r="2153" hidden="1">
      <c r="C2153" s="40" t="str">
        <f>IFERROR(__xludf.DUMMYFUNCTION("TEXTJOIN("", "",TRUE,UNIQUE(FILTER('Data Master'!$B$2:$B2880,'Data Master'!$J$2:$J2880=A2153)))"),"petani")</f>
        <v>petani</v>
      </c>
    </row>
    <row r="2154" hidden="1">
      <c r="C2154" s="40" t="str">
        <f>IFERROR(__xludf.DUMMYFUNCTION("TEXTJOIN("", "",TRUE,UNIQUE(FILTER('Data Master'!$B$2:$B2880,'Data Master'!$J$2:$J2880=A2154)))"),"petani")</f>
        <v>petani</v>
      </c>
    </row>
    <row r="2155" hidden="1">
      <c r="C2155" s="40" t="str">
        <f>IFERROR(__xludf.DUMMYFUNCTION("TEXTJOIN("", "",TRUE,UNIQUE(FILTER('Data Master'!$B$2:$B2880,'Data Master'!$J$2:$J2880=A2155)))"),"petani")</f>
        <v>petani</v>
      </c>
    </row>
    <row r="2156" hidden="1">
      <c r="C2156" s="40" t="str">
        <f>IFERROR(__xludf.DUMMYFUNCTION("TEXTJOIN("", "",TRUE,UNIQUE(FILTER('Data Master'!$B$2:$B2880,'Data Master'!$J$2:$J2880=A2156)))"),"petani")</f>
        <v>petani</v>
      </c>
    </row>
    <row r="2157" hidden="1">
      <c r="C2157" s="40" t="str">
        <f>IFERROR(__xludf.DUMMYFUNCTION("TEXTJOIN("", "",TRUE,UNIQUE(FILTER('Data Master'!$B$2:$B2880,'Data Master'!$J$2:$J2880=A2157)))"),"petani")</f>
        <v>petani</v>
      </c>
    </row>
    <row r="2158" hidden="1">
      <c r="C2158" s="40" t="str">
        <f>IFERROR(__xludf.DUMMYFUNCTION("TEXTJOIN("", "",TRUE,UNIQUE(FILTER('Data Master'!$B$2:$B2880,'Data Master'!$J$2:$J2880=A2158)))"),"petani")</f>
        <v>petani</v>
      </c>
    </row>
    <row r="2159" hidden="1">
      <c r="C2159" s="40" t="str">
        <f>IFERROR(__xludf.DUMMYFUNCTION("TEXTJOIN("", "",TRUE,UNIQUE(FILTER('Data Master'!$B$2:$B2880,'Data Master'!$J$2:$J2880=A2159)))"),"petani")</f>
        <v>petani</v>
      </c>
    </row>
    <row r="2160" hidden="1">
      <c r="C2160" s="40" t="str">
        <f>IFERROR(__xludf.DUMMYFUNCTION("TEXTJOIN("", "",TRUE,UNIQUE(FILTER('Data Master'!$B$2:$B2880,'Data Master'!$J$2:$J2880=A2160)))"),"petani")</f>
        <v>petani</v>
      </c>
    </row>
    <row r="2161" hidden="1">
      <c r="C2161" s="40" t="str">
        <f>IFERROR(__xludf.DUMMYFUNCTION("TEXTJOIN("", "",TRUE,UNIQUE(FILTER('Data Master'!$B$2:$B2880,'Data Master'!$J$2:$J2880=A2161)))"),"petani")</f>
        <v>petani</v>
      </c>
    </row>
    <row r="2162" hidden="1">
      <c r="C2162" s="40" t="str">
        <f>IFERROR(__xludf.DUMMYFUNCTION("TEXTJOIN("", "",TRUE,UNIQUE(FILTER('Data Master'!$B$2:$B2880,'Data Master'!$J$2:$J2880=A2162)))"),"petani")</f>
        <v>petani</v>
      </c>
    </row>
    <row r="2163" hidden="1">
      <c r="C2163" s="40" t="str">
        <f>IFERROR(__xludf.DUMMYFUNCTION("TEXTJOIN("", "",TRUE,UNIQUE(FILTER('Data Master'!$B$2:$B2880,'Data Master'!$J$2:$J2880=A2163)))"),"petani")</f>
        <v>petani</v>
      </c>
    </row>
    <row r="2164" hidden="1">
      <c r="C2164" s="40" t="str">
        <f>IFERROR(__xludf.DUMMYFUNCTION("TEXTJOIN("", "",TRUE,UNIQUE(FILTER('Data Master'!$B$2:$B2880,'Data Master'!$J$2:$J2880=A2164)))"),"petani")</f>
        <v>petani</v>
      </c>
    </row>
    <row r="2165" hidden="1">
      <c r="C2165" s="40" t="str">
        <f>IFERROR(__xludf.DUMMYFUNCTION("TEXTJOIN("", "",TRUE,UNIQUE(FILTER('Data Master'!$B$2:$B2880,'Data Master'!$J$2:$J2880=A2165)))"),"petani")</f>
        <v>petani</v>
      </c>
    </row>
    <row r="2166" hidden="1">
      <c r="C2166" s="40" t="str">
        <f>IFERROR(__xludf.DUMMYFUNCTION("TEXTJOIN("", "",TRUE,UNIQUE(FILTER('Data Master'!$B$2:$B2880,'Data Master'!$J$2:$J2880=A2166)))"),"petani")</f>
        <v>petani</v>
      </c>
    </row>
    <row r="2167" hidden="1">
      <c r="C2167" s="40" t="str">
        <f>IFERROR(__xludf.DUMMYFUNCTION("TEXTJOIN("", "",TRUE,UNIQUE(FILTER('Data Master'!$B$2:$B2880,'Data Master'!$J$2:$J2880=A2167)))"),"petani")</f>
        <v>petani</v>
      </c>
    </row>
    <row r="2168" hidden="1">
      <c r="C2168" s="40" t="str">
        <f>IFERROR(__xludf.DUMMYFUNCTION("TEXTJOIN("", "",TRUE,UNIQUE(FILTER('Data Master'!$B$2:$B2880,'Data Master'!$J$2:$J2880=A2168)))"),"petani")</f>
        <v>petani</v>
      </c>
    </row>
    <row r="2169" hidden="1">
      <c r="C2169" s="40" t="str">
        <f>IFERROR(__xludf.DUMMYFUNCTION("TEXTJOIN("", "",TRUE,UNIQUE(FILTER('Data Master'!$B$2:$B2880,'Data Master'!$J$2:$J2880=A2169)))"),"petani")</f>
        <v>petani</v>
      </c>
    </row>
    <row r="2170" hidden="1">
      <c r="C2170" s="40" t="str">
        <f>IFERROR(__xludf.DUMMYFUNCTION("TEXTJOIN("", "",TRUE,UNIQUE(FILTER('Data Master'!$B$2:$B2880,'Data Master'!$J$2:$J2880=A2170)))"),"petani")</f>
        <v>petani</v>
      </c>
    </row>
    <row r="2171" hidden="1">
      <c r="C2171" s="40" t="str">
        <f>IFERROR(__xludf.DUMMYFUNCTION("TEXTJOIN("", "",TRUE,UNIQUE(FILTER('Data Master'!$B$2:$B2880,'Data Master'!$J$2:$J2880=A2171)))"),"petani")</f>
        <v>petani</v>
      </c>
    </row>
    <row r="2172" hidden="1">
      <c r="C2172" s="40" t="str">
        <f>IFERROR(__xludf.DUMMYFUNCTION("TEXTJOIN("", "",TRUE,UNIQUE(FILTER('Data Master'!$B$2:$B2880,'Data Master'!$J$2:$J2880=A2172)))"),"petani")</f>
        <v>petani</v>
      </c>
    </row>
    <row r="2173" hidden="1">
      <c r="C2173" s="40" t="str">
        <f>IFERROR(__xludf.DUMMYFUNCTION("TEXTJOIN("", "",TRUE,UNIQUE(FILTER('Data Master'!$B$2:$B2880,'Data Master'!$J$2:$J2880=A2173)))"),"petani")</f>
        <v>petani</v>
      </c>
    </row>
    <row r="2174" hidden="1">
      <c r="C2174" s="40" t="str">
        <f>IFERROR(__xludf.DUMMYFUNCTION("TEXTJOIN("", "",TRUE,UNIQUE(FILTER('Data Master'!$B$2:$B2880,'Data Master'!$J$2:$J2880=A2174)))"),"petani")</f>
        <v>petani</v>
      </c>
    </row>
    <row r="2175" hidden="1">
      <c r="C2175" s="40" t="str">
        <f>IFERROR(__xludf.DUMMYFUNCTION("TEXTJOIN("", "",TRUE,UNIQUE(FILTER('Data Master'!$B$2:$B2880,'Data Master'!$J$2:$J2880=A2175)))"),"petani")</f>
        <v>petani</v>
      </c>
    </row>
    <row r="2176" hidden="1">
      <c r="C2176" s="40" t="str">
        <f>IFERROR(__xludf.DUMMYFUNCTION("TEXTJOIN("", "",TRUE,UNIQUE(FILTER('Data Master'!$B$2:$B2880,'Data Master'!$J$2:$J2880=A2176)))"),"petani")</f>
        <v>petani</v>
      </c>
    </row>
    <row r="2177" hidden="1">
      <c r="C2177" s="40" t="str">
        <f>IFERROR(__xludf.DUMMYFUNCTION("TEXTJOIN("", "",TRUE,UNIQUE(FILTER('Data Master'!$B$2:$B2880,'Data Master'!$J$2:$J2880=A2177)))"),"petani")</f>
        <v>petani</v>
      </c>
    </row>
    <row r="2178" hidden="1">
      <c r="C2178" s="40" t="str">
        <f>IFERROR(__xludf.DUMMYFUNCTION("TEXTJOIN("", "",TRUE,UNIQUE(FILTER('Data Master'!$B$2:$B2880,'Data Master'!$J$2:$J2880=A2178)))"),"petani")</f>
        <v>petani</v>
      </c>
    </row>
    <row r="2179" hidden="1">
      <c r="C2179" s="40" t="str">
        <f>IFERROR(__xludf.DUMMYFUNCTION("TEXTJOIN("", "",TRUE,UNIQUE(FILTER('Data Master'!$B$2:$B2880,'Data Master'!$J$2:$J2880=A2179)))"),"petani")</f>
        <v>petani</v>
      </c>
    </row>
    <row r="2180" hidden="1">
      <c r="C2180" s="40" t="str">
        <f>IFERROR(__xludf.DUMMYFUNCTION("TEXTJOIN("", "",TRUE,UNIQUE(FILTER('Data Master'!$B$2:$B2880,'Data Master'!$J$2:$J2880=A2180)))"),"petani")</f>
        <v>petani</v>
      </c>
    </row>
    <row r="2181" hidden="1">
      <c r="C2181" s="40" t="str">
        <f>IFERROR(__xludf.DUMMYFUNCTION("TEXTJOIN("", "",TRUE,UNIQUE(FILTER('Data Master'!$B$2:$B2880,'Data Master'!$J$2:$J2880=A2181)))"),"petani")</f>
        <v>petani</v>
      </c>
    </row>
    <row r="2182" hidden="1">
      <c r="C2182" s="40" t="str">
        <f>IFERROR(__xludf.DUMMYFUNCTION("TEXTJOIN("", "",TRUE,UNIQUE(FILTER('Data Master'!$B$2:$B2880,'Data Master'!$J$2:$J2880=A2182)))"),"petani")</f>
        <v>petani</v>
      </c>
    </row>
    <row r="2183" hidden="1">
      <c r="C2183" s="40" t="str">
        <f>IFERROR(__xludf.DUMMYFUNCTION("TEXTJOIN("", "",TRUE,UNIQUE(FILTER('Data Master'!$B$2:$B2880,'Data Master'!$J$2:$J2880=A2183)))"),"petani")</f>
        <v>petani</v>
      </c>
    </row>
    <row r="2184" hidden="1">
      <c r="C2184" s="40" t="str">
        <f>IFERROR(__xludf.DUMMYFUNCTION("TEXTJOIN("", "",TRUE,UNIQUE(FILTER('Data Master'!$B$2:$B2880,'Data Master'!$J$2:$J2880=A2184)))"),"petani")</f>
        <v>petani</v>
      </c>
    </row>
    <row r="2185" hidden="1">
      <c r="C2185" s="40" t="str">
        <f>IFERROR(__xludf.DUMMYFUNCTION("TEXTJOIN("", "",TRUE,UNIQUE(FILTER('Data Master'!$B$2:$B2880,'Data Master'!$J$2:$J2880=A2185)))"),"petani")</f>
        <v>petani</v>
      </c>
    </row>
    <row r="2186" hidden="1">
      <c r="C2186" s="40" t="str">
        <f>IFERROR(__xludf.DUMMYFUNCTION("TEXTJOIN("", "",TRUE,UNIQUE(FILTER('Data Master'!$B$2:$B2880,'Data Master'!$J$2:$J2880=A2186)))"),"petani")</f>
        <v>petani</v>
      </c>
    </row>
    <row r="2187" hidden="1">
      <c r="C2187" s="40" t="str">
        <f>IFERROR(__xludf.DUMMYFUNCTION("TEXTJOIN("", "",TRUE,UNIQUE(FILTER('Data Master'!$B$2:$B2880,'Data Master'!$J$2:$J2880=A2187)))"),"petani")</f>
        <v>petani</v>
      </c>
    </row>
    <row r="2188" hidden="1">
      <c r="C2188" s="40" t="str">
        <f>IFERROR(__xludf.DUMMYFUNCTION("TEXTJOIN("", "",TRUE,UNIQUE(FILTER('Data Master'!$B$2:$B2880,'Data Master'!$J$2:$J2880=A2188)))"),"petani")</f>
        <v>petani</v>
      </c>
    </row>
    <row r="2189" hidden="1">
      <c r="C2189" s="40" t="str">
        <f>IFERROR(__xludf.DUMMYFUNCTION("TEXTJOIN("", "",TRUE,UNIQUE(FILTER('Data Master'!$B$2:$B2880,'Data Master'!$J$2:$J2880=A2189)))"),"petani")</f>
        <v>petani</v>
      </c>
    </row>
    <row r="2190" hidden="1">
      <c r="C2190" s="40" t="str">
        <f>IFERROR(__xludf.DUMMYFUNCTION("TEXTJOIN("", "",TRUE,UNIQUE(FILTER('Data Master'!$B$2:$B2880,'Data Master'!$J$2:$J2880=A2190)))"),"petani")</f>
        <v>petani</v>
      </c>
    </row>
    <row r="2191" hidden="1">
      <c r="C2191" s="40" t="str">
        <f>IFERROR(__xludf.DUMMYFUNCTION("TEXTJOIN("", "",TRUE,UNIQUE(FILTER('Data Master'!$B$2:$B2880,'Data Master'!$J$2:$J2880=A2191)))"),"petani")</f>
        <v>petani</v>
      </c>
    </row>
    <row r="2192" hidden="1">
      <c r="C2192" s="40" t="str">
        <f>IFERROR(__xludf.DUMMYFUNCTION("TEXTJOIN("", "",TRUE,UNIQUE(FILTER('Data Master'!$B$2:$B2880,'Data Master'!$J$2:$J2880=A2192)))"),"petani")</f>
        <v>petani</v>
      </c>
    </row>
    <row r="2193" hidden="1">
      <c r="C2193" s="40" t="str">
        <f>IFERROR(__xludf.DUMMYFUNCTION("TEXTJOIN("", "",TRUE,UNIQUE(FILTER('Data Master'!$B$2:$B2880,'Data Master'!$J$2:$J2880=A2193)))"),"petani")</f>
        <v>petani</v>
      </c>
    </row>
    <row r="2194" hidden="1">
      <c r="C2194" s="40" t="str">
        <f>IFERROR(__xludf.DUMMYFUNCTION("TEXTJOIN("", "",TRUE,UNIQUE(FILTER('Data Master'!$B$2:$B2880,'Data Master'!$J$2:$J2880=A2194)))"),"petani")</f>
        <v>petani</v>
      </c>
    </row>
    <row r="2195" hidden="1">
      <c r="C2195" s="40" t="str">
        <f>IFERROR(__xludf.DUMMYFUNCTION("TEXTJOIN("", "",TRUE,UNIQUE(FILTER('Data Master'!$B$2:$B2880,'Data Master'!$J$2:$J2880=A2195)))"),"petani")</f>
        <v>petani</v>
      </c>
    </row>
    <row r="2196" hidden="1">
      <c r="C2196" s="40" t="str">
        <f>IFERROR(__xludf.DUMMYFUNCTION("TEXTJOIN("", "",TRUE,UNIQUE(FILTER('Data Master'!$B$2:$B2880,'Data Master'!$J$2:$J2880=A2196)))"),"petani")</f>
        <v>petani</v>
      </c>
    </row>
    <row r="2197" hidden="1">
      <c r="C2197" s="40" t="str">
        <f>IFERROR(__xludf.DUMMYFUNCTION("TEXTJOIN("", "",TRUE,UNIQUE(FILTER('Data Master'!$B$2:$B2880,'Data Master'!$J$2:$J2880=A2197)))"),"petani")</f>
        <v>petani</v>
      </c>
    </row>
    <row r="2198" hidden="1">
      <c r="C2198" s="40" t="str">
        <f>IFERROR(__xludf.DUMMYFUNCTION("TEXTJOIN("", "",TRUE,UNIQUE(FILTER('Data Master'!$B$2:$B2880,'Data Master'!$J$2:$J2880=A2198)))"),"petani")</f>
        <v>petani</v>
      </c>
    </row>
    <row r="2199" hidden="1">
      <c r="C2199" s="40" t="str">
        <f>IFERROR(__xludf.DUMMYFUNCTION("TEXTJOIN("", "",TRUE,UNIQUE(FILTER('Data Master'!$B$2:$B2880,'Data Master'!$J$2:$J2880=A2199)))"),"petani")</f>
        <v>petani</v>
      </c>
    </row>
    <row r="2200" hidden="1">
      <c r="C2200" s="40" t="str">
        <f>IFERROR(__xludf.DUMMYFUNCTION("TEXTJOIN("", "",TRUE,UNIQUE(FILTER('Data Master'!$B$2:$B2880,'Data Master'!$J$2:$J2880=A2200)))"),"petani")</f>
        <v>petani</v>
      </c>
    </row>
    <row r="2201" hidden="1">
      <c r="C2201" s="40" t="str">
        <f>IFERROR(__xludf.DUMMYFUNCTION("TEXTJOIN("", "",TRUE,UNIQUE(FILTER('Data Master'!$B$2:$B2880,'Data Master'!$J$2:$J2880=A2201)))"),"petani")</f>
        <v>petani</v>
      </c>
    </row>
    <row r="2202" hidden="1">
      <c r="C2202" s="40" t="str">
        <f>IFERROR(__xludf.DUMMYFUNCTION("TEXTJOIN("", "",TRUE,UNIQUE(FILTER('Data Master'!$B$2:$B2880,'Data Master'!$J$2:$J2880=A2202)))"),"petani")</f>
        <v>petani</v>
      </c>
    </row>
    <row r="2203" hidden="1">
      <c r="C2203" s="40" t="str">
        <f>IFERROR(__xludf.DUMMYFUNCTION("TEXTJOIN("", "",TRUE,UNIQUE(FILTER('Data Master'!$B$2:$B2880,'Data Master'!$J$2:$J2880=A2203)))"),"petani")</f>
        <v>petani</v>
      </c>
    </row>
    <row r="2204" hidden="1">
      <c r="C2204" s="40" t="str">
        <f>IFERROR(__xludf.DUMMYFUNCTION("TEXTJOIN("", "",TRUE,UNIQUE(FILTER('Data Master'!$B$2:$B2880,'Data Master'!$J$2:$J2880=A2204)))"),"petani")</f>
        <v>petani</v>
      </c>
    </row>
    <row r="2205" hidden="1">
      <c r="C2205" s="40" t="str">
        <f>IFERROR(__xludf.DUMMYFUNCTION("TEXTJOIN("", "",TRUE,UNIQUE(FILTER('Data Master'!$B$2:$B2880,'Data Master'!$J$2:$J2880=A2205)))"),"petani")</f>
        <v>petani</v>
      </c>
    </row>
    <row r="2206" hidden="1">
      <c r="C2206" s="40" t="str">
        <f>IFERROR(__xludf.DUMMYFUNCTION("TEXTJOIN("", "",TRUE,UNIQUE(FILTER('Data Master'!$B$2:$B2880,'Data Master'!$J$2:$J2880=A2206)))"),"petani")</f>
        <v>petani</v>
      </c>
    </row>
    <row r="2207" hidden="1">
      <c r="C2207" s="40" t="str">
        <f>IFERROR(__xludf.DUMMYFUNCTION("TEXTJOIN("", "",TRUE,UNIQUE(FILTER('Data Master'!$B$2:$B2880,'Data Master'!$J$2:$J2880=A2207)))"),"petani")</f>
        <v>petani</v>
      </c>
    </row>
    <row r="2208" hidden="1">
      <c r="C2208" s="40" t="str">
        <f>IFERROR(__xludf.DUMMYFUNCTION("TEXTJOIN("", "",TRUE,UNIQUE(FILTER('Data Master'!$B$2:$B2880,'Data Master'!$J$2:$J2880=A2208)))"),"petani")</f>
        <v>petani</v>
      </c>
    </row>
    <row r="2209" hidden="1">
      <c r="C2209" s="40" t="str">
        <f>IFERROR(__xludf.DUMMYFUNCTION("TEXTJOIN("", "",TRUE,UNIQUE(FILTER('Data Master'!$B$2:$B2880,'Data Master'!$J$2:$J2880=A2209)))"),"petani")</f>
        <v>petani</v>
      </c>
    </row>
    <row r="2210" hidden="1">
      <c r="C2210" s="40" t="str">
        <f>IFERROR(__xludf.DUMMYFUNCTION("TEXTJOIN("", "",TRUE,UNIQUE(FILTER('Data Master'!$B$2:$B2880,'Data Master'!$J$2:$J2880=A2210)))"),"petani")</f>
        <v>petani</v>
      </c>
    </row>
    <row r="2211" hidden="1">
      <c r="C2211" s="40" t="str">
        <f>IFERROR(__xludf.DUMMYFUNCTION("TEXTJOIN("", "",TRUE,UNIQUE(FILTER('Data Master'!$B$2:$B2880,'Data Master'!$J$2:$J2880=A2211)))"),"petani")</f>
        <v>petani</v>
      </c>
    </row>
    <row r="2212" hidden="1">
      <c r="C2212" s="40" t="str">
        <f>IFERROR(__xludf.DUMMYFUNCTION("TEXTJOIN("", "",TRUE,UNIQUE(FILTER('Data Master'!$B$2:$B2880,'Data Master'!$J$2:$J2880=A2212)))"),"petani")</f>
        <v>petani</v>
      </c>
    </row>
    <row r="2213" hidden="1">
      <c r="C2213" s="40" t="str">
        <f>IFERROR(__xludf.DUMMYFUNCTION("TEXTJOIN("", "",TRUE,UNIQUE(FILTER('Data Master'!$B$2:$B2880,'Data Master'!$J$2:$J2880=A2213)))"),"petani")</f>
        <v>petani</v>
      </c>
    </row>
    <row r="2214" hidden="1">
      <c r="C2214" s="40" t="str">
        <f>IFERROR(__xludf.DUMMYFUNCTION("TEXTJOIN("", "",TRUE,UNIQUE(FILTER('Data Master'!$B$2:$B2880,'Data Master'!$J$2:$J2880=A2214)))"),"petani")</f>
        <v>petani</v>
      </c>
    </row>
    <row r="2215" hidden="1">
      <c r="C2215" s="40" t="str">
        <f>IFERROR(__xludf.DUMMYFUNCTION("TEXTJOIN("", "",TRUE,UNIQUE(FILTER('Data Master'!$B$2:$B2880,'Data Master'!$J$2:$J2880=A2215)))"),"petani")</f>
        <v>petani</v>
      </c>
    </row>
    <row r="2216" hidden="1">
      <c r="C2216" s="40" t="str">
        <f>IFERROR(__xludf.DUMMYFUNCTION("TEXTJOIN("", "",TRUE,UNIQUE(FILTER('Data Master'!$B$2:$B2880,'Data Master'!$J$2:$J2880=A2216)))"),"petani")</f>
        <v>petani</v>
      </c>
    </row>
    <row r="2217" hidden="1">
      <c r="C2217" s="40" t="str">
        <f>IFERROR(__xludf.DUMMYFUNCTION("TEXTJOIN("", "",TRUE,UNIQUE(FILTER('Data Master'!$B$2:$B2880,'Data Master'!$J$2:$J2880=A2217)))"),"petani")</f>
        <v>petani</v>
      </c>
    </row>
    <row r="2218" hidden="1">
      <c r="C2218" s="40" t="str">
        <f>IFERROR(__xludf.DUMMYFUNCTION("TEXTJOIN("", "",TRUE,UNIQUE(FILTER('Data Master'!$B$2:$B2880,'Data Master'!$J$2:$J2880=A2218)))"),"petani")</f>
        <v>petani</v>
      </c>
    </row>
    <row r="2219" hidden="1">
      <c r="C2219" s="40" t="str">
        <f>IFERROR(__xludf.DUMMYFUNCTION("TEXTJOIN("", "",TRUE,UNIQUE(FILTER('Data Master'!$B$2:$B2880,'Data Master'!$J$2:$J2880=A2219)))"),"petani")</f>
        <v>petani</v>
      </c>
    </row>
    <row r="2220" hidden="1">
      <c r="C2220" s="40" t="str">
        <f>IFERROR(__xludf.DUMMYFUNCTION("TEXTJOIN("", "",TRUE,UNIQUE(FILTER('Data Master'!$B$2:$B2880,'Data Master'!$J$2:$J2880=A2220)))"),"petani")</f>
        <v>petani</v>
      </c>
    </row>
    <row r="2221" hidden="1">
      <c r="C2221" s="40" t="str">
        <f>IFERROR(__xludf.DUMMYFUNCTION("TEXTJOIN("", "",TRUE,UNIQUE(FILTER('Data Master'!$B$2:$B2880,'Data Master'!$J$2:$J2880=A2221)))"),"petani")</f>
        <v>petani</v>
      </c>
    </row>
    <row r="2222" hidden="1">
      <c r="C2222" s="40" t="str">
        <f>IFERROR(__xludf.DUMMYFUNCTION("TEXTJOIN("", "",TRUE,UNIQUE(FILTER('Data Master'!$B$2:$B2880,'Data Master'!$J$2:$J2880=A2222)))"),"petani")</f>
        <v>petani</v>
      </c>
    </row>
    <row r="2223" hidden="1">
      <c r="C2223" s="40" t="str">
        <f>IFERROR(__xludf.DUMMYFUNCTION("TEXTJOIN("", "",TRUE,UNIQUE(FILTER('Data Master'!$B$2:$B2880,'Data Master'!$J$2:$J2880=A2223)))"),"petani")</f>
        <v>petani</v>
      </c>
    </row>
    <row r="2224" hidden="1">
      <c r="C2224" s="40" t="str">
        <f>IFERROR(__xludf.DUMMYFUNCTION("TEXTJOIN("", "",TRUE,UNIQUE(FILTER('Data Master'!$B$2:$B2880,'Data Master'!$J$2:$J2880=A2224)))"),"petani")</f>
        <v>petani</v>
      </c>
    </row>
    <row r="2225" hidden="1">
      <c r="C2225" s="40" t="str">
        <f>IFERROR(__xludf.DUMMYFUNCTION("TEXTJOIN("", "",TRUE,UNIQUE(FILTER('Data Master'!$B$2:$B2880,'Data Master'!$J$2:$J2880=A2225)))"),"petani")</f>
        <v>petani</v>
      </c>
    </row>
    <row r="2226" hidden="1">
      <c r="C2226" s="40" t="str">
        <f>IFERROR(__xludf.DUMMYFUNCTION("TEXTJOIN("", "",TRUE,UNIQUE(FILTER('Data Master'!$B$2:$B2880,'Data Master'!$J$2:$J2880=A2226)))"),"petani")</f>
        <v>petani</v>
      </c>
    </row>
    <row r="2227" hidden="1">
      <c r="C2227" s="40" t="str">
        <f>IFERROR(__xludf.DUMMYFUNCTION("TEXTJOIN("", "",TRUE,UNIQUE(FILTER('Data Master'!$B$2:$B2880,'Data Master'!$J$2:$J2880=A2227)))"),"petani")</f>
        <v>petani</v>
      </c>
    </row>
    <row r="2228" hidden="1">
      <c r="C2228" s="40" t="str">
        <f>IFERROR(__xludf.DUMMYFUNCTION("TEXTJOIN("", "",TRUE,UNIQUE(FILTER('Data Master'!$B$2:$B2880,'Data Master'!$J$2:$J2880=A2228)))"),"petani")</f>
        <v>petani</v>
      </c>
    </row>
    <row r="2229" hidden="1">
      <c r="C2229" s="40" t="str">
        <f>IFERROR(__xludf.DUMMYFUNCTION("TEXTJOIN("", "",TRUE,UNIQUE(FILTER('Data Master'!$B$2:$B2880,'Data Master'!$J$2:$J2880=A2229)))"),"petani")</f>
        <v>petani</v>
      </c>
    </row>
    <row r="2230" hidden="1">
      <c r="C2230" s="40" t="str">
        <f>IFERROR(__xludf.DUMMYFUNCTION("TEXTJOIN("", "",TRUE,UNIQUE(FILTER('Data Master'!$B$2:$B2880,'Data Master'!$J$2:$J2880=A2230)))"),"petani")</f>
        <v>petani</v>
      </c>
    </row>
    <row r="2231" hidden="1">
      <c r="C2231" s="40" t="str">
        <f>IFERROR(__xludf.DUMMYFUNCTION("TEXTJOIN("", "",TRUE,UNIQUE(FILTER('Data Master'!$B$2:$B2880,'Data Master'!$J$2:$J2880=A2231)))"),"petani")</f>
        <v>petani</v>
      </c>
    </row>
    <row r="2232" hidden="1">
      <c r="C2232" s="40" t="str">
        <f>IFERROR(__xludf.DUMMYFUNCTION("TEXTJOIN("", "",TRUE,UNIQUE(FILTER('Data Master'!$B$2:$B2880,'Data Master'!$J$2:$J2880=A2232)))"),"petani")</f>
        <v>petani</v>
      </c>
    </row>
    <row r="2233" hidden="1">
      <c r="C2233" s="40" t="str">
        <f>IFERROR(__xludf.DUMMYFUNCTION("TEXTJOIN("", "",TRUE,UNIQUE(FILTER('Data Master'!$B$2:$B2880,'Data Master'!$J$2:$J2880=A2233)))"),"petani")</f>
        <v>petani</v>
      </c>
    </row>
    <row r="2234" hidden="1">
      <c r="C2234" s="40" t="str">
        <f>IFERROR(__xludf.DUMMYFUNCTION("TEXTJOIN("", "",TRUE,UNIQUE(FILTER('Data Master'!$B$2:$B2880,'Data Master'!$J$2:$J2880=A2234)))"),"petani")</f>
        <v>petani</v>
      </c>
    </row>
    <row r="2235" hidden="1">
      <c r="C2235" s="40" t="str">
        <f>IFERROR(__xludf.DUMMYFUNCTION("TEXTJOIN("", "",TRUE,UNIQUE(FILTER('Data Master'!$B$2:$B2880,'Data Master'!$J$2:$J2880=A2235)))"),"petani")</f>
        <v>petani</v>
      </c>
    </row>
    <row r="2236" hidden="1">
      <c r="C2236" s="40" t="str">
        <f>IFERROR(__xludf.DUMMYFUNCTION("TEXTJOIN("", "",TRUE,UNIQUE(FILTER('Data Master'!$B$2:$B2880,'Data Master'!$J$2:$J2880=A2236)))"),"petani")</f>
        <v>petani</v>
      </c>
    </row>
    <row r="2237" hidden="1">
      <c r="C2237" s="40" t="str">
        <f>IFERROR(__xludf.DUMMYFUNCTION("TEXTJOIN("", "",TRUE,UNIQUE(FILTER('Data Master'!$B$2:$B2880,'Data Master'!$J$2:$J2880=A2237)))"),"petani")</f>
        <v>petani</v>
      </c>
    </row>
    <row r="2238" hidden="1">
      <c r="C2238" s="40" t="str">
        <f>IFERROR(__xludf.DUMMYFUNCTION("TEXTJOIN("", "",TRUE,UNIQUE(FILTER('Data Master'!$B$2:$B2880,'Data Master'!$J$2:$J2880=A2238)))"),"petani")</f>
        <v>petani</v>
      </c>
    </row>
    <row r="2239" hidden="1">
      <c r="C2239" s="40" t="str">
        <f>IFERROR(__xludf.DUMMYFUNCTION("TEXTJOIN("", "",TRUE,UNIQUE(FILTER('Data Master'!$B$2:$B2880,'Data Master'!$J$2:$J2880=A2239)))"),"petani")</f>
        <v>petani</v>
      </c>
    </row>
    <row r="2240" hidden="1">
      <c r="C2240" s="40" t="str">
        <f>IFERROR(__xludf.DUMMYFUNCTION("TEXTJOIN("", "",TRUE,UNIQUE(FILTER('Data Master'!$B$2:$B2880,'Data Master'!$J$2:$J2880=A2240)))"),"petani")</f>
        <v>petani</v>
      </c>
    </row>
    <row r="2241" hidden="1">
      <c r="C2241" s="40" t="str">
        <f>IFERROR(__xludf.DUMMYFUNCTION("TEXTJOIN("", "",TRUE,UNIQUE(FILTER('Data Master'!$B$2:$B2880,'Data Master'!$J$2:$J2880=A2241)))"),"petani")</f>
        <v>petani</v>
      </c>
    </row>
    <row r="2242" hidden="1">
      <c r="C2242" s="40" t="str">
        <f>IFERROR(__xludf.DUMMYFUNCTION("TEXTJOIN("", "",TRUE,UNIQUE(FILTER('Data Master'!$B$2:$B2880,'Data Master'!$J$2:$J2880=A2242)))"),"petani")</f>
        <v>petani</v>
      </c>
    </row>
    <row r="2243" hidden="1">
      <c r="C2243" s="40" t="str">
        <f>IFERROR(__xludf.DUMMYFUNCTION("TEXTJOIN("", "",TRUE,UNIQUE(FILTER('Data Master'!$B$2:$B2880,'Data Master'!$J$2:$J2880=A2243)))"),"petani")</f>
        <v>petani</v>
      </c>
    </row>
    <row r="2244" hidden="1">
      <c r="C2244" s="40" t="str">
        <f>IFERROR(__xludf.DUMMYFUNCTION("TEXTJOIN("", "",TRUE,UNIQUE(FILTER('Data Master'!$B$2:$B2880,'Data Master'!$J$2:$J2880=A2244)))"),"petani")</f>
        <v>petani</v>
      </c>
    </row>
    <row r="2245" hidden="1">
      <c r="C2245" s="40" t="str">
        <f>IFERROR(__xludf.DUMMYFUNCTION("TEXTJOIN("", "",TRUE,UNIQUE(FILTER('Data Master'!$B$2:$B2880,'Data Master'!$J$2:$J2880=A2245)))"),"petani")</f>
        <v>petani</v>
      </c>
    </row>
    <row r="2246" hidden="1">
      <c r="C2246" s="40" t="str">
        <f>IFERROR(__xludf.DUMMYFUNCTION("TEXTJOIN("", "",TRUE,UNIQUE(FILTER('Data Master'!$B$2:$B2880,'Data Master'!$J$2:$J2880=A2246)))"),"petani")</f>
        <v>petani</v>
      </c>
    </row>
    <row r="2247" hidden="1">
      <c r="C2247" s="40" t="str">
        <f>IFERROR(__xludf.DUMMYFUNCTION("TEXTJOIN("", "",TRUE,UNIQUE(FILTER('Data Master'!$B$2:$B2880,'Data Master'!$J$2:$J2880=A2247)))"),"petani")</f>
        <v>petani</v>
      </c>
    </row>
    <row r="2248" hidden="1">
      <c r="C2248" s="40" t="str">
        <f>IFERROR(__xludf.DUMMYFUNCTION("TEXTJOIN("", "",TRUE,UNIQUE(FILTER('Data Master'!$B$2:$B2880,'Data Master'!$J$2:$J2880=A2248)))"),"petani")</f>
        <v>petani</v>
      </c>
    </row>
    <row r="2249" hidden="1">
      <c r="C2249" s="40" t="str">
        <f>IFERROR(__xludf.DUMMYFUNCTION("TEXTJOIN("", "",TRUE,UNIQUE(FILTER('Data Master'!$B$2:$B2880,'Data Master'!$J$2:$J2880=A2249)))"),"petani")</f>
        <v>petani</v>
      </c>
    </row>
    <row r="2250" hidden="1">
      <c r="C2250" s="40" t="str">
        <f>IFERROR(__xludf.DUMMYFUNCTION("TEXTJOIN("", "",TRUE,UNIQUE(FILTER('Data Master'!$B$2:$B2880,'Data Master'!$J$2:$J2880=A2250)))"),"petani")</f>
        <v>petani</v>
      </c>
    </row>
    <row r="2251" hidden="1">
      <c r="C2251" s="40" t="str">
        <f>IFERROR(__xludf.DUMMYFUNCTION("TEXTJOIN("", "",TRUE,UNIQUE(FILTER('Data Master'!$B$2:$B2880,'Data Master'!$J$2:$J2880=A2251)))"),"petani")</f>
        <v>petani</v>
      </c>
    </row>
    <row r="2252" hidden="1">
      <c r="C2252" s="40" t="str">
        <f>IFERROR(__xludf.DUMMYFUNCTION("TEXTJOIN("", "",TRUE,UNIQUE(FILTER('Data Master'!$B$2:$B2880,'Data Master'!$J$2:$J2880=A2252)))"),"petani")</f>
        <v>petani</v>
      </c>
    </row>
    <row r="2253" hidden="1">
      <c r="C2253" s="40" t="str">
        <f>IFERROR(__xludf.DUMMYFUNCTION("TEXTJOIN("", "",TRUE,UNIQUE(FILTER('Data Master'!$B$2:$B2880,'Data Master'!$J$2:$J2880=A2253)))"),"petani")</f>
        <v>petani</v>
      </c>
    </row>
    <row r="2254" hidden="1">
      <c r="C2254" s="40" t="str">
        <f>IFERROR(__xludf.DUMMYFUNCTION("TEXTJOIN("", "",TRUE,UNIQUE(FILTER('Data Master'!$B$2:$B2880,'Data Master'!$J$2:$J2880=A2254)))"),"petani")</f>
        <v>petani</v>
      </c>
    </row>
    <row r="2255" hidden="1">
      <c r="C2255" s="40" t="str">
        <f>IFERROR(__xludf.DUMMYFUNCTION("TEXTJOIN("", "",TRUE,UNIQUE(FILTER('Data Master'!$B$2:$B2880,'Data Master'!$J$2:$J2880=A2255)))"),"petani")</f>
        <v>petani</v>
      </c>
    </row>
    <row r="2256" hidden="1">
      <c r="C2256" s="40" t="str">
        <f>IFERROR(__xludf.DUMMYFUNCTION("TEXTJOIN("", "",TRUE,UNIQUE(FILTER('Data Master'!$B$2:$B2880,'Data Master'!$J$2:$J2880=A2256)))"),"petani")</f>
        <v>petani</v>
      </c>
    </row>
    <row r="2257" hidden="1">
      <c r="C2257" s="40" t="str">
        <f>IFERROR(__xludf.DUMMYFUNCTION("TEXTJOIN("", "",TRUE,UNIQUE(FILTER('Data Master'!$B$2:$B2880,'Data Master'!$J$2:$J2880=A2257)))"),"petani")</f>
        <v>petani</v>
      </c>
    </row>
    <row r="2258" hidden="1">
      <c r="C2258" s="40" t="str">
        <f>IFERROR(__xludf.DUMMYFUNCTION("TEXTJOIN("", "",TRUE,UNIQUE(FILTER('Data Master'!$B$2:$B2880,'Data Master'!$J$2:$J2880=A2258)))"),"petani")</f>
        <v>petani</v>
      </c>
    </row>
    <row r="2259" hidden="1">
      <c r="C2259" s="40" t="str">
        <f>IFERROR(__xludf.DUMMYFUNCTION("TEXTJOIN("", "",TRUE,UNIQUE(FILTER('Data Master'!$B$2:$B2880,'Data Master'!$J$2:$J2880=A2259)))"),"petani")</f>
        <v>petani</v>
      </c>
    </row>
    <row r="2260" hidden="1">
      <c r="C2260" s="40" t="str">
        <f>IFERROR(__xludf.DUMMYFUNCTION("TEXTJOIN("", "",TRUE,UNIQUE(FILTER('Data Master'!$B$2:$B2880,'Data Master'!$J$2:$J2880=A2260)))"),"petani")</f>
        <v>petani</v>
      </c>
    </row>
    <row r="2261" hidden="1">
      <c r="C2261" s="40" t="str">
        <f>IFERROR(__xludf.DUMMYFUNCTION("TEXTJOIN("", "",TRUE,UNIQUE(FILTER('Data Master'!$B$2:$B2880,'Data Master'!$J$2:$J2880=A2261)))"),"petani")</f>
        <v>petani</v>
      </c>
    </row>
    <row r="2262" hidden="1">
      <c r="C2262" s="40" t="str">
        <f>IFERROR(__xludf.DUMMYFUNCTION("TEXTJOIN("", "",TRUE,UNIQUE(FILTER('Data Master'!$B$2:$B2880,'Data Master'!$J$2:$J2880=A2262)))"),"petani")</f>
        <v>petani</v>
      </c>
    </row>
    <row r="2263" hidden="1">
      <c r="C2263" s="40" t="str">
        <f>IFERROR(__xludf.DUMMYFUNCTION("TEXTJOIN("", "",TRUE,UNIQUE(FILTER('Data Master'!$B$2:$B2880,'Data Master'!$J$2:$J2880=A2263)))"),"petani")</f>
        <v>petani</v>
      </c>
    </row>
    <row r="2264" hidden="1">
      <c r="C2264" s="40" t="str">
        <f>IFERROR(__xludf.DUMMYFUNCTION("TEXTJOIN("", "",TRUE,UNIQUE(FILTER('Data Master'!$B$2:$B2880,'Data Master'!$J$2:$J2880=A2264)))"),"petani")</f>
        <v>petani</v>
      </c>
    </row>
    <row r="2265" hidden="1">
      <c r="C2265" s="40" t="str">
        <f>IFERROR(__xludf.DUMMYFUNCTION("TEXTJOIN("", "",TRUE,UNIQUE(FILTER('Data Master'!$B$2:$B2880,'Data Master'!$J$2:$J2880=A2265)))"),"petani")</f>
        <v>petani</v>
      </c>
    </row>
    <row r="2266" hidden="1">
      <c r="C2266" s="40" t="str">
        <f>IFERROR(__xludf.DUMMYFUNCTION("TEXTJOIN("", "",TRUE,UNIQUE(FILTER('Data Master'!$B$2:$B2880,'Data Master'!$J$2:$J2880=A2266)))"),"petani")</f>
        <v>petani</v>
      </c>
    </row>
    <row r="2267" hidden="1">
      <c r="C2267" s="40" t="str">
        <f>IFERROR(__xludf.DUMMYFUNCTION("TEXTJOIN("", "",TRUE,UNIQUE(FILTER('Data Master'!$B$2:$B2880,'Data Master'!$J$2:$J2880=A2267)))"),"petani")</f>
        <v>petani</v>
      </c>
    </row>
    <row r="2268" hidden="1">
      <c r="C2268" s="40" t="str">
        <f>IFERROR(__xludf.DUMMYFUNCTION("TEXTJOIN("", "",TRUE,UNIQUE(FILTER('Data Master'!$B$2:$B2880,'Data Master'!$J$2:$J2880=A2268)))"),"petani")</f>
        <v>petani</v>
      </c>
    </row>
    <row r="2269" hidden="1">
      <c r="C2269" s="40" t="str">
        <f>IFERROR(__xludf.DUMMYFUNCTION("TEXTJOIN("", "",TRUE,UNIQUE(FILTER('Data Master'!$B$2:$B2880,'Data Master'!$J$2:$J2880=A2269)))"),"petani")</f>
        <v>petani</v>
      </c>
    </row>
    <row r="2270" hidden="1">
      <c r="C2270" s="40" t="str">
        <f>IFERROR(__xludf.DUMMYFUNCTION("TEXTJOIN("", "",TRUE,UNIQUE(FILTER('Data Master'!$B$2:$B2880,'Data Master'!$J$2:$J2880=A2270)))"),"petani")</f>
        <v>petani</v>
      </c>
    </row>
    <row r="2271" hidden="1">
      <c r="C2271" s="40" t="str">
        <f>IFERROR(__xludf.DUMMYFUNCTION("TEXTJOIN("", "",TRUE,UNIQUE(FILTER('Data Master'!$B$2:$B2880,'Data Master'!$J$2:$J2880=A2271)))"),"petani")</f>
        <v>petani</v>
      </c>
    </row>
    <row r="2272" hidden="1">
      <c r="C2272" s="40" t="str">
        <f>IFERROR(__xludf.DUMMYFUNCTION("TEXTJOIN("", "",TRUE,UNIQUE(FILTER('Data Master'!$B$2:$B2880,'Data Master'!$J$2:$J2880=A2272)))"),"petani")</f>
        <v>petani</v>
      </c>
    </row>
    <row r="2273" hidden="1">
      <c r="C2273" s="40" t="str">
        <f>IFERROR(__xludf.DUMMYFUNCTION("TEXTJOIN("", "",TRUE,UNIQUE(FILTER('Data Master'!$B$2:$B2880,'Data Master'!$J$2:$J2880=A2273)))"),"petani")</f>
        <v>petani</v>
      </c>
    </row>
    <row r="2274" hidden="1">
      <c r="C2274" s="40" t="str">
        <f>IFERROR(__xludf.DUMMYFUNCTION("TEXTJOIN("", "",TRUE,UNIQUE(FILTER('Data Master'!$B$2:$B2880,'Data Master'!$J$2:$J2880=A2274)))"),"petani")</f>
        <v>petani</v>
      </c>
    </row>
    <row r="2275" hidden="1">
      <c r="C2275" s="40" t="str">
        <f>IFERROR(__xludf.DUMMYFUNCTION("TEXTJOIN("", "",TRUE,UNIQUE(FILTER('Data Master'!$B$2:$B2880,'Data Master'!$J$2:$J2880=A2275)))"),"petani")</f>
        <v>petani</v>
      </c>
    </row>
    <row r="2276" hidden="1">
      <c r="C2276" s="40" t="str">
        <f>IFERROR(__xludf.DUMMYFUNCTION("TEXTJOIN("", "",TRUE,UNIQUE(FILTER('Data Master'!$B$2:$B2880,'Data Master'!$J$2:$J2880=A2276)))"),"petani")</f>
        <v>petani</v>
      </c>
    </row>
    <row r="2277" hidden="1">
      <c r="C2277" s="40" t="str">
        <f>IFERROR(__xludf.DUMMYFUNCTION("TEXTJOIN("", "",TRUE,UNIQUE(FILTER('Data Master'!$B$2:$B2880,'Data Master'!$J$2:$J2880=A2277)))"),"petani")</f>
        <v>petani</v>
      </c>
    </row>
    <row r="2278" hidden="1">
      <c r="C2278" s="40" t="str">
        <f>IFERROR(__xludf.DUMMYFUNCTION("TEXTJOIN("", "",TRUE,UNIQUE(FILTER('Data Master'!$B$2:$B2880,'Data Master'!$J$2:$J2880=A2278)))"),"petani")</f>
        <v>petani</v>
      </c>
    </row>
    <row r="2279" hidden="1">
      <c r="C2279" s="40" t="str">
        <f>IFERROR(__xludf.DUMMYFUNCTION("TEXTJOIN("", "",TRUE,UNIQUE(FILTER('Data Master'!$B$2:$B2880,'Data Master'!$J$2:$J2880=A2279)))"),"petani")</f>
        <v>petani</v>
      </c>
    </row>
    <row r="2280" hidden="1">
      <c r="C2280" s="40" t="str">
        <f>IFERROR(__xludf.DUMMYFUNCTION("TEXTJOIN("", "",TRUE,UNIQUE(FILTER('Data Master'!$B$2:$B2880,'Data Master'!$J$2:$J2880=A2280)))"),"petani")</f>
        <v>petani</v>
      </c>
    </row>
    <row r="2281" hidden="1">
      <c r="C2281" s="40" t="str">
        <f>IFERROR(__xludf.DUMMYFUNCTION("TEXTJOIN("", "",TRUE,UNIQUE(FILTER('Data Master'!$B$2:$B2880,'Data Master'!$J$2:$J2880=A2281)))"),"petani")</f>
        <v>petani</v>
      </c>
    </row>
    <row r="2282" hidden="1">
      <c r="C2282" s="40" t="str">
        <f>IFERROR(__xludf.DUMMYFUNCTION("TEXTJOIN("", "",TRUE,UNIQUE(FILTER('Data Master'!$B$2:$B2880,'Data Master'!$J$2:$J2880=A2282)))"),"petani")</f>
        <v>petani</v>
      </c>
    </row>
    <row r="2283" hidden="1">
      <c r="C2283" s="40" t="str">
        <f>IFERROR(__xludf.DUMMYFUNCTION("TEXTJOIN("", "",TRUE,UNIQUE(FILTER('Data Master'!$B$2:$B2880,'Data Master'!$J$2:$J2880=A2283)))"),"petani")</f>
        <v>petani</v>
      </c>
    </row>
    <row r="2284" hidden="1">
      <c r="C2284" s="40" t="str">
        <f>IFERROR(__xludf.DUMMYFUNCTION("TEXTJOIN("", "",TRUE,UNIQUE(FILTER('Data Master'!$B$2:$B2880,'Data Master'!$J$2:$J2880=A2284)))"),"petani")</f>
        <v>petani</v>
      </c>
    </row>
    <row r="2285" hidden="1">
      <c r="C2285" s="40" t="str">
        <f>IFERROR(__xludf.DUMMYFUNCTION("TEXTJOIN("", "",TRUE,UNIQUE(FILTER('Data Master'!$B$2:$B2880,'Data Master'!$J$2:$J2880=A2285)))"),"petani")</f>
        <v>petani</v>
      </c>
    </row>
    <row r="2286" hidden="1">
      <c r="C2286" s="40" t="str">
        <f>IFERROR(__xludf.DUMMYFUNCTION("TEXTJOIN("", "",TRUE,UNIQUE(FILTER('Data Master'!$B$2:$B2880,'Data Master'!$J$2:$J2880=A2286)))"),"petani")</f>
        <v>petani</v>
      </c>
    </row>
    <row r="2287" hidden="1">
      <c r="C2287" s="40" t="str">
        <f>IFERROR(__xludf.DUMMYFUNCTION("TEXTJOIN("", "",TRUE,UNIQUE(FILTER('Data Master'!$B$2:$B2880,'Data Master'!$J$2:$J2880=A2287)))"),"petani")</f>
        <v>petani</v>
      </c>
    </row>
    <row r="2288" hidden="1">
      <c r="C2288" s="40" t="str">
        <f>IFERROR(__xludf.DUMMYFUNCTION("TEXTJOIN("", "",TRUE,UNIQUE(FILTER('Data Master'!$B$2:$B2880,'Data Master'!$J$2:$J2880=A2288)))"),"petani")</f>
        <v>petani</v>
      </c>
    </row>
    <row r="2289" hidden="1">
      <c r="C2289" s="40" t="str">
        <f>IFERROR(__xludf.DUMMYFUNCTION("TEXTJOIN("", "",TRUE,UNIQUE(FILTER('Data Master'!$B$2:$B2880,'Data Master'!$J$2:$J2880=A2289)))"),"petani")</f>
        <v>petani</v>
      </c>
    </row>
    <row r="2290" hidden="1">
      <c r="C2290" s="40" t="str">
        <f>IFERROR(__xludf.DUMMYFUNCTION("TEXTJOIN("", "",TRUE,UNIQUE(FILTER('Data Master'!$B$2:$B2880,'Data Master'!$J$2:$J2880=A2290)))"),"petani")</f>
        <v>petani</v>
      </c>
    </row>
    <row r="2291" hidden="1">
      <c r="C2291" s="40" t="str">
        <f>IFERROR(__xludf.DUMMYFUNCTION("TEXTJOIN("", "",TRUE,UNIQUE(FILTER('Data Master'!$B$2:$B2880,'Data Master'!$J$2:$J2880=A2291)))"),"petani")</f>
        <v>petani</v>
      </c>
    </row>
    <row r="2292" hidden="1">
      <c r="C2292" s="40" t="str">
        <f>IFERROR(__xludf.DUMMYFUNCTION("TEXTJOIN("", "",TRUE,UNIQUE(FILTER('Data Master'!$B$2:$B2880,'Data Master'!$J$2:$J2880=A2292)))"),"petani")</f>
        <v>petani</v>
      </c>
    </row>
    <row r="2293" hidden="1">
      <c r="C2293" s="40" t="str">
        <f>IFERROR(__xludf.DUMMYFUNCTION("TEXTJOIN("", "",TRUE,UNIQUE(FILTER('Data Master'!$B$2:$B2880,'Data Master'!$J$2:$J2880=A2293)))"),"petani")</f>
        <v>petani</v>
      </c>
    </row>
    <row r="2294" hidden="1">
      <c r="C2294" s="40" t="str">
        <f>IFERROR(__xludf.DUMMYFUNCTION("TEXTJOIN("", "",TRUE,UNIQUE(FILTER('Data Master'!$B$2:$B2880,'Data Master'!$J$2:$J2880=A2294)))"),"petani")</f>
        <v>petani</v>
      </c>
    </row>
    <row r="2295" hidden="1">
      <c r="C2295" s="40" t="str">
        <f>IFERROR(__xludf.DUMMYFUNCTION("TEXTJOIN("", "",TRUE,UNIQUE(FILTER('Data Master'!$B$2:$B2880,'Data Master'!$J$2:$J2880=A2295)))"),"petani")</f>
        <v>petani</v>
      </c>
    </row>
    <row r="2296" hidden="1">
      <c r="C2296" s="40" t="str">
        <f>IFERROR(__xludf.DUMMYFUNCTION("TEXTJOIN("", "",TRUE,UNIQUE(FILTER('Data Master'!$B$2:$B2880,'Data Master'!$J$2:$J2880=A2296)))"),"petani")</f>
        <v>petani</v>
      </c>
    </row>
    <row r="2297" hidden="1">
      <c r="C2297" s="40" t="str">
        <f>IFERROR(__xludf.DUMMYFUNCTION("TEXTJOIN("", "",TRUE,UNIQUE(FILTER('Data Master'!$B$2:$B2880,'Data Master'!$J$2:$J2880=A2297)))"),"petani")</f>
        <v>petani</v>
      </c>
    </row>
    <row r="2298" hidden="1">
      <c r="C2298" s="40" t="str">
        <f>IFERROR(__xludf.DUMMYFUNCTION("TEXTJOIN("", "",TRUE,UNIQUE(FILTER('Data Master'!$B$2:$B2880,'Data Master'!$J$2:$J2880=A2298)))"),"petani")</f>
        <v>petani</v>
      </c>
    </row>
    <row r="2299" hidden="1">
      <c r="C2299" s="40" t="str">
        <f>IFERROR(__xludf.DUMMYFUNCTION("TEXTJOIN("", "",TRUE,UNIQUE(FILTER('Data Master'!$B$2:$B2880,'Data Master'!$J$2:$J2880=A2299)))"),"petani")</f>
        <v>petani</v>
      </c>
    </row>
    <row r="2300" hidden="1">
      <c r="C2300" s="40" t="str">
        <f>IFERROR(__xludf.DUMMYFUNCTION("TEXTJOIN("", "",TRUE,UNIQUE(FILTER('Data Master'!$B$2:$B2880,'Data Master'!$J$2:$J2880=A2300)))"),"petani")</f>
        <v>petani</v>
      </c>
    </row>
    <row r="2301" hidden="1">
      <c r="C2301" s="40" t="str">
        <f>IFERROR(__xludf.DUMMYFUNCTION("TEXTJOIN("", "",TRUE,UNIQUE(FILTER('Data Master'!$B$2:$B2880,'Data Master'!$J$2:$J2880=A2301)))"),"petani")</f>
        <v>petani</v>
      </c>
    </row>
    <row r="2302" hidden="1">
      <c r="C2302" s="40" t="str">
        <f>IFERROR(__xludf.DUMMYFUNCTION("TEXTJOIN("", "",TRUE,UNIQUE(FILTER('Data Master'!$B$2:$B2880,'Data Master'!$J$2:$J2880=A2302)))"),"petani")</f>
        <v>petani</v>
      </c>
    </row>
    <row r="2303" hidden="1">
      <c r="C2303" s="40" t="str">
        <f>IFERROR(__xludf.DUMMYFUNCTION("TEXTJOIN("", "",TRUE,UNIQUE(FILTER('Data Master'!$B$2:$B2880,'Data Master'!$J$2:$J2880=A2303)))"),"petani")</f>
        <v>petani</v>
      </c>
    </row>
    <row r="2304" hidden="1">
      <c r="C2304" s="40" t="str">
        <f>IFERROR(__xludf.DUMMYFUNCTION("TEXTJOIN("", "",TRUE,UNIQUE(FILTER('Data Master'!$B$2:$B2880,'Data Master'!$J$2:$J2880=A2304)))"),"petani")</f>
        <v>petani</v>
      </c>
    </row>
    <row r="2305" hidden="1">
      <c r="C2305" s="40" t="str">
        <f>IFERROR(__xludf.DUMMYFUNCTION("TEXTJOIN("", "",TRUE,UNIQUE(FILTER('Data Master'!$B$2:$B2880,'Data Master'!$J$2:$J2880=A2305)))"),"petani")</f>
        <v>petani</v>
      </c>
    </row>
    <row r="2306" hidden="1">
      <c r="C2306" s="40" t="str">
        <f>IFERROR(__xludf.DUMMYFUNCTION("TEXTJOIN("", "",TRUE,UNIQUE(FILTER('Data Master'!$B$2:$B2880,'Data Master'!$J$2:$J2880=A2306)))"),"petani")</f>
        <v>petani</v>
      </c>
    </row>
    <row r="2307" hidden="1">
      <c r="C2307" s="40" t="str">
        <f>IFERROR(__xludf.DUMMYFUNCTION("TEXTJOIN("", "",TRUE,UNIQUE(FILTER('Data Master'!$B$2:$B2880,'Data Master'!$J$2:$J2880=A2307)))"),"penyuluh")</f>
        <v>penyuluh</v>
      </c>
    </row>
    <row r="2308" hidden="1">
      <c r="C2308" s="40" t="str">
        <f>IFERROR(__xludf.DUMMYFUNCTION("TEXTJOIN("", "",TRUE,UNIQUE(FILTER('Data Master'!$B$2:$B2880,'Data Master'!$J$2:$J2880=A2308)))"),"petani")</f>
        <v>petani</v>
      </c>
    </row>
    <row r="2309" hidden="1">
      <c r="C2309" s="40" t="str">
        <f>IFERROR(__xludf.DUMMYFUNCTION("TEXTJOIN("", "",TRUE,UNIQUE(FILTER('Data Master'!$B$2:$B2880,'Data Master'!$J$2:$J2880=A2309)))"),"petani")</f>
        <v>petani</v>
      </c>
    </row>
    <row r="2310" hidden="1">
      <c r="C2310" s="40" t="str">
        <f>IFERROR(__xludf.DUMMYFUNCTION("TEXTJOIN("", "",TRUE,UNIQUE(FILTER('Data Master'!$B$2:$B2880,'Data Master'!$J$2:$J2880=A2310)))"),"petani")</f>
        <v>petani</v>
      </c>
    </row>
    <row r="2311" hidden="1">
      <c r="C2311" s="40" t="str">
        <f>IFERROR(__xludf.DUMMYFUNCTION("TEXTJOIN("", "",TRUE,UNIQUE(FILTER('Data Master'!$B$2:$B2880,'Data Master'!$J$2:$J2880=A2311)))"),"petani")</f>
        <v>petani</v>
      </c>
    </row>
    <row r="2312" hidden="1">
      <c r="C2312" s="40" t="str">
        <f>IFERROR(__xludf.DUMMYFUNCTION("TEXTJOIN("", "",TRUE,UNIQUE(FILTER('Data Master'!$B$2:$B2880,'Data Master'!$J$2:$J2880=A2312)))"),"petani")</f>
        <v>petani</v>
      </c>
    </row>
    <row r="2313" hidden="1">
      <c r="C2313" s="40" t="str">
        <f>IFERROR(__xludf.DUMMYFUNCTION("TEXTJOIN("", "",TRUE,UNIQUE(FILTER('Data Master'!$B$2:$B2880,'Data Master'!$J$2:$J2880=A2313)))"),"petani")</f>
        <v>petani</v>
      </c>
    </row>
    <row r="2314" hidden="1">
      <c r="C2314" s="40" t="str">
        <f>IFERROR(__xludf.DUMMYFUNCTION("TEXTJOIN("", "",TRUE,UNIQUE(FILTER('Data Master'!$B$2:$B2880,'Data Master'!$J$2:$J2880=A2314)))"),"petani")</f>
        <v>petani</v>
      </c>
    </row>
    <row r="2315" hidden="1">
      <c r="C2315" s="40" t="str">
        <f>IFERROR(__xludf.DUMMYFUNCTION("TEXTJOIN("", "",TRUE,UNIQUE(FILTER('Data Master'!$B$2:$B2880,'Data Master'!$J$2:$J2880=A2315)))"),"petani")</f>
        <v>petani</v>
      </c>
    </row>
    <row r="2316" hidden="1">
      <c r="C2316" s="40" t="str">
        <f>IFERROR(__xludf.DUMMYFUNCTION("TEXTJOIN("", "",TRUE,UNIQUE(FILTER('Data Master'!$B$2:$B2880,'Data Master'!$J$2:$J2880=A2316)))"),"petani")</f>
        <v>petani</v>
      </c>
    </row>
    <row r="2317" hidden="1">
      <c r="C2317" s="40" t="str">
        <f>IFERROR(__xludf.DUMMYFUNCTION("TEXTJOIN("", "",TRUE,UNIQUE(FILTER('Data Master'!$B$2:$B2880,'Data Master'!$J$2:$J2880=A2317)))"),"petani")</f>
        <v>petani</v>
      </c>
    </row>
    <row r="2318" hidden="1">
      <c r="C2318" s="40" t="str">
        <f>IFERROR(__xludf.DUMMYFUNCTION("TEXTJOIN("", "",TRUE,UNIQUE(FILTER('Data Master'!$B$2:$B2880,'Data Master'!$J$2:$J2880=A2318)))"),"petani")</f>
        <v>petani</v>
      </c>
    </row>
    <row r="2319" hidden="1">
      <c r="C2319" s="40" t="str">
        <f>IFERROR(__xludf.DUMMYFUNCTION("TEXTJOIN("", "",TRUE,UNIQUE(FILTER('Data Master'!$B$2:$B2880,'Data Master'!$J$2:$J2880=A2319)))"),"petani")</f>
        <v>petani</v>
      </c>
    </row>
    <row r="2320" hidden="1">
      <c r="C2320" s="40" t="str">
        <f>IFERROR(__xludf.DUMMYFUNCTION("TEXTJOIN("", "",TRUE,UNIQUE(FILTER('Data Master'!$B$2:$B2880,'Data Master'!$J$2:$J2880=A2320)))"),"petani")</f>
        <v>petani</v>
      </c>
    </row>
    <row r="2321" hidden="1">
      <c r="C2321" s="40" t="str">
        <f>IFERROR(__xludf.DUMMYFUNCTION("TEXTJOIN("", "",TRUE,UNIQUE(FILTER('Data Master'!$B$2:$B2880,'Data Master'!$J$2:$J2880=A2321)))"),"petani")</f>
        <v>petani</v>
      </c>
    </row>
    <row r="2322" hidden="1">
      <c r="C2322" s="40" t="str">
        <f>IFERROR(__xludf.DUMMYFUNCTION("TEXTJOIN("", "",TRUE,UNIQUE(FILTER('Data Master'!$B$2:$B2880,'Data Master'!$J$2:$J2880=A2322)))"),"petani")</f>
        <v>petani</v>
      </c>
    </row>
    <row r="2323" hidden="1">
      <c r="C2323" s="40" t="str">
        <f>IFERROR(__xludf.DUMMYFUNCTION("TEXTJOIN("", "",TRUE,UNIQUE(FILTER('Data Master'!$B$2:$B2880,'Data Master'!$J$2:$J2880=A2323)))"),"petani")</f>
        <v>petani</v>
      </c>
    </row>
    <row r="2324" hidden="1">
      <c r="C2324" s="40" t="str">
        <f>IFERROR(__xludf.DUMMYFUNCTION("TEXTJOIN("", "",TRUE,UNIQUE(FILTER('Data Master'!$B$2:$B2880,'Data Master'!$J$2:$J2880=A2324)))"),"petani")</f>
        <v>petani</v>
      </c>
    </row>
    <row r="2325" hidden="1">
      <c r="C2325" s="40" t="str">
        <f>IFERROR(__xludf.DUMMYFUNCTION("TEXTJOIN("", "",TRUE,UNIQUE(FILTER('Data Master'!$B$2:$B2880,'Data Master'!$J$2:$J2880=A2325)))"),"petani")</f>
        <v>petani</v>
      </c>
    </row>
    <row r="2326" hidden="1">
      <c r="C2326" s="40" t="str">
        <f>IFERROR(__xludf.DUMMYFUNCTION("TEXTJOIN("", "",TRUE,UNIQUE(FILTER('Data Master'!$B$2:$B2880,'Data Master'!$J$2:$J2880=A2326)))"),"petani")</f>
        <v>petani</v>
      </c>
    </row>
    <row r="2327" hidden="1">
      <c r="C2327" s="40" t="str">
        <f>IFERROR(__xludf.DUMMYFUNCTION("TEXTJOIN("", "",TRUE,UNIQUE(FILTER('Data Master'!$B$2:$B2880,'Data Master'!$J$2:$J2880=A2327)))"),"petani")</f>
        <v>petani</v>
      </c>
    </row>
    <row r="2328" hidden="1">
      <c r="C2328" s="40" t="str">
        <f>IFERROR(__xludf.DUMMYFUNCTION("TEXTJOIN("", "",TRUE,UNIQUE(FILTER('Data Master'!$B$2:$B2880,'Data Master'!$J$2:$J2880=A2328)))"),"petani")</f>
        <v>petani</v>
      </c>
    </row>
    <row r="2329" hidden="1">
      <c r="C2329" s="40" t="str">
        <f>IFERROR(__xludf.DUMMYFUNCTION("TEXTJOIN("", "",TRUE,UNIQUE(FILTER('Data Master'!$B$2:$B2880,'Data Master'!$J$2:$J2880=A2329)))"),"petani")</f>
        <v>petani</v>
      </c>
    </row>
    <row r="2330" hidden="1">
      <c r="C2330" s="40" t="str">
        <f>IFERROR(__xludf.DUMMYFUNCTION("TEXTJOIN("", "",TRUE,UNIQUE(FILTER('Data Master'!$B$2:$B2880,'Data Master'!$J$2:$J2880=A2330)))"),"petani")</f>
        <v>petani</v>
      </c>
    </row>
    <row r="2331" hidden="1">
      <c r="C2331" s="40" t="str">
        <f>IFERROR(__xludf.DUMMYFUNCTION("TEXTJOIN("", "",TRUE,UNIQUE(FILTER('Data Master'!$B$2:$B2880,'Data Master'!$J$2:$J2880=A2331)))"),"petani")</f>
        <v>petani</v>
      </c>
    </row>
    <row r="2332" hidden="1">
      <c r="C2332" s="40" t="str">
        <f>IFERROR(__xludf.DUMMYFUNCTION("TEXTJOIN("", "",TRUE,UNIQUE(FILTER('Data Master'!$B$2:$B2880,'Data Master'!$J$2:$J2880=A2332)))"),"petani")</f>
        <v>petani</v>
      </c>
    </row>
    <row r="2333" hidden="1">
      <c r="C2333" s="40" t="str">
        <f>IFERROR(__xludf.DUMMYFUNCTION("TEXTJOIN("", "",TRUE,UNIQUE(FILTER('Data Master'!$B$2:$B2880,'Data Master'!$J$2:$J2880=A2333)))"),"penyuluh")</f>
        <v>penyuluh</v>
      </c>
    </row>
    <row r="2334" hidden="1">
      <c r="C2334" s="40" t="str">
        <f>IFERROR(__xludf.DUMMYFUNCTION("TEXTJOIN("", "",TRUE,UNIQUE(FILTER('Data Master'!$B$2:$B2880,'Data Master'!$J$2:$J2880=A2334)))"),"petani")</f>
        <v>petani</v>
      </c>
    </row>
    <row r="2335" hidden="1">
      <c r="C2335" s="40" t="str">
        <f>IFERROR(__xludf.DUMMYFUNCTION("TEXTJOIN("", "",TRUE,UNIQUE(FILTER('Data Master'!$B$2:$B2880,'Data Master'!$J$2:$J2880=A2335)))"),"petani")</f>
        <v>petani</v>
      </c>
    </row>
    <row r="2336" hidden="1">
      <c r="C2336" s="40" t="str">
        <f>IFERROR(__xludf.DUMMYFUNCTION("TEXTJOIN("", "",TRUE,UNIQUE(FILTER('Data Master'!$B$2:$B2880,'Data Master'!$J$2:$J2880=A2336)))"),"petani")</f>
        <v>petani</v>
      </c>
    </row>
    <row r="2337" hidden="1">
      <c r="C2337" s="40" t="str">
        <f>IFERROR(__xludf.DUMMYFUNCTION("TEXTJOIN("", "",TRUE,UNIQUE(FILTER('Data Master'!$B$2:$B2880,'Data Master'!$J$2:$J2880=A2337)))"),"petani")</f>
        <v>petani</v>
      </c>
    </row>
    <row r="2338" hidden="1">
      <c r="C2338" s="40" t="str">
        <f>IFERROR(__xludf.DUMMYFUNCTION("TEXTJOIN("", "",TRUE,UNIQUE(FILTER('Data Master'!$B$2:$B2880,'Data Master'!$J$2:$J2880=A2338)))"),"petani")</f>
        <v>petani</v>
      </c>
    </row>
    <row r="2339" hidden="1">
      <c r="C2339" s="40" t="str">
        <f>IFERROR(__xludf.DUMMYFUNCTION("TEXTJOIN("", "",TRUE,UNIQUE(FILTER('Data Master'!$B$2:$B2880,'Data Master'!$J$2:$J2880=A2339)))"),"petani")</f>
        <v>petani</v>
      </c>
    </row>
    <row r="2340" hidden="1">
      <c r="C2340" s="40" t="str">
        <f>IFERROR(__xludf.DUMMYFUNCTION("TEXTJOIN("", "",TRUE,UNIQUE(FILTER('Data Master'!$B$2:$B2880,'Data Master'!$J$2:$J2880=A2340)))"),"petani")</f>
        <v>petani</v>
      </c>
    </row>
    <row r="2341" hidden="1">
      <c r="C2341" s="40" t="str">
        <f>IFERROR(__xludf.DUMMYFUNCTION("TEXTJOIN("", "",TRUE,UNIQUE(FILTER('Data Master'!$B$2:$B2880,'Data Master'!$J$2:$J2880=A2341)))"),"petani")</f>
        <v>petani</v>
      </c>
    </row>
    <row r="2342" hidden="1">
      <c r="C2342" s="40" t="str">
        <f>IFERROR(__xludf.DUMMYFUNCTION("TEXTJOIN("", "",TRUE,UNIQUE(FILTER('Data Master'!$B$2:$B2880,'Data Master'!$J$2:$J2880=A2342)))"),"petani")</f>
        <v>petani</v>
      </c>
    </row>
    <row r="2343" hidden="1">
      <c r="C2343" s="40" t="str">
        <f>IFERROR(__xludf.DUMMYFUNCTION("TEXTJOIN("", "",TRUE,UNIQUE(FILTER('Data Master'!$B$2:$B2880,'Data Master'!$J$2:$J2880=A2343)))"),"petani")</f>
        <v>petani</v>
      </c>
    </row>
    <row r="2344" hidden="1">
      <c r="C2344" s="40" t="str">
        <f>IFERROR(__xludf.DUMMYFUNCTION("TEXTJOIN("", "",TRUE,UNIQUE(FILTER('Data Master'!$B$2:$B2880,'Data Master'!$J$2:$J2880=A2344)))"),"petani")</f>
        <v>petani</v>
      </c>
    </row>
    <row r="2345" hidden="1">
      <c r="C2345" s="40" t="str">
        <f>IFERROR(__xludf.DUMMYFUNCTION("TEXTJOIN("", "",TRUE,UNIQUE(FILTER('Data Master'!$B$2:$B2880,'Data Master'!$J$2:$J2880=A2345)))"),"petani")</f>
        <v>petani</v>
      </c>
    </row>
    <row r="2346" hidden="1">
      <c r="C2346" s="40" t="str">
        <f>IFERROR(__xludf.DUMMYFUNCTION("TEXTJOIN("", "",TRUE,UNIQUE(FILTER('Data Master'!$B$2:$B2880,'Data Master'!$J$2:$J2880=A2346)))"),"petani")</f>
        <v>petani</v>
      </c>
    </row>
    <row r="2347" hidden="1">
      <c r="C2347" s="40" t="str">
        <f>IFERROR(__xludf.DUMMYFUNCTION("TEXTJOIN("", "",TRUE,UNIQUE(FILTER('Data Master'!$B$2:$B2880,'Data Master'!$J$2:$J2880=A2347)))"),"petani")</f>
        <v>petani</v>
      </c>
    </row>
    <row r="2348" hidden="1">
      <c r="C2348" s="40" t="str">
        <f>IFERROR(__xludf.DUMMYFUNCTION("TEXTJOIN("", "",TRUE,UNIQUE(FILTER('Data Master'!$B$2:$B2880,'Data Master'!$J$2:$J2880=A2348)))"),"petani")</f>
        <v>petani</v>
      </c>
    </row>
    <row r="2349" hidden="1">
      <c r="C2349" s="40" t="str">
        <f>IFERROR(__xludf.DUMMYFUNCTION("TEXTJOIN("", "",TRUE,UNIQUE(FILTER('Data Master'!$B$2:$B2880,'Data Master'!$J$2:$J2880=A2349)))"),"petani")</f>
        <v>petani</v>
      </c>
    </row>
    <row r="2350" hidden="1">
      <c r="C2350" s="40" t="str">
        <f>IFERROR(__xludf.DUMMYFUNCTION("TEXTJOIN("", "",TRUE,UNIQUE(FILTER('Data Master'!$B$2:$B2880,'Data Master'!$J$2:$J2880=A2350)))"),"petani")</f>
        <v>petani</v>
      </c>
    </row>
    <row r="2351" hidden="1">
      <c r="C2351" s="40" t="str">
        <f>IFERROR(__xludf.DUMMYFUNCTION("TEXTJOIN("", "",TRUE,UNIQUE(FILTER('Data Master'!$B$2:$B2880,'Data Master'!$J$2:$J2880=A2351)))"),"petani")</f>
        <v>petani</v>
      </c>
    </row>
    <row r="2352" hidden="1">
      <c r="C2352" s="40" t="str">
        <f>IFERROR(__xludf.DUMMYFUNCTION("TEXTJOIN("", "",TRUE,UNIQUE(FILTER('Data Master'!$B$2:$B2880,'Data Master'!$J$2:$J2880=A2352)))"),"petani")</f>
        <v>petani</v>
      </c>
    </row>
    <row r="2353" hidden="1">
      <c r="C2353" s="40" t="str">
        <f>IFERROR(__xludf.DUMMYFUNCTION("TEXTJOIN("", "",TRUE,UNIQUE(FILTER('Data Master'!$B$2:$B2880,'Data Master'!$J$2:$J2880=A2353)))"),"petani")</f>
        <v>petani</v>
      </c>
    </row>
    <row r="2354" hidden="1">
      <c r="C2354" s="40" t="str">
        <f>IFERROR(__xludf.DUMMYFUNCTION("TEXTJOIN("", "",TRUE,UNIQUE(FILTER('Data Master'!$B$2:$B2880,'Data Master'!$J$2:$J2880=A2354)))"),"petani")</f>
        <v>petani</v>
      </c>
    </row>
    <row r="2355" hidden="1">
      <c r="C2355" s="40" t="str">
        <f>IFERROR(__xludf.DUMMYFUNCTION("TEXTJOIN("", "",TRUE,UNIQUE(FILTER('Data Master'!$B$2:$B2880,'Data Master'!$J$2:$J2880=A2355)))"),"petani")</f>
        <v>petani</v>
      </c>
    </row>
    <row r="2356" hidden="1">
      <c r="C2356" s="40" t="str">
        <f>IFERROR(__xludf.DUMMYFUNCTION("TEXTJOIN("", "",TRUE,UNIQUE(FILTER('Data Master'!$B$2:$B2880,'Data Master'!$J$2:$J2880=A2356)))"),"petani")</f>
        <v>petani</v>
      </c>
    </row>
    <row r="2357" hidden="1">
      <c r="C2357" s="40" t="str">
        <f>IFERROR(__xludf.DUMMYFUNCTION("TEXTJOIN("", "",TRUE,UNIQUE(FILTER('Data Master'!$B$2:$B2880,'Data Master'!$J$2:$J2880=A2357)))"),"petani")</f>
        <v>petani</v>
      </c>
    </row>
    <row r="2358" hidden="1">
      <c r="C2358" s="40" t="str">
        <f>IFERROR(__xludf.DUMMYFUNCTION("TEXTJOIN("", "",TRUE,UNIQUE(FILTER('Data Master'!$B$2:$B2880,'Data Master'!$J$2:$J2880=A2358)))"),"petani")</f>
        <v>petani</v>
      </c>
    </row>
    <row r="2359" hidden="1">
      <c r="C2359" s="40" t="str">
        <f>IFERROR(__xludf.DUMMYFUNCTION("TEXTJOIN("", "",TRUE,UNIQUE(FILTER('Data Master'!$B$2:$B2880,'Data Master'!$J$2:$J2880=A2359)))"),"petani")</f>
        <v>petani</v>
      </c>
    </row>
    <row r="2360" hidden="1">
      <c r="C2360" s="40" t="str">
        <f>IFERROR(__xludf.DUMMYFUNCTION("TEXTJOIN("", "",TRUE,UNIQUE(FILTER('Data Master'!$B$2:$B2880,'Data Master'!$J$2:$J2880=A2360)))"),"petani")</f>
        <v>petani</v>
      </c>
    </row>
    <row r="2361" hidden="1">
      <c r="C2361" s="40" t="str">
        <f>IFERROR(__xludf.DUMMYFUNCTION("TEXTJOIN("", "",TRUE,UNIQUE(FILTER('Data Master'!$B$2:$B2880,'Data Master'!$J$2:$J2880=A2361)))"),"petani")</f>
        <v>petani</v>
      </c>
    </row>
    <row r="2362" hidden="1">
      <c r="C2362" s="40" t="str">
        <f>IFERROR(__xludf.DUMMYFUNCTION("TEXTJOIN("", "",TRUE,UNIQUE(FILTER('Data Master'!$B$2:$B2880,'Data Master'!$J$2:$J2880=A2362)))"),"petani")</f>
        <v>petani</v>
      </c>
    </row>
    <row r="2363" hidden="1">
      <c r="C2363" s="40" t="str">
        <f>IFERROR(__xludf.DUMMYFUNCTION("TEXTJOIN("", "",TRUE,UNIQUE(FILTER('Data Master'!$B$2:$B2880,'Data Master'!$J$2:$J2880=A2363)))"),"petani")</f>
        <v>petani</v>
      </c>
    </row>
    <row r="2364" hidden="1">
      <c r="C2364" s="40" t="str">
        <f>IFERROR(__xludf.DUMMYFUNCTION("TEXTJOIN("", "",TRUE,UNIQUE(FILTER('Data Master'!$B$2:$B2880,'Data Master'!$J$2:$J2880=A2364)))"),"petani")</f>
        <v>petani</v>
      </c>
    </row>
    <row r="2365" hidden="1">
      <c r="C2365" s="40" t="str">
        <f>IFERROR(__xludf.DUMMYFUNCTION("TEXTJOIN("", "",TRUE,UNIQUE(FILTER('Data Master'!$B$2:$B2880,'Data Master'!$J$2:$J2880=A2365)))"),"petani")</f>
        <v>petani</v>
      </c>
    </row>
    <row r="2366" hidden="1">
      <c r="C2366" s="40" t="str">
        <f>IFERROR(__xludf.DUMMYFUNCTION("TEXTJOIN("", "",TRUE,UNIQUE(FILTER('Data Master'!$B$2:$B2880,'Data Master'!$J$2:$J2880=A2366)))"),"petani")</f>
        <v>petani</v>
      </c>
    </row>
    <row r="2367" hidden="1">
      <c r="C2367" s="40" t="str">
        <f>IFERROR(__xludf.DUMMYFUNCTION("TEXTJOIN("", "",TRUE,UNIQUE(FILTER('Data Master'!$B$2:$B2880,'Data Master'!$J$2:$J2880=A2367)))"),"petani")</f>
        <v>petani</v>
      </c>
    </row>
    <row r="2368" hidden="1">
      <c r="C2368" s="40" t="str">
        <f>IFERROR(__xludf.DUMMYFUNCTION("TEXTJOIN("", "",TRUE,UNIQUE(FILTER('Data Master'!$B$2:$B2880,'Data Master'!$J$2:$J2880=A2368)))"),"petani")</f>
        <v>petani</v>
      </c>
    </row>
    <row r="2369" hidden="1">
      <c r="C2369" s="40" t="str">
        <f>IFERROR(__xludf.DUMMYFUNCTION("TEXTJOIN("", "",TRUE,UNIQUE(FILTER('Data Master'!$B$2:$B2880,'Data Master'!$J$2:$J2880=A2369)))"),"petani")</f>
        <v>petani</v>
      </c>
    </row>
    <row r="2370" hidden="1">
      <c r="C2370" s="40" t="str">
        <f>IFERROR(__xludf.DUMMYFUNCTION("TEXTJOIN("", "",TRUE,UNIQUE(FILTER('Data Master'!$B$2:$B2880,'Data Master'!$J$2:$J2880=A2370)))"),"petani")</f>
        <v>petani</v>
      </c>
    </row>
    <row r="2371" hidden="1">
      <c r="C2371" s="40" t="str">
        <f>IFERROR(__xludf.DUMMYFUNCTION("TEXTJOIN("", "",TRUE,UNIQUE(FILTER('Data Master'!$B$2:$B2880,'Data Master'!$J$2:$J2880=A2371)))"),"petani")</f>
        <v>petani</v>
      </c>
    </row>
    <row r="2372" hidden="1">
      <c r="C2372" s="40" t="str">
        <f>IFERROR(__xludf.DUMMYFUNCTION("TEXTJOIN("", "",TRUE,UNIQUE(FILTER('Data Master'!$B$2:$B2880,'Data Master'!$J$2:$J2880=A2372)))"),"petani")</f>
        <v>petani</v>
      </c>
    </row>
    <row r="2373" hidden="1">
      <c r="C2373" s="40" t="str">
        <f>IFERROR(__xludf.DUMMYFUNCTION("TEXTJOIN("", "",TRUE,UNIQUE(FILTER('Data Master'!$B$2:$B2880,'Data Master'!$J$2:$J2880=A2373)))"),"petani")</f>
        <v>petani</v>
      </c>
    </row>
    <row r="2374" hidden="1">
      <c r="C2374" s="40" t="str">
        <f>IFERROR(__xludf.DUMMYFUNCTION("TEXTJOIN("", "",TRUE,UNIQUE(FILTER('Data Master'!$B$2:$B2880,'Data Master'!$J$2:$J2880=A2374)))"),"petani")</f>
        <v>petani</v>
      </c>
    </row>
    <row r="2375" hidden="1">
      <c r="C2375" s="40" t="str">
        <f>IFERROR(__xludf.DUMMYFUNCTION("TEXTJOIN("", "",TRUE,UNIQUE(FILTER('Data Master'!$B$2:$B2880,'Data Master'!$J$2:$J2880=A2375)))"),"petani")</f>
        <v>petani</v>
      </c>
    </row>
    <row r="2376" hidden="1">
      <c r="C2376" s="40" t="str">
        <f>IFERROR(__xludf.DUMMYFUNCTION("TEXTJOIN("", "",TRUE,UNIQUE(FILTER('Data Master'!$B$2:$B2880,'Data Master'!$J$2:$J2880=A2376)))"),"petani")</f>
        <v>petani</v>
      </c>
    </row>
    <row r="2377" hidden="1">
      <c r="C2377" s="40" t="str">
        <f>IFERROR(__xludf.DUMMYFUNCTION("TEXTJOIN("", "",TRUE,UNIQUE(FILTER('Data Master'!$B$2:$B2880,'Data Master'!$J$2:$J2880=A2377)))"),"operator admin")</f>
        <v>operator admin</v>
      </c>
    </row>
    <row r="2378" hidden="1">
      <c r="C2378" s="40" t="str">
        <f>IFERROR(__xludf.DUMMYFUNCTION("TEXTJOIN("", "",TRUE,UNIQUE(FILTER('Data Master'!$B$2:$B2880,'Data Master'!$J$2:$J2880=A2378)))"),"operator poktan")</f>
        <v>operator poktan</v>
      </c>
    </row>
    <row r="2379" hidden="1">
      <c r="C2379" s="40" t="str">
        <f>IFERROR(__xludf.DUMMYFUNCTION("TEXTJOIN("", "",TRUE,UNIQUE(FILTER('Data Master'!$B$2:$B2880,'Data Master'!$J$2:$J2880=A2379)))"),"petani")</f>
        <v>petani</v>
      </c>
    </row>
    <row r="2380" hidden="1"/>
  </sheetData>
  <autoFilter ref="$A$1:$C$2380">
    <filterColumn colId="1">
      <filters>
        <filter val="2"/>
        <filter val="3"/>
      </filters>
    </filterColumn>
  </autoFilter>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1512</v>
      </c>
      <c r="B1" s="18" t="s">
        <v>791</v>
      </c>
      <c r="C1" s="18" t="s">
        <v>1513</v>
      </c>
      <c r="D1" s="18"/>
      <c r="E1" s="24">
        <v>0.0</v>
      </c>
      <c r="F1" s="24">
        <v>1.0</v>
      </c>
      <c r="G1" s="18" t="s">
        <v>1513</v>
      </c>
      <c r="H1" s="18"/>
      <c r="I1" s="24">
        <v>0.0</v>
      </c>
      <c r="J1" s="18" t="s">
        <v>1514</v>
      </c>
      <c r="K1" s="18"/>
      <c r="L1" s="18" t="s">
        <v>1515</v>
      </c>
      <c r="M1" s="11"/>
    </row>
    <row r="2">
      <c r="A2" s="18" t="s">
        <v>1590</v>
      </c>
      <c r="B2" s="18" t="s">
        <v>791</v>
      </c>
      <c r="C2" s="18" t="s">
        <v>1591</v>
      </c>
      <c r="D2" s="18"/>
      <c r="E2" s="24">
        <v>0.0</v>
      </c>
      <c r="F2" s="24">
        <v>1.0</v>
      </c>
      <c r="G2" s="18" t="s">
        <v>1591</v>
      </c>
      <c r="H2" s="18"/>
      <c r="I2" s="24">
        <v>0.0</v>
      </c>
      <c r="J2" s="18" t="s">
        <v>1592</v>
      </c>
      <c r="K2" s="18"/>
      <c r="L2" s="18" t="s">
        <v>1515</v>
      </c>
      <c r="M2" s="11"/>
    </row>
    <row r="3">
      <c r="A3" s="18" t="s">
        <v>1603</v>
      </c>
      <c r="B3" s="18" t="s">
        <v>791</v>
      </c>
      <c r="C3" s="18" t="s">
        <v>1604</v>
      </c>
      <c r="D3" s="18"/>
      <c r="E3" s="24">
        <v>0.0</v>
      </c>
      <c r="F3" s="24">
        <v>1.0</v>
      </c>
      <c r="G3" s="18" t="s">
        <v>1604</v>
      </c>
      <c r="H3" s="18"/>
      <c r="I3" s="24">
        <v>0.0</v>
      </c>
      <c r="J3" s="18" t="s">
        <v>1605</v>
      </c>
      <c r="K3" s="18"/>
      <c r="L3" s="18" t="s">
        <v>1515</v>
      </c>
      <c r="M3" s="11"/>
    </row>
    <row r="4">
      <c r="A4" s="18" t="s">
        <v>1613</v>
      </c>
      <c r="B4" s="18" t="s">
        <v>791</v>
      </c>
      <c r="C4" s="18" t="s">
        <v>1614</v>
      </c>
      <c r="D4" s="18"/>
      <c r="E4" s="24">
        <v>0.0</v>
      </c>
      <c r="F4" s="24">
        <v>1.0</v>
      </c>
      <c r="G4" s="18" t="s">
        <v>1614</v>
      </c>
      <c r="H4" s="18"/>
      <c r="I4" s="24">
        <v>0.0</v>
      </c>
      <c r="J4" s="18" t="s">
        <v>1615</v>
      </c>
      <c r="K4" s="18"/>
      <c r="L4" s="18" t="s">
        <v>1515</v>
      </c>
      <c r="M4" s="11"/>
    </row>
    <row r="5">
      <c r="A5" s="18" t="s">
        <v>1652</v>
      </c>
      <c r="B5" s="18" t="s">
        <v>791</v>
      </c>
      <c r="C5" s="18" t="s">
        <v>1653</v>
      </c>
      <c r="D5" s="18"/>
      <c r="E5" s="24">
        <v>0.0</v>
      </c>
      <c r="F5" s="24">
        <v>1.0</v>
      </c>
      <c r="G5" s="18" t="s">
        <v>1653</v>
      </c>
      <c r="H5" s="18"/>
      <c r="I5" s="24">
        <v>0.0</v>
      </c>
      <c r="J5" s="18" t="s">
        <v>1654</v>
      </c>
      <c r="K5" s="18"/>
      <c r="L5" s="18" t="s">
        <v>1470</v>
      </c>
      <c r="M5" s="11"/>
    </row>
    <row r="6">
      <c r="A6" s="18" t="s">
        <v>2686</v>
      </c>
      <c r="B6" s="18" t="s">
        <v>791</v>
      </c>
      <c r="C6" s="18" t="s">
        <v>2687</v>
      </c>
      <c r="D6" s="18"/>
      <c r="E6" s="24">
        <v>0.0</v>
      </c>
      <c r="F6" s="24">
        <v>1.0</v>
      </c>
      <c r="G6" s="18" t="s">
        <v>2687</v>
      </c>
      <c r="H6" s="18"/>
      <c r="I6" s="24">
        <v>0.0</v>
      </c>
      <c r="J6" s="18" t="s">
        <v>2688</v>
      </c>
      <c r="K6" s="18"/>
      <c r="L6" s="18" t="s">
        <v>2689</v>
      </c>
      <c r="M6" s="11"/>
    </row>
    <row r="7">
      <c r="A7" s="18" t="s">
        <v>7025</v>
      </c>
      <c r="B7" s="18" t="s">
        <v>791</v>
      </c>
      <c r="C7" s="18" t="s">
        <v>7028</v>
      </c>
      <c r="D7" s="18" t="s">
        <v>1579</v>
      </c>
      <c r="E7" s="24">
        <v>0.0</v>
      </c>
      <c r="F7" s="24">
        <v>1.0</v>
      </c>
      <c r="G7" s="18" t="s">
        <v>7028</v>
      </c>
      <c r="H7" s="18" t="s">
        <v>1579</v>
      </c>
      <c r="I7" s="24">
        <v>0.0</v>
      </c>
      <c r="J7" s="18" t="s">
        <v>7030</v>
      </c>
      <c r="K7" s="18" t="s">
        <v>7030</v>
      </c>
      <c r="L7" s="18" t="s">
        <v>7031</v>
      </c>
      <c r="M7" s="11"/>
    </row>
    <row r="8">
      <c r="A8" s="18" t="s">
        <v>7032</v>
      </c>
      <c r="B8" s="18" t="s">
        <v>791</v>
      </c>
      <c r="C8" s="18" t="s">
        <v>7034</v>
      </c>
      <c r="D8" s="18"/>
      <c r="E8" s="24">
        <v>0.0</v>
      </c>
      <c r="F8" s="24">
        <v>1.0</v>
      </c>
      <c r="G8" s="18" t="s">
        <v>7034</v>
      </c>
      <c r="H8" s="18"/>
      <c r="I8" s="24">
        <v>0.0</v>
      </c>
      <c r="J8" s="18" t="s">
        <v>7036</v>
      </c>
      <c r="K8" s="18"/>
      <c r="L8" s="18" t="s">
        <v>7038</v>
      </c>
      <c r="M8" s="11"/>
    </row>
    <row r="9">
      <c r="A9" s="18" t="s">
        <v>1467</v>
      </c>
      <c r="B9" s="18" t="s">
        <v>791</v>
      </c>
      <c r="C9" s="18" t="s">
        <v>1468</v>
      </c>
      <c r="D9" s="18"/>
      <c r="E9" s="24">
        <v>1.0</v>
      </c>
      <c r="F9" s="24">
        <v>1.0</v>
      </c>
      <c r="G9" s="18" t="s">
        <v>1468</v>
      </c>
      <c r="H9" s="18"/>
      <c r="I9" s="24">
        <v>1.0</v>
      </c>
      <c r="J9" s="18" t="s">
        <v>1469</v>
      </c>
      <c r="K9" s="18"/>
      <c r="L9" s="18" t="s">
        <v>1470</v>
      </c>
      <c r="M9" s="11"/>
    </row>
    <row r="10">
      <c r="A10" s="18" t="s">
        <v>1471</v>
      </c>
      <c r="B10" s="18" t="s">
        <v>791</v>
      </c>
      <c r="C10" s="18" t="s">
        <v>1472</v>
      </c>
      <c r="D10" s="18"/>
      <c r="E10" s="24">
        <v>1.0</v>
      </c>
      <c r="F10" s="24">
        <v>1.0</v>
      </c>
      <c r="G10" s="18" t="s">
        <v>1472</v>
      </c>
      <c r="H10" s="18"/>
      <c r="I10" s="24">
        <v>1.0</v>
      </c>
      <c r="J10" s="18" t="s">
        <v>1473</v>
      </c>
      <c r="K10" s="18"/>
      <c r="L10" s="18" t="s">
        <v>1474</v>
      </c>
      <c r="M10" s="11"/>
    </row>
    <row r="11">
      <c r="A11" s="18" t="s">
        <v>1486</v>
      </c>
      <c r="B11" s="18" t="s">
        <v>791</v>
      </c>
      <c r="C11" s="18" t="s">
        <v>1487</v>
      </c>
      <c r="D11" s="18"/>
      <c r="E11" s="24">
        <v>1.0</v>
      </c>
      <c r="F11" s="24">
        <v>1.0</v>
      </c>
      <c r="G11" s="18" t="s">
        <v>1487</v>
      </c>
      <c r="H11" s="18"/>
      <c r="I11" s="24">
        <v>1.0</v>
      </c>
      <c r="J11" s="18" t="s">
        <v>1488</v>
      </c>
      <c r="K11" s="18"/>
      <c r="L11" s="18" t="s">
        <v>1489</v>
      </c>
      <c r="M11" s="11"/>
    </row>
    <row r="12">
      <c r="A12" s="18" t="s">
        <v>1497</v>
      </c>
      <c r="B12" s="18" t="s">
        <v>791</v>
      </c>
      <c r="C12" s="18" t="s">
        <v>1498</v>
      </c>
      <c r="D12" s="18"/>
      <c r="E12" s="24">
        <v>1.0</v>
      </c>
      <c r="F12" s="24">
        <v>1.0</v>
      </c>
      <c r="G12" s="18" t="s">
        <v>1498</v>
      </c>
      <c r="H12" s="18"/>
      <c r="I12" s="24">
        <v>1.0</v>
      </c>
      <c r="J12" s="18" t="s">
        <v>1499</v>
      </c>
      <c r="K12" s="18"/>
      <c r="L12" s="18" t="s">
        <v>84</v>
      </c>
      <c r="M12" s="11"/>
    </row>
    <row r="13">
      <c r="A13" s="18" t="s">
        <v>1500</v>
      </c>
      <c r="B13" s="18" t="s">
        <v>791</v>
      </c>
      <c r="C13" s="18" t="s">
        <v>1501</v>
      </c>
      <c r="D13" s="18"/>
      <c r="E13" s="24">
        <v>1.0</v>
      </c>
      <c r="F13" s="24">
        <v>1.0</v>
      </c>
      <c r="G13" s="18" t="s">
        <v>1501</v>
      </c>
      <c r="H13" s="18"/>
      <c r="I13" s="24">
        <v>1.0</v>
      </c>
      <c r="J13" s="18" t="s">
        <v>1502</v>
      </c>
      <c r="K13" s="18"/>
      <c r="L13" s="18" t="s">
        <v>1503</v>
      </c>
      <c r="M13" s="11"/>
    </row>
    <row r="14">
      <c r="A14" s="18" t="s">
        <v>1544</v>
      </c>
      <c r="B14" s="18" t="s">
        <v>791</v>
      </c>
      <c r="C14" s="18" t="s">
        <v>1541</v>
      </c>
      <c r="D14" s="18"/>
      <c r="E14" s="24">
        <v>1.0</v>
      </c>
      <c r="F14" s="24">
        <v>1.0</v>
      </c>
      <c r="G14" s="18" t="s">
        <v>1541</v>
      </c>
      <c r="H14" s="18"/>
      <c r="I14" s="24">
        <v>1.0</v>
      </c>
      <c r="J14" s="18" t="s">
        <v>1545</v>
      </c>
      <c r="K14" s="18"/>
      <c r="L14" s="18" t="s">
        <v>1546</v>
      </c>
      <c r="M14" s="11"/>
    </row>
    <row r="15">
      <c r="A15" s="18" t="s">
        <v>1564</v>
      </c>
      <c r="B15" s="18" t="s">
        <v>791</v>
      </c>
      <c r="C15" s="18" t="s">
        <v>1565</v>
      </c>
      <c r="D15" s="18"/>
      <c r="E15" s="24">
        <v>1.0</v>
      </c>
      <c r="F15" s="24">
        <v>1.0</v>
      </c>
      <c r="G15" s="18" t="s">
        <v>1565</v>
      </c>
      <c r="H15" s="18"/>
      <c r="I15" s="24">
        <v>1.0</v>
      </c>
      <c r="J15" s="18" t="s">
        <v>1566</v>
      </c>
      <c r="K15" s="18"/>
      <c r="L15" s="18" t="s">
        <v>1489</v>
      </c>
      <c r="M15" s="11"/>
    </row>
    <row r="16">
      <c r="A16" s="18" t="s">
        <v>1567</v>
      </c>
      <c r="B16" s="18" t="s">
        <v>791</v>
      </c>
      <c r="C16" s="18" t="s">
        <v>1568</v>
      </c>
      <c r="D16" s="18"/>
      <c r="E16" s="24">
        <v>1.0</v>
      </c>
      <c r="F16" s="24">
        <v>1.0</v>
      </c>
      <c r="G16" s="18" t="s">
        <v>1568</v>
      </c>
      <c r="H16" s="18"/>
      <c r="I16" s="24">
        <v>1.0</v>
      </c>
      <c r="J16" s="18" t="s">
        <v>1569</v>
      </c>
      <c r="K16" s="18"/>
      <c r="L16" s="18" t="s">
        <v>1489</v>
      </c>
      <c r="M16" s="11"/>
    </row>
    <row r="17">
      <c r="A17" s="18" t="s">
        <v>1574</v>
      </c>
      <c r="B17" s="18" t="s">
        <v>791</v>
      </c>
      <c r="C17" s="18" t="s">
        <v>1575</v>
      </c>
      <c r="D17" s="18"/>
      <c r="E17" s="24">
        <v>1.0</v>
      </c>
      <c r="F17" s="24">
        <v>1.0</v>
      </c>
      <c r="G17" s="18" t="s">
        <v>1575</v>
      </c>
      <c r="H17" s="18"/>
      <c r="I17" s="24">
        <v>1.0</v>
      </c>
      <c r="J17" s="18" t="s">
        <v>1576</v>
      </c>
      <c r="K17" s="18"/>
      <c r="L17" s="18" t="s">
        <v>1503</v>
      </c>
      <c r="M17" s="11"/>
    </row>
    <row r="18">
      <c r="A18" s="18" t="s">
        <v>1577</v>
      </c>
      <c r="B18" s="18" t="s">
        <v>791</v>
      </c>
      <c r="C18" s="18" t="s">
        <v>1578</v>
      </c>
      <c r="D18" s="18"/>
      <c r="E18" s="24">
        <v>1.0</v>
      </c>
      <c r="F18" s="24">
        <v>1.0</v>
      </c>
      <c r="G18" s="18" t="s">
        <v>1578</v>
      </c>
      <c r="H18" s="18"/>
      <c r="I18" s="24">
        <v>1.0</v>
      </c>
      <c r="J18" s="18" t="s">
        <v>1580</v>
      </c>
      <c r="K18" s="18"/>
      <c r="L18" s="18" t="s">
        <v>1503</v>
      </c>
      <c r="M18" s="11"/>
    </row>
    <row r="19">
      <c r="A19" s="18" t="s">
        <v>1587</v>
      </c>
      <c r="B19" s="18" t="s">
        <v>791</v>
      </c>
      <c r="C19" s="18" t="s">
        <v>1588</v>
      </c>
      <c r="D19" s="18"/>
      <c r="E19" s="24">
        <v>1.0</v>
      </c>
      <c r="F19" s="24">
        <v>1.0</v>
      </c>
      <c r="G19" s="18" t="s">
        <v>1588</v>
      </c>
      <c r="H19" s="18"/>
      <c r="I19" s="24">
        <v>1.0</v>
      </c>
      <c r="J19" s="18" t="s">
        <v>1589</v>
      </c>
      <c r="K19" s="18"/>
      <c r="L19" s="18" t="s">
        <v>84</v>
      </c>
      <c r="M19" s="11"/>
    </row>
    <row r="20">
      <c r="A20" s="18" t="s">
        <v>1597</v>
      </c>
      <c r="B20" s="18" t="s">
        <v>791</v>
      </c>
      <c r="C20" s="18" t="s">
        <v>1598</v>
      </c>
      <c r="D20" s="18"/>
      <c r="E20" s="24">
        <v>1.0</v>
      </c>
      <c r="F20" s="24">
        <v>1.0</v>
      </c>
      <c r="G20" s="18" t="s">
        <v>1598</v>
      </c>
      <c r="H20" s="18"/>
      <c r="I20" s="24">
        <v>1.0</v>
      </c>
      <c r="J20" s="18" t="s">
        <v>1599</v>
      </c>
      <c r="K20" s="18"/>
      <c r="L20" s="18" t="s">
        <v>1503</v>
      </c>
      <c r="M20" s="11"/>
    </row>
    <row r="21">
      <c r="A21" s="18" t="s">
        <v>1600</v>
      </c>
      <c r="B21" s="18" t="s">
        <v>791</v>
      </c>
      <c r="C21" s="18" t="s">
        <v>1601</v>
      </c>
      <c r="D21" s="18"/>
      <c r="E21" s="24">
        <v>1.0</v>
      </c>
      <c r="F21" s="24">
        <v>1.0</v>
      </c>
      <c r="G21" s="18" t="s">
        <v>1601</v>
      </c>
      <c r="H21" s="18"/>
      <c r="I21" s="24">
        <v>1.0</v>
      </c>
      <c r="J21" s="18" t="s">
        <v>1602</v>
      </c>
      <c r="K21" s="18"/>
      <c r="L21" s="18" t="s">
        <v>84</v>
      </c>
      <c r="M21" s="11"/>
    </row>
    <row r="22">
      <c r="A22" s="18" t="s">
        <v>1624</v>
      </c>
      <c r="B22" s="18" t="s">
        <v>791</v>
      </c>
      <c r="C22" s="18" t="s">
        <v>1625</v>
      </c>
      <c r="D22" s="18"/>
      <c r="E22" s="24">
        <v>1.0</v>
      </c>
      <c r="F22" s="24">
        <v>1.0</v>
      </c>
      <c r="G22" s="18" t="s">
        <v>1625</v>
      </c>
      <c r="H22" s="18"/>
      <c r="I22" s="24">
        <v>1.0</v>
      </c>
      <c r="J22" s="18" t="s">
        <v>1626</v>
      </c>
      <c r="K22" s="18"/>
      <c r="L22" s="18" t="s">
        <v>1489</v>
      </c>
      <c r="M22" s="11"/>
    </row>
    <row r="23">
      <c r="A23" s="18" t="s">
        <v>1655</v>
      </c>
      <c r="B23" s="18" t="s">
        <v>791</v>
      </c>
      <c r="C23" s="18" t="s">
        <v>1657</v>
      </c>
      <c r="D23" s="18"/>
      <c r="E23" s="24">
        <v>1.0</v>
      </c>
      <c r="F23" s="24">
        <v>1.0</v>
      </c>
      <c r="G23" s="18" t="s">
        <v>1657</v>
      </c>
      <c r="H23" s="18"/>
      <c r="I23" s="24">
        <v>1.0</v>
      </c>
      <c r="J23" s="18" t="s">
        <v>1658</v>
      </c>
      <c r="K23" s="18"/>
      <c r="L23" s="18" t="s">
        <v>1546</v>
      </c>
      <c r="M23" s="11"/>
    </row>
    <row r="24">
      <c r="A24" s="18" t="s">
        <v>1659</v>
      </c>
      <c r="B24" s="18" t="s">
        <v>791</v>
      </c>
      <c r="C24" s="18" t="s">
        <v>1660</v>
      </c>
      <c r="D24" s="18"/>
      <c r="E24" s="24">
        <v>1.0</v>
      </c>
      <c r="F24" s="24">
        <v>1.0</v>
      </c>
      <c r="G24" s="18" t="s">
        <v>1660</v>
      </c>
      <c r="H24" s="18"/>
      <c r="I24" s="24">
        <v>1.0</v>
      </c>
      <c r="J24" s="18" t="s">
        <v>1661</v>
      </c>
      <c r="K24" s="18"/>
      <c r="L24" s="18" t="s">
        <v>84</v>
      </c>
      <c r="M24" s="11"/>
    </row>
    <row r="25">
      <c r="A25" s="18" t="s">
        <v>1670</v>
      </c>
      <c r="B25" s="18" t="s">
        <v>791</v>
      </c>
      <c r="C25" s="18" t="s">
        <v>1671</v>
      </c>
      <c r="D25" s="18"/>
      <c r="E25" s="24">
        <v>1.0</v>
      </c>
      <c r="F25" s="24">
        <v>1.0</v>
      </c>
      <c r="G25" s="18" t="s">
        <v>1671</v>
      </c>
      <c r="H25" s="18"/>
      <c r="I25" s="24">
        <v>1.0</v>
      </c>
      <c r="J25" s="18" t="s">
        <v>1672</v>
      </c>
      <c r="K25" s="18"/>
      <c r="L25" s="18" t="s">
        <v>1673</v>
      </c>
      <c r="M25" s="11"/>
    </row>
    <row r="26">
      <c r="A26" s="18" t="s">
        <v>1690</v>
      </c>
      <c r="B26" s="18" t="s">
        <v>791</v>
      </c>
      <c r="C26" s="18" t="s">
        <v>1691</v>
      </c>
      <c r="D26" s="18"/>
      <c r="E26" s="24">
        <v>1.0</v>
      </c>
      <c r="F26" s="24">
        <v>1.0</v>
      </c>
      <c r="G26" s="18" t="s">
        <v>1691</v>
      </c>
      <c r="H26" s="18"/>
      <c r="I26" s="24">
        <v>1.0</v>
      </c>
      <c r="J26" s="18" t="s">
        <v>1692</v>
      </c>
      <c r="K26" s="18"/>
      <c r="L26" s="18" t="s">
        <v>1470</v>
      </c>
      <c r="M26" s="11"/>
    </row>
    <row r="27">
      <c r="A27" s="18" t="s">
        <v>1716</v>
      </c>
      <c r="B27" s="18" t="s">
        <v>791</v>
      </c>
      <c r="C27" s="18" t="s">
        <v>1717</v>
      </c>
      <c r="D27" s="18"/>
      <c r="E27" s="24">
        <v>1.0</v>
      </c>
      <c r="F27" s="24">
        <v>1.0</v>
      </c>
      <c r="G27" s="18" t="s">
        <v>1717</v>
      </c>
      <c r="H27" s="18"/>
      <c r="I27" s="24">
        <v>1.0</v>
      </c>
      <c r="J27" s="18" t="s">
        <v>1718</v>
      </c>
      <c r="K27" s="18"/>
      <c r="L27" s="18" t="s">
        <v>1470</v>
      </c>
      <c r="M27" s="11"/>
    </row>
    <row r="28">
      <c r="A28" s="18" t="s">
        <v>1751</v>
      </c>
      <c r="B28" s="18" t="s">
        <v>791</v>
      </c>
      <c r="C28" s="18" t="s">
        <v>1752</v>
      </c>
      <c r="D28" s="18"/>
      <c r="E28" s="24">
        <v>1.0</v>
      </c>
      <c r="F28" s="24">
        <v>1.0</v>
      </c>
      <c r="G28" s="18" t="s">
        <v>1752</v>
      </c>
      <c r="H28" s="18"/>
      <c r="I28" s="24">
        <v>1.0</v>
      </c>
      <c r="J28" s="18" t="s">
        <v>1753</v>
      </c>
      <c r="K28" s="18"/>
      <c r="L28" s="18" t="s">
        <v>1673</v>
      </c>
      <c r="M28" s="11"/>
    </row>
    <row r="29">
      <c r="A29" s="18" t="s">
        <v>1771</v>
      </c>
      <c r="B29" s="18" t="s">
        <v>791</v>
      </c>
      <c r="C29" s="18" t="s">
        <v>1772</v>
      </c>
      <c r="D29" s="18"/>
      <c r="E29" s="24">
        <v>1.0</v>
      </c>
      <c r="F29" s="24">
        <v>1.0</v>
      </c>
      <c r="G29" s="18" t="s">
        <v>1772</v>
      </c>
      <c r="H29" s="18"/>
      <c r="I29" s="24">
        <v>1.0</v>
      </c>
      <c r="J29" s="18" t="s">
        <v>1773</v>
      </c>
      <c r="K29" s="18"/>
      <c r="L29" s="18" t="s">
        <v>1470</v>
      </c>
      <c r="M29" s="11"/>
    </row>
    <row r="30">
      <c r="A30" s="18" t="s">
        <v>1818</v>
      </c>
      <c r="B30" s="18" t="s">
        <v>791</v>
      </c>
      <c r="C30" s="18" t="s">
        <v>1819</v>
      </c>
      <c r="D30" s="18"/>
      <c r="E30" s="24">
        <v>1.0</v>
      </c>
      <c r="F30" s="24">
        <v>1.0</v>
      </c>
      <c r="G30" s="18" t="s">
        <v>1819</v>
      </c>
      <c r="H30" s="18"/>
      <c r="I30" s="24">
        <v>1.0</v>
      </c>
      <c r="J30" s="18" t="s">
        <v>1820</v>
      </c>
      <c r="K30" s="18"/>
      <c r="L30" s="18" t="s">
        <v>1673</v>
      </c>
      <c r="M30" s="11"/>
    </row>
    <row r="31">
      <c r="A31" s="18" t="s">
        <v>1821</v>
      </c>
      <c r="B31" s="18" t="s">
        <v>791</v>
      </c>
      <c r="C31" s="18" t="s">
        <v>1822</v>
      </c>
      <c r="D31" s="18"/>
      <c r="E31" s="24">
        <v>1.0</v>
      </c>
      <c r="F31" s="24">
        <v>1.0</v>
      </c>
      <c r="G31" s="18" t="s">
        <v>1822</v>
      </c>
      <c r="H31" s="18"/>
      <c r="I31" s="24">
        <v>1.0</v>
      </c>
      <c r="J31" s="18" t="s">
        <v>1823</v>
      </c>
      <c r="K31" s="18"/>
      <c r="L31" s="18" t="s">
        <v>1474</v>
      </c>
      <c r="M31" s="11"/>
    </row>
    <row r="32">
      <c r="A32" s="18" t="s">
        <v>1855</v>
      </c>
      <c r="B32" s="18" t="s">
        <v>791</v>
      </c>
      <c r="C32" s="18" t="s">
        <v>1856</v>
      </c>
      <c r="D32" s="18"/>
      <c r="E32" s="24">
        <v>1.0</v>
      </c>
      <c r="F32" s="24">
        <v>1.0</v>
      </c>
      <c r="G32" s="18" t="s">
        <v>1856</v>
      </c>
      <c r="H32" s="18"/>
      <c r="I32" s="24">
        <v>1.0</v>
      </c>
      <c r="J32" s="18" t="s">
        <v>1857</v>
      </c>
      <c r="K32" s="18"/>
      <c r="L32" s="18" t="s">
        <v>1466</v>
      </c>
      <c r="M32" s="11"/>
    </row>
    <row r="33">
      <c r="A33" s="18" t="s">
        <v>1874</v>
      </c>
      <c r="B33" s="18" t="s">
        <v>791</v>
      </c>
      <c r="C33" s="18" t="s">
        <v>1875</v>
      </c>
      <c r="D33" s="18"/>
      <c r="E33" s="24">
        <v>1.0</v>
      </c>
      <c r="F33" s="24">
        <v>1.0</v>
      </c>
      <c r="G33" s="18" t="s">
        <v>1875</v>
      </c>
      <c r="H33" s="18"/>
      <c r="I33" s="24">
        <v>1.0</v>
      </c>
      <c r="J33" s="18" t="s">
        <v>1876</v>
      </c>
      <c r="K33" s="18"/>
      <c r="L33" s="18" t="s">
        <v>1673</v>
      </c>
      <c r="M33" s="11"/>
    </row>
    <row r="34">
      <c r="A34" s="18" t="s">
        <v>1882</v>
      </c>
      <c r="B34" s="18" t="s">
        <v>791</v>
      </c>
      <c r="C34" s="18" t="s">
        <v>1883</v>
      </c>
      <c r="D34" s="18"/>
      <c r="E34" s="24">
        <v>1.0</v>
      </c>
      <c r="F34" s="24">
        <v>1.0</v>
      </c>
      <c r="G34" s="18" t="s">
        <v>1883</v>
      </c>
      <c r="H34" s="18"/>
      <c r="I34" s="24">
        <v>1.0</v>
      </c>
      <c r="J34" s="18" t="s">
        <v>1884</v>
      </c>
      <c r="K34" s="18"/>
      <c r="L34" s="18" t="s">
        <v>1673</v>
      </c>
      <c r="M34" s="11"/>
    </row>
    <row r="35">
      <c r="A35" s="18" t="s">
        <v>1919</v>
      </c>
      <c r="B35" s="18" t="s">
        <v>791</v>
      </c>
      <c r="C35" s="18" t="s">
        <v>1920</v>
      </c>
      <c r="D35" s="18"/>
      <c r="E35" s="24">
        <v>1.0</v>
      </c>
      <c r="F35" s="24">
        <v>1.0</v>
      </c>
      <c r="G35" s="18" t="s">
        <v>1920</v>
      </c>
      <c r="H35" s="18"/>
      <c r="I35" s="24">
        <v>1.0</v>
      </c>
      <c r="J35" s="18" t="s">
        <v>1921</v>
      </c>
      <c r="K35" s="18"/>
      <c r="L35" s="18" t="s">
        <v>1466</v>
      </c>
      <c r="M35" s="11"/>
    </row>
    <row r="36">
      <c r="A36" s="18" t="s">
        <v>1929</v>
      </c>
      <c r="B36" s="18" t="s">
        <v>791</v>
      </c>
      <c r="C36" s="18" t="s">
        <v>1930</v>
      </c>
      <c r="D36" s="18"/>
      <c r="E36" s="24">
        <v>1.0</v>
      </c>
      <c r="F36" s="24">
        <v>1.0</v>
      </c>
      <c r="G36" s="18" t="s">
        <v>1930</v>
      </c>
      <c r="H36" s="18"/>
      <c r="I36" s="24">
        <v>1.0</v>
      </c>
      <c r="J36" s="18" t="s">
        <v>1931</v>
      </c>
      <c r="K36" s="18"/>
      <c r="L36" s="18" t="s">
        <v>1474</v>
      </c>
      <c r="M36" s="11"/>
    </row>
    <row r="37">
      <c r="A37" s="18" t="s">
        <v>1943</v>
      </c>
      <c r="B37" s="18" t="s">
        <v>791</v>
      </c>
      <c r="C37" s="18" t="s">
        <v>1944</v>
      </c>
      <c r="D37" s="18"/>
      <c r="E37" s="24">
        <v>1.0</v>
      </c>
      <c r="F37" s="24">
        <v>1.0</v>
      </c>
      <c r="G37" s="18" t="s">
        <v>1944</v>
      </c>
      <c r="H37" s="18"/>
      <c r="I37" s="24">
        <v>1.0</v>
      </c>
      <c r="J37" s="18" t="s">
        <v>1945</v>
      </c>
      <c r="K37" s="18"/>
      <c r="L37" s="18" t="s">
        <v>1546</v>
      </c>
      <c r="M37" s="11"/>
    </row>
    <row r="38">
      <c r="A38" s="18" t="s">
        <v>1952</v>
      </c>
      <c r="B38" s="18" t="s">
        <v>791</v>
      </c>
      <c r="C38" s="18" t="s">
        <v>1953</v>
      </c>
      <c r="D38" s="18"/>
      <c r="E38" s="24">
        <v>1.0</v>
      </c>
      <c r="F38" s="24">
        <v>1.0</v>
      </c>
      <c r="G38" s="18" t="s">
        <v>1953</v>
      </c>
      <c r="H38" s="18"/>
      <c r="I38" s="24">
        <v>1.0</v>
      </c>
      <c r="J38" s="18" t="s">
        <v>1954</v>
      </c>
      <c r="K38" s="18"/>
      <c r="L38" s="18" t="s">
        <v>1474</v>
      </c>
      <c r="M38" s="11"/>
    </row>
    <row r="39">
      <c r="A39" s="18" t="s">
        <v>1962</v>
      </c>
      <c r="B39" s="18" t="s">
        <v>791</v>
      </c>
      <c r="C39" s="18" t="s">
        <v>1963</v>
      </c>
      <c r="D39" s="18"/>
      <c r="E39" s="24">
        <v>1.0</v>
      </c>
      <c r="F39" s="24">
        <v>1.0</v>
      </c>
      <c r="G39" s="18" t="s">
        <v>1963</v>
      </c>
      <c r="H39" s="18"/>
      <c r="I39" s="24">
        <v>1.0</v>
      </c>
      <c r="J39" s="18" t="s">
        <v>1964</v>
      </c>
      <c r="K39" s="18"/>
      <c r="L39" s="18" t="s">
        <v>1546</v>
      </c>
      <c r="M39" s="11"/>
    </row>
    <row r="40">
      <c r="A40" s="18" t="s">
        <v>2004</v>
      </c>
      <c r="B40" s="18" t="s">
        <v>791</v>
      </c>
      <c r="C40" s="18" t="s">
        <v>2005</v>
      </c>
      <c r="D40" s="18"/>
      <c r="E40" s="24">
        <v>1.0</v>
      </c>
      <c r="F40" s="24">
        <v>1.0</v>
      </c>
      <c r="G40" s="18" t="s">
        <v>2005</v>
      </c>
      <c r="H40" s="18"/>
      <c r="I40" s="24">
        <v>1.0</v>
      </c>
      <c r="J40" s="18" t="s">
        <v>2006</v>
      </c>
      <c r="K40" s="18"/>
      <c r="L40" s="18" t="s">
        <v>1546</v>
      </c>
      <c r="M40" s="11"/>
    </row>
    <row r="41">
      <c r="A41" s="18" t="s">
        <v>2007</v>
      </c>
      <c r="B41" s="18" t="s">
        <v>791</v>
      </c>
      <c r="C41" s="18" t="s">
        <v>2008</v>
      </c>
      <c r="D41" s="18"/>
      <c r="E41" s="24">
        <v>1.0</v>
      </c>
      <c r="F41" s="24">
        <v>1.0</v>
      </c>
      <c r="G41" s="18" t="s">
        <v>2008</v>
      </c>
      <c r="H41" s="18"/>
      <c r="I41" s="24">
        <v>1.0</v>
      </c>
      <c r="J41" s="18" t="s">
        <v>2009</v>
      </c>
      <c r="K41" s="18"/>
      <c r="L41" s="18" t="s">
        <v>1489</v>
      </c>
      <c r="M41" s="11"/>
    </row>
    <row r="42">
      <c r="A42" s="18" t="s">
        <v>2010</v>
      </c>
      <c r="B42" s="18" t="s">
        <v>791</v>
      </c>
      <c r="C42" s="18" t="s">
        <v>2011</v>
      </c>
      <c r="D42" s="18"/>
      <c r="E42" s="24">
        <v>1.0</v>
      </c>
      <c r="F42" s="24">
        <v>1.0</v>
      </c>
      <c r="G42" s="18" t="s">
        <v>2011</v>
      </c>
      <c r="H42" s="18"/>
      <c r="I42" s="24">
        <v>1.0</v>
      </c>
      <c r="J42" s="18" t="s">
        <v>2012</v>
      </c>
      <c r="K42" s="18"/>
      <c r="L42" s="18" t="s">
        <v>2013</v>
      </c>
      <c r="M42" s="11"/>
    </row>
    <row r="43">
      <c r="A43" s="18" t="s">
        <v>2023</v>
      </c>
      <c r="B43" s="18" t="s">
        <v>791</v>
      </c>
      <c r="C43" s="18" t="s">
        <v>2024</v>
      </c>
      <c r="D43" s="18"/>
      <c r="E43" s="24">
        <v>1.0</v>
      </c>
      <c r="F43" s="24">
        <v>1.0</v>
      </c>
      <c r="G43" s="18" t="s">
        <v>2024</v>
      </c>
      <c r="H43" s="18"/>
      <c r="I43" s="24">
        <v>1.0</v>
      </c>
      <c r="J43" s="18" t="s">
        <v>2026</v>
      </c>
      <c r="K43" s="18"/>
      <c r="L43" s="18" t="s">
        <v>2013</v>
      </c>
      <c r="M43" s="11"/>
    </row>
    <row r="44">
      <c r="A44" s="18" t="s">
        <v>2246</v>
      </c>
      <c r="B44" s="18" t="s">
        <v>791</v>
      </c>
      <c r="C44" s="18" t="s">
        <v>2247</v>
      </c>
      <c r="D44" s="18"/>
      <c r="E44" s="24">
        <v>1.0</v>
      </c>
      <c r="F44" s="24">
        <v>1.0</v>
      </c>
      <c r="G44" s="18" t="s">
        <v>2247</v>
      </c>
      <c r="H44" s="18"/>
      <c r="I44" s="24">
        <v>1.0</v>
      </c>
      <c r="J44" s="18" t="s">
        <v>2248</v>
      </c>
      <c r="K44" s="18"/>
      <c r="L44" s="18" t="s">
        <v>1474</v>
      </c>
      <c r="M44" s="11"/>
    </row>
    <row r="45">
      <c r="A45" s="18" t="s">
        <v>2270</v>
      </c>
      <c r="B45" s="18" t="s">
        <v>791</v>
      </c>
      <c r="C45" s="18" t="s">
        <v>2271</v>
      </c>
      <c r="D45" s="18"/>
      <c r="E45" s="24">
        <v>1.0</v>
      </c>
      <c r="F45" s="24">
        <v>1.0</v>
      </c>
      <c r="G45" s="18" t="s">
        <v>2271</v>
      </c>
      <c r="H45" s="18"/>
      <c r="I45" s="24">
        <v>1.0</v>
      </c>
      <c r="J45" s="18" t="s">
        <v>2272</v>
      </c>
      <c r="K45" s="18"/>
      <c r="L45" s="18" t="s">
        <v>2013</v>
      </c>
      <c r="M45" s="11"/>
    </row>
    <row r="46">
      <c r="A46" s="18" t="s">
        <v>2279</v>
      </c>
      <c r="B46" s="18" t="s">
        <v>791</v>
      </c>
      <c r="C46" s="18" t="s">
        <v>2280</v>
      </c>
      <c r="D46" s="18"/>
      <c r="E46" s="24">
        <v>1.0</v>
      </c>
      <c r="F46" s="24">
        <v>1.0</v>
      </c>
      <c r="G46" s="18" t="s">
        <v>2280</v>
      </c>
      <c r="H46" s="18"/>
      <c r="I46" s="24">
        <v>1.0</v>
      </c>
      <c r="J46" s="24">
        <v>3.52105311233002E15</v>
      </c>
      <c r="K46" s="18"/>
      <c r="L46" s="18" t="s">
        <v>1489</v>
      </c>
      <c r="M46" s="11"/>
    </row>
    <row r="47">
      <c r="A47" s="18" t="s">
        <v>2291</v>
      </c>
      <c r="B47" s="18" t="s">
        <v>791</v>
      </c>
      <c r="C47" s="18" t="s">
        <v>2292</v>
      </c>
      <c r="D47" s="18"/>
      <c r="E47" s="24">
        <v>1.0</v>
      </c>
      <c r="F47" s="24">
        <v>1.0</v>
      </c>
      <c r="G47" s="18" t="s">
        <v>2292</v>
      </c>
      <c r="H47" s="18"/>
      <c r="I47" s="24">
        <v>1.0</v>
      </c>
      <c r="J47" s="18" t="s">
        <v>2293</v>
      </c>
      <c r="K47" s="18"/>
      <c r="L47" s="18" t="s">
        <v>1546</v>
      </c>
      <c r="M47" s="11"/>
    </row>
    <row r="48">
      <c r="A48" s="18" t="s">
        <v>2359</v>
      </c>
      <c r="B48" s="18" t="s">
        <v>791</v>
      </c>
      <c r="C48" s="18" t="s">
        <v>2360</v>
      </c>
      <c r="D48" s="18"/>
      <c r="E48" s="24">
        <v>1.0</v>
      </c>
      <c r="F48" s="24">
        <v>1.0</v>
      </c>
      <c r="G48" s="18" t="s">
        <v>2360</v>
      </c>
      <c r="H48" s="18"/>
      <c r="I48" s="24">
        <v>1.0</v>
      </c>
      <c r="J48" s="18" t="s">
        <v>2361</v>
      </c>
      <c r="K48" s="18"/>
      <c r="L48" s="18" t="s">
        <v>2013</v>
      </c>
      <c r="M48" s="11"/>
    </row>
    <row r="49">
      <c r="A49" s="18" t="s">
        <v>2757</v>
      </c>
      <c r="B49" s="18" t="s">
        <v>791</v>
      </c>
      <c r="C49" s="18" t="s">
        <v>2758</v>
      </c>
      <c r="D49" s="18"/>
      <c r="E49" s="24">
        <v>1.0</v>
      </c>
      <c r="F49" s="24">
        <v>1.0</v>
      </c>
      <c r="G49" s="18" t="s">
        <v>2758</v>
      </c>
      <c r="H49" s="18"/>
      <c r="I49" s="24">
        <v>1.0</v>
      </c>
      <c r="J49" s="18" t="s">
        <v>2759</v>
      </c>
      <c r="K49" s="18"/>
      <c r="L49" s="18" t="s">
        <v>2013</v>
      </c>
      <c r="M49" s="11"/>
    </row>
    <row r="50">
      <c r="A50" s="18" t="s">
        <v>2769</v>
      </c>
      <c r="B50" s="18" t="s">
        <v>791</v>
      </c>
      <c r="C50" s="18" t="s">
        <v>2770</v>
      </c>
      <c r="D50" s="18"/>
      <c r="E50" s="24">
        <v>1.0</v>
      </c>
      <c r="F50" s="24">
        <v>1.0</v>
      </c>
      <c r="G50" s="18" t="s">
        <v>2770</v>
      </c>
      <c r="H50" s="18"/>
      <c r="I50" s="24">
        <v>1.0</v>
      </c>
      <c r="J50" s="18" t="s">
        <v>2771</v>
      </c>
      <c r="K50" s="18"/>
      <c r="L50" s="18" t="s">
        <v>2013</v>
      </c>
      <c r="M50" s="11"/>
    </row>
    <row r="51">
      <c r="A51" s="18" t="s">
        <v>2803</v>
      </c>
      <c r="B51" s="18" t="s">
        <v>791</v>
      </c>
      <c r="C51" s="18" t="s">
        <v>2804</v>
      </c>
      <c r="D51" s="18"/>
      <c r="E51" s="24">
        <v>1.0</v>
      </c>
      <c r="F51" s="24">
        <v>1.0</v>
      </c>
      <c r="G51" s="18" t="s">
        <v>2804</v>
      </c>
      <c r="H51" s="18"/>
      <c r="I51" s="24">
        <v>1.0</v>
      </c>
      <c r="J51" s="18" t="s">
        <v>2805</v>
      </c>
      <c r="K51" s="18"/>
      <c r="L51" s="18" t="s">
        <v>1673</v>
      </c>
      <c r="M51" s="11"/>
    </row>
    <row r="52">
      <c r="A52" s="18" t="s">
        <v>4515</v>
      </c>
      <c r="B52" s="18" t="s">
        <v>791</v>
      </c>
      <c r="C52" s="18" t="s">
        <v>4517</v>
      </c>
      <c r="D52" s="18"/>
      <c r="E52" s="24">
        <v>1.0</v>
      </c>
      <c r="F52" s="24">
        <v>1.0</v>
      </c>
      <c r="G52" s="18" t="s">
        <v>4517</v>
      </c>
      <c r="H52" s="18"/>
      <c r="I52" s="24">
        <v>1.0</v>
      </c>
      <c r="J52" s="18" t="s">
        <v>4518</v>
      </c>
      <c r="K52" s="18"/>
      <c r="L52" s="18" t="s">
        <v>3178</v>
      </c>
      <c r="M52" s="11"/>
    </row>
    <row r="53">
      <c r="A53" s="18" t="s">
        <v>1627</v>
      </c>
      <c r="B53" s="18" t="s">
        <v>791</v>
      </c>
      <c r="C53" s="18" t="s">
        <v>1628</v>
      </c>
      <c r="D53" s="18"/>
      <c r="E53" s="24">
        <v>2.0</v>
      </c>
      <c r="F53" s="24">
        <v>1.0</v>
      </c>
      <c r="G53" s="18" t="s">
        <v>1628</v>
      </c>
      <c r="H53" s="18"/>
      <c r="I53" s="24">
        <v>2.0</v>
      </c>
      <c r="J53" s="18" t="s">
        <v>1629</v>
      </c>
      <c r="K53" s="18"/>
      <c r="L53" s="18" t="s">
        <v>1546</v>
      </c>
      <c r="M53" s="11"/>
    </row>
    <row r="54">
      <c r="A54" s="18" t="s">
        <v>4812</v>
      </c>
      <c r="B54" s="18" t="s">
        <v>791</v>
      </c>
      <c r="C54" s="18" t="s">
        <v>4813</v>
      </c>
      <c r="D54" s="18"/>
      <c r="E54" s="24">
        <v>2.0</v>
      </c>
      <c r="F54" s="24">
        <v>1.0</v>
      </c>
      <c r="G54" s="18" t="s">
        <v>4813</v>
      </c>
      <c r="H54" s="18"/>
      <c r="I54" s="24">
        <v>2.0</v>
      </c>
      <c r="J54" s="18" t="s">
        <v>4814</v>
      </c>
      <c r="K54" s="18"/>
      <c r="L54" s="18" t="s">
        <v>3178</v>
      </c>
      <c r="M54" s="11"/>
    </row>
    <row r="55">
      <c r="A55" s="18" t="s">
        <v>6901</v>
      </c>
      <c r="B55" s="18" t="s">
        <v>791</v>
      </c>
      <c r="C55" s="18" t="s">
        <v>6902</v>
      </c>
      <c r="D55" s="18"/>
      <c r="E55" s="24">
        <v>2.0</v>
      </c>
      <c r="F55" s="24">
        <v>1.0</v>
      </c>
      <c r="G55" s="18" t="s">
        <v>6902</v>
      </c>
      <c r="H55" s="18"/>
      <c r="I55" s="24">
        <v>2.0</v>
      </c>
      <c r="J55" s="18" t="s">
        <v>6903</v>
      </c>
      <c r="K55" s="18"/>
      <c r="L55" s="18" t="s">
        <v>3178</v>
      </c>
      <c r="M55" s="11"/>
    </row>
    <row r="56">
      <c r="A56" s="18" t="s">
        <v>7135</v>
      </c>
      <c r="B56" s="18" t="s">
        <v>791</v>
      </c>
      <c r="C56" s="18" t="s">
        <v>7136</v>
      </c>
      <c r="D56" s="18"/>
      <c r="E56" s="24">
        <v>2.0</v>
      </c>
      <c r="F56" s="24">
        <v>1.0</v>
      </c>
      <c r="G56" s="18" t="s">
        <v>7136</v>
      </c>
      <c r="H56" s="18"/>
      <c r="I56" s="24">
        <v>2.0</v>
      </c>
      <c r="J56" s="18" t="s">
        <v>7137</v>
      </c>
      <c r="K56" s="18"/>
      <c r="L56" s="18" t="s">
        <v>1466</v>
      </c>
      <c r="M56" s="11"/>
    </row>
    <row r="57">
      <c r="A57" s="18" t="s">
        <v>4907</v>
      </c>
      <c r="B57" s="18" t="s">
        <v>791</v>
      </c>
      <c r="C57" s="18" t="s">
        <v>4908</v>
      </c>
      <c r="D57" s="18"/>
      <c r="E57" s="24">
        <v>8.19732922E8</v>
      </c>
      <c r="F57" s="24">
        <v>1.0</v>
      </c>
      <c r="G57" s="18" t="s">
        <v>4908</v>
      </c>
      <c r="H57" s="18"/>
      <c r="I57" s="24">
        <v>8.19732922E8</v>
      </c>
      <c r="J57" s="18" t="s">
        <v>4909</v>
      </c>
      <c r="K57" s="18"/>
      <c r="L57" s="18" t="s">
        <v>2189</v>
      </c>
      <c r="M57" s="11"/>
    </row>
    <row r="58">
      <c r="A58" s="18" t="s">
        <v>6340</v>
      </c>
      <c r="B58" s="18" t="s">
        <v>791</v>
      </c>
      <c r="C58" s="18" t="s">
        <v>6341</v>
      </c>
      <c r="D58" s="18"/>
      <c r="E58" s="24">
        <v>8.19732922E8</v>
      </c>
      <c r="F58" s="24">
        <v>1.0</v>
      </c>
      <c r="G58" s="18" t="s">
        <v>6341</v>
      </c>
      <c r="H58" s="18"/>
      <c r="I58" s="24">
        <v>8.19732922E8</v>
      </c>
      <c r="J58" s="18" t="s">
        <v>6342</v>
      </c>
      <c r="K58" s="18"/>
      <c r="L58" s="18" t="s">
        <v>2189</v>
      </c>
      <c r="M58" s="11"/>
    </row>
    <row r="59">
      <c r="A59" s="18" t="s">
        <v>2609</v>
      </c>
      <c r="B59" s="18" t="s">
        <v>791</v>
      </c>
      <c r="C59" s="18" t="s">
        <v>2610</v>
      </c>
      <c r="D59" s="18"/>
      <c r="E59" s="24">
        <v>3.517009416E9</v>
      </c>
      <c r="F59" s="24">
        <v>1.0</v>
      </c>
      <c r="G59" s="18" t="s">
        <v>2610</v>
      </c>
      <c r="H59" s="18"/>
      <c r="I59" s="24">
        <v>3.517009416E9</v>
      </c>
      <c r="J59" s="18" t="s">
        <v>2611</v>
      </c>
      <c r="K59" s="18"/>
      <c r="L59" s="18" t="s">
        <v>2308</v>
      </c>
      <c r="M59" s="11"/>
    </row>
    <row r="60">
      <c r="A60" s="18" t="s">
        <v>4344</v>
      </c>
      <c r="B60" s="18" t="s">
        <v>791</v>
      </c>
      <c r="C60" s="18" t="s">
        <v>4345</v>
      </c>
      <c r="D60" s="18"/>
      <c r="E60" s="24">
        <v>3.517009416E9</v>
      </c>
      <c r="F60" s="24">
        <v>1.0</v>
      </c>
      <c r="G60" s="18" t="s">
        <v>4345</v>
      </c>
      <c r="H60" s="18"/>
      <c r="I60" s="24">
        <v>3.517009416E9</v>
      </c>
      <c r="J60" s="18" t="s">
        <v>4347</v>
      </c>
      <c r="K60" s="18"/>
      <c r="L60" s="18" t="s">
        <v>2308</v>
      </c>
      <c r="M60" s="11"/>
    </row>
    <row r="61">
      <c r="A61" s="18" t="s">
        <v>7143</v>
      </c>
      <c r="B61" s="18" t="s">
        <v>791</v>
      </c>
      <c r="C61" s="18" t="s">
        <v>7144</v>
      </c>
      <c r="D61" s="18"/>
      <c r="E61" s="24">
        <v>8.123427222E9</v>
      </c>
      <c r="F61" s="24">
        <v>1.0</v>
      </c>
      <c r="G61" s="18" t="s">
        <v>7144</v>
      </c>
      <c r="H61" s="18"/>
      <c r="I61" s="24">
        <v>8.123427222E9</v>
      </c>
      <c r="J61" s="18" t="s">
        <v>7146</v>
      </c>
      <c r="K61" s="18"/>
      <c r="L61" s="18" t="s">
        <v>3792</v>
      </c>
      <c r="M61" s="11"/>
    </row>
    <row r="62">
      <c r="A62" s="18" t="s">
        <v>5065</v>
      </c>
      <c r="B62" s="18" t="s">
        <v>791</v>
      </c>
      <c r="C62" s="18" t="s">
        <v>5066</v>
      </c>
      <c r="D62" s="18"/>
      <c r="E62" s="24">
        <v>8.125904136E9</v>
      </c>
      <c r="F62" s="24">
        <v>1.0</v>
      </c>
      <c r="G62" s="18" t="s">
        <v>5066</v>
      </c>
      <c r="H62" s="18"/>
      <c r="I62" s="24">
        <v>8.125904136E9</v>
      </c>
      <c r="J62" s="18" t="s">
        <v>5067</v>
      </c>
      <c r="K62" s="18"/>
      <c r="L62" s="18" t="s">
        <v>2125</v>
      </c>
      <c r="M62" s="11"/>
    </row>
    <row r="63">
      <c r="A63" s="18" t="s">
        <v>5991</v>
      </c>
      <c r="B63" s="18" t="s">
        <v>791</v>
      </c>
      <c r="C63" s="18" t="s">
        <v>5989</v>
      </c>
      <c r="D63" s="18"/>
      <c r="E63" s="24">
        <v>8.125904136E9</v>
      </c>
      <c r="F63" s="24">
        <v>1.0</v>
      </c>
      <c r="G63" s="18" t="s">
        <v>5989</v>
      </c>
      <c r="H63" s="18"/>
      <c r="I63" s="24">
        <v>8.125904136E9</v>
      </c>
      <c r="J63" s="18" t="s">
        <v>5993</v>
      </c>
      <c r="K63" s="18"/>
      <c r="L63" s="18" t="s">
        <v>2125</v>
      </c>
      <c r="M63" s="11"/>
    </row>
    <row r="64">
      <c r="A64" s="18" t="s">
        <v>4863</v>
      </c>
      <c r="B64" s="18" t="s">
        <v>791</v>
      </c>
      <c r="C64" s="18" t="s">
        <v>4864</v>
      </c>
      <c r="D64" s="18"/>
      <c r="E64" s="24">
        <v>8.12592628E9</v>
      </c>
      <c r="F64" s="24">
        <v>1.0</v>
      </c>
      <c r="G64" s="18" t="s">
        <v>4864</v>
      </c>
      <c r="H64" s="18"/>
      <c r="I64" s="24">
        <v>8.12592628E9</v>
      </c>
      <c r="J64" s="18" t="s">
        <v>4865</v>
      </c>
      <c r="K64" s="18"/>
      <c r="L64" s="18" t="s">
        <v>4866</v>
      </c>
      <c r="M64" s="11"/>
    </row>
    <row r="65">
      <c r="A65" s="18" t="s">
        <v>7071</v>
      </c>
      <c r="B65" s="18" t="s">
        <v>791</v>
      </c>
      <c r="C65" s="18" t="s">
        <v>7072</v>
      </c>
      <c r="D65" s="18"/>
      <c r="E65" s="24">
        <v>8.12592628E9</v>
      </c>
      <c r="F65" s="24">
        <v>1.0</v>
      </c>
      <c r="G65" s="18" t="s">
        <v>7072</v>
      </c>
      <c r="H65" s="18"/>
      <c r="I65" s="24">
        <v>8.12592628E9</v>
      </c>
      <c r="J65" s="18" t="s">
        <v>7073</v>
      </c>
      <c r="K65" s="18"/>
      <c r="L65" s="18" t="s">
        <v>4866</v>
      </c>
      <c r="M65" s="11"/>
    </row>
    <row r="66">
      <c r="A66" s="18" t="s">
        <v>7157</v>
      </c>
      <c r="B66" s="18" t="s">
        <v>791</v>
      </c>
      <c r="C66" s="18" t="s">
        <v>7158</v>
      </c>
      <c r="D66" s="18"/>
      <c r="E66" s="24">
        <v>8.12592628E9</v>
      </c>
      <c r="F66" s="24">
        <v>1.0</v>
      </c>
      <c r="G66" s="18" t="s">
        <v>7158</v>
      </c>
      <c r="H66" s="18"/>
      <c r="I66" s="24">
        <v>8.12592628E9</v>
      </c>
      <c r="J66" s="18" t="s">
        <v>7160</v>
      </c>
      <c r="K66" s="18"/>
      <c r="L66" s="18" t="s">
        <v>4866</v>
      </c>
      <c r="M66" s="11"/>
    </row>
    <row r="67">
      <c r="A67" s="18" t="s">
        <v>3332</v>
      </c>
      <c r="B67" s="18" t="s">
        <v>791</v>
      </c>
      <c r="C67" s="18" t="s">
        <v>3333</v>
      </c>
      <c r="D67" s="18"/>
      <c r="E67" s="24">
        <v>8.125936923E9</v>
      </c>
      <c r="F67" s="24">
        <v>1.0</v>
      </c>
      <c r="G67" s="18" t="s">
        <v>3333</v>
      </c>
      <c r="H67" s="18"/>
      <c r="I67" s="24">
        <v>8.125936923E9</v>
      </c>
      <c r="J67" s="18" t="s">
        <v>3334</v>
      </c>
      <c r="K67" s="18"/>
      <c r="L67" s="18" t="s">
        <v>3335</v>
      </c>
      <c r="M67" s="11"/>
    </row>
    <row r="68">
      <c r="A68" s="18" t="s">
        <v>5396</v>
      </c>
      <c r="B68" s="18" t="s">
        <v>791</v>
      </c>
      <c r="C68" s="18" t="s">
        <v>5397</v>
      </c>
      <c r="D68" s="18"/>
      <c r="E68" s="24">
        <v>8.125936923E9</v>
      </c>
      <c r="F68" s="24">
        <v>1.0</v>
      </c>
      <c r="G68" s="18" t="s">
        <v>5397</v>
      </c>
      <c r="H68" s="18"/>
      <c r="I68" s="24">
        <v>8.125936923E9</v>
      </c>
      <c r="J68" s="18" t="s">
        <v>5398</v>
      </c>
      <c r="K68" s="18"/>
      <c r="L68" s="18" t="s">
        <v>5399</v>
      </c>
      <c r="M68" s="11"/>
    </row>
    <row r="69">
      <c r="A69" s="18" t="s">
        <v>6438</v>
      </c>
      <c r="B69" s="18" t="s">
        <v>791</v>
      </c>
      <c r="C69" s="18" t="s">
        <v>6439</v>
      </c>
      <c r="D69" s="18"/>
      <c r="E69" s="24">
        <v>8.125936923E9</v>
      </c>
      <c r="F69" s="24">
        <v>1.0</v>
      </c>
      <c r="G69" s="18" t="s">
        <v>6439</v>
      </c>
      <c r="H69" s="18"/>
      <c r="I69" s="24">
        <v>8.125936923E9</v>
      </c>
      <c r="J69" s="18" t="s">
        <v>6440</v>
      </c>
      <c r="K69" s="18"/>
      <c r="L69" s="18" t="s">
        <v>3335</v>
      </c>
      <c r="M69" s="11"/>
    </row>
    <row r="70">
      <c r="A70" s="18" t="s">
        <v>6653</v>
      </c>
      <c r="B70" s="18" t="s">
        <v>791</v>
      </c>
      <c r="C70" s="18" t="s">
        <v>6654</v>
      </c>
      <c r="D70" s="18"/>
      <c r="E70" s="24">
        <v>8.125936923E9</v>
      </c>
      <c r="F70" s="24">
        <v>1.0</v>
      </c>
      <c r="G70" s="18" t="s">
        <v>6654</v>
      </c>
      <c r="H70" s="18"/>
      <c r="I70" s="24">
        <v>8.125936923E9</v>
      </c>
      <c r="J70" s="18" t="s">
        <v>6655</v>
      </c>
      <c r="K70" s="18"/>
      <c r="L70" s="18" t="s">
        <v>3335</v>
      </c>
      <c r="M70" s="11"/>
    </row>
    <row r="71">
      <c r="A71" s="18" t="s">
        <v>6701</v>
      </c>
      <c r="B71" s="18" t="s">
        <v>791</v>
      </c>
      <c r="C71" s="18" t="s">
        <v>6702</v>
      </c>
      <c r="D71" s="18"/>
      <c r="E71" s="24">
        <v>8.125949144E9</v>
      </c>
      <c r="F71" s="24">
        <v>1.0</v>
      </c>
      <c r="G71" s="18" t="s">
        <v>6702</v>
      </c>
      <c r="H71" s="18"/>
      <c r="I71" s="24">
        <v>8.125949144E9</v>
      </c>
      <c r="J71" s="18" t="s">
        <v>6703</v>
      </c>
      <c r="K71" s="18"/>
      <c r="L71" s="18" t="s">
        <v>5573</v>
      </c>
      <c r="M71" s="11"/>
    </row>
    <row r="72">
      <c r="A72" s="18" t="s">
        <v>7171</v>
      </c>
      <c r="B72" s="18" t="s">
        <v>791</v>
      </c>
      <c r="C72" s="18" t="s">
        <v>7172</v>
      </c>
      <c r="D72" s="18"/>
      <c r="E72" s="24">
        <v>8.125949144E9</v>
      </c>
      <c r="F72" s="24">
        <v>1.0</v>
      </c>
      <c r="G72" s="18" t="s">
        <v>7172</v>
      </c>
      <c r="H72" s="18"/>
      <c r="I72" s="24">
        <v>8.125949144E9</v>
      </c>
      <c r="J72" s="18" t="s">
        <v>7174</v>
      </c>
      <c r="K72" s="18"/>
      <c r="L72" s="18" t="s">
        <v>5573</v>
      </c>
      <c r="M72" s="11"/>
    </row>
    <row r="73">
      <c r="A73" s="18" t="s">
        <v>5792</v>
      </c>
      <c r="B73" s="18" t="s">
        <v>791</v>
      </c>
      <c r="C73" s="18" t="s">
        <v>5788</v>
      </c>
      <c r="D73" s="18"/>
      <c r="E73" s="24">
        <v>8.125990493E9</v>
      </c>
      <c r="F73" s="24">
        <v>1.0</v>
      </c>
      <c r="G73" s="18" t="s">
        <v>5788</v>
      </c>
      <c r="H73" s="18"/>
      <c r="I73" s="24">
        <v>8.125990493E9</v>
      </c>
      <c r="J73" s="18" t="s">
        <v>5793</v>
      </c>
      <c r="K73" s="18"/>
      <c r="L73" s="18" t="s">
        <v>27</v>
      </c>
      <c r="M73" s="11"/>
    </row>
    <row r="74">
      <c r="A74" s="18" t="s">
        <v>6711</v>
      </c>
      <c r="B74" s="18" t="s">
        <v>791</v>
      </c>
      <c r="C74" s="18" t="s">
        <v>6712</v>
      </c>
      <c r="D74" s="18"/>
      <c r="E74" s="24">
        <v>8.125990493E9</v>
      </c>
      <c r="F74" s="24">
        <v>1.0</v>
      </c>
      <c r="G74" s="18" t="s">
        <v>6712</v>
      </c>
      <c r="H74" s="18"/>
      <c r="I74" s="24">
        <v>8.125990493E9</v>
      </c>
      <c r="J74" s="18" t="s">
        <v>6713</v>
      </c>
      <c r="K74" s="18"/>
      <c r="L74" s="18" t="s">
        <v>4472</v>
      </c>
      <c r="M74" s="11"/>
    </row>
    <row r="75">
      <c r="A75" s="18" t="s">
        <v>6963</v>
      </c>
      <c r="B75" s="18" t="s">
        <v>791</v>
      </c>
      <c r="C75" s="18" t="s">
        <v>6964</v>
      </c>
      <c r="D75" s="18"/>
      <c r="E75" s="24">
        <v>8.125990493E9</v>
      </c>
      <c r="F75" s="24">
        <v>1.0</v>
      </c>
      <c r="G75" s="18" t="s">
        <v>6964</v>
      </c>
      <c r="H75" s="18"/>
      <c r="I75" s="24">
        <v>8.125990493E9</v>
      </c>
      <c r="J75" s="18" t="s">
        <v>6965</v>
      </c>
      <c r="K75" s="18"/>
      <c r="L75" s="18" t="s">
        <v>27</v>
      </c>
      <c r="M75" s="11"/>
    </row>
    <row r="76">
      <c r="A76" s="18" t="s">
        <v>7176</v>
      </c>
      <c r="B76" s="18" t="s">
        <v>791</v>
      </c>
      <c r="C76" s="18" t="s">
        <v>1343</v>
      </c>
      <c r="D76" s="18"/>
      <c r="E76" s="24">
        <v>8.125990493E9</v>
      </c>
      <c r="F76" s="24">
        <v>1.0</v>
      </c>
      <c r="G76" s="18" t="s">
        <v>1343</v>
      </c>
      <c r="H76" s="18"/>
      <c r="I76" s="24">
        <v>8.125990493E9</v>
      </c>
      <c r="J76" s="18" t="s">
        <v>7178</v>
      </c>
      <c r="K76" s="18"/>
      <c r="L76" s="18" t="s">
        <v>27</v>
      </c>
      <c r="M76" s="11"/>
    </row>
    <row r="77">
      <c r="A77" s="18" t="s">
        <v>7179</v>
      </c>
      <c r="B77" s="18" t="s">
        <v>791</v>
      </c>
      <c r="C77" s="18" t="s">
        <v>7181</v>
      </c>
      <c r="D77" s="18"/>
      <c r="E77" s="24">
        <v>8.125990493E9</v>
      </c>
      <c r="F77" s="24">
        <v>1.0</v>
      </c>
      <c r="G77" s="18" t="s">
        <v>7181</v>
      </c>
      <c r="H77" s="18"/>
      <c r="I77" s="24">
        <v>8.125990493E9</v>
      </c>
      <c r="J77" s="18" t="s">
        <v>7183</v>
      </c>
      <c r="K77" s="18"/>
      <c r="L77" s="18" t="s">
        <v>7184</v>
      </c>
      <c r="M77" s="11"/>
    </row>
    <row r="78">
      <c r="A78" s="18" t="s">
        <v>4815</v>
      </c>
      <c r="B78" s="18" t="s">
        <v>791</v>
      </c>
      <c r="C78" s="18" t="s">
        <v>4816</v>
      </c>
      <c r="D78" s="18"/>
      <c r="E78" s="24">
        <v>8.155066711E9</v>
      </c>
      <c r="F78" s="24">
        <v>1.0</v>
      </c>
      <c r="G78" s="18" t="s">
        <v>4816</v>
      </c>
      <c r="H78" s="18"/>
      <c r="I78" s="24">
        <v>8.155066711E9</v>
      </c>
      <c r="J78" s="18" t="s">
        <v>4817</v>
      </c>
      <c r="K78" s="18"/>
      <c r="L78" s="18" t="s">
        <v>4818</v>
      </c>
      <c r="M78" s="11"/>
    </row>
    <row r="79">
      <c r="A79" s="18" t="s">
        <v>5272</v>
      </c>
      <c r="B79" s="18" t="s">
        <v>791</v>
      </c>
      <c r="C79" s="18" t="s">
        <v>5273</v>
      </c>
      <c r="D79" s="18"/>
      <c r="E79" s="24">
        <v>8.155066711E9</v>
      </c>
      <c r="F79" s="24">
        <v>1.0</v>
      </c>
      <c r="G79" s="18" t="s">
        <v>5273</v>
      </c>
      <c r="H79" s="18"/>
      <c r="I79" s="24">
        <v>8.155066711E9</v>
      </c>
      <c r="J79" s="18" t="s">
        <v>5275</v>
      </c>
      <c r="K79" s="18"/>
      <c r="L79" s="18" t="s">
        <v>4818</v>
      </c>
      <c r="M79" s="11"/>
    </row>
    <row r="80">
      <c r="A80" s="18" t="s">
        <v>6514</v>
      </c>
      <c r="B80" s="18" t="s">
        <v>791</v>
      </c>
      <c r="C80" s="18" t="s">
        <v>6511</v>
      </c>
      <c r="D80" s="18"/>
      <c r="E80" s="24">
        <v>6.285259626461E12</v>
      </c>
      <c r="F80" s="24">
        <v>1.0</v>
      </c>
      <c r="G80" s="18" t="s">
        <v>6511</v>
      </c>
      <c r="H80" s="18"/>
      <c r="I80" s="24">
        <v>6.285259626461E12</v>
      </c>
      <c r="J80" s="18" t="s">
        <v>4759</v>
      </c>
      <c r="K80" s="18"/>
      <c r="L80" s="18" t="s">
        <v>6515</v>
      </c>
    </row>
    <row r="81">
      <c r="A81" s="18" t="s">
        <v>7192</v>
      </c>
      <c r="B81" s="18" t="s">
        <v>791</v>
      </c>
      <c r="C81" s="18" t="s">
        <v>7194</v>
      </c>
      <c r="D81" s="18"/>
      <c r="E81" s="24">
        <v>6.285259626461E12</v>
      </c>
      <c r="F81" s="24">
        <v>1.0</v>
      </c>
      <c r="G81" s="18" t="s">
        <v>7194</v>
      </c>
      <c r="H81" s="18"/>
      <c r="I81" s="24">
        <v>6.285259626461E12</v>
      </c>
      <c r="J81" s="18" t="s">
        <v>4694</v>
      </c>
      <c r="K81" s="18"/>
      <c r="L81" s="18" t="s">
        <v>7196</v>
      </c>
    </row>
  </sheetData>
  <drawing r:id="rId1"/>
</worksheet>
</file>